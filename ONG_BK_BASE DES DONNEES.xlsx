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style6.xml" ContentType="application/vnd.ms-office.chartstyle+xml"/>
  <Override PartName="/xl/charts/colors6.xml" ContentType="application/vnd.ms-office.chartcolorstyle+xml"/>
  <Override PartName="/xl/charts/chart12.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charts/chart13.xml" ContentType="application/vnd.openxmlformats-officedocument.drawingml.chart+xml"/>
  <Override PartName="/xl/charts/chart14.xml" ContentType="application/vnd.openxmlformats-officedocument.drawingml.chart+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drawings/drawing3.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tables/table114.xml" ContentType="application/vnd.openxmlformats-officedocument.spreadsheetml.table+xml"/>
  <Override PartName="/xl/tables/table115.xml" ContentType="application/vnd.openxmlformats-officedocument.spreadsheetml.table+xml"/>
  <Override PartName="/xl/tables/table116.xml" ContentType="application/vnd.openxmlformats-officedocument.spreadsheetml.table+xml"/>
  <Override PartName="/xl/tables/table117.xml" ContentType="application/vnd.openxmlformats-officedocument.spreadsheetml.table+xml"/>
  <Override PartName="/xl/tables/table118.xml" ContentType="application/vnd.openxmlformats-officedocument.spreadsheetml.table+xml"/>
  <Override PartName="/xl/tables/table119.xml" ContentType="application/vnd.openxmlformats-officedocument.spreadsheetml.table+xml"/>
  <Override PartName="/xl/tables/table120.xml" ContentType="application/vnd.openxmlformats-officedocument.spreadsheetml.table+xml"/>
  <Override PartName="/xl/tables/table121.xml" ContentType="application/vnd.openxmlformats-officedocument.spreadsheetml.table+xml"/>
  <Override PartName="/xl/tables/table122.xml" ContentType="application/vnd.openxmlformats-officedocument.spreadsheetml.table+xml"/>
  <Override PartName="/xl/tables/table123.xml" ContentType="application/vnd.openxmlformats-officedocument.spreadsheetml.table+xml"/>
  <Override PartName="/xl/tables/table124.xml" ContentType="application/vnd.openxmlformats-officedocument.spreadsheetml.table+xml"/>
  <Override PartName="/xl/tables/table125.xml" ContentType="application/vnd.openxmlformats-officedocument.spreadsheetml.table+xml"/>
  <Override PartName="/xl/tables/table126.xml" ContentType="application/vnd.openxmlformats-officedocument.spreadsheetml.table+xml"/>
  <Override PartName="/xl/tables/table127.xml" ContentType="application/vnd.openxmlformats-officedocument.spreadsheetml.table+xml"/>
  <Override PartName="/xl/tables/table128.xml" ContentType="application/vnd.openxmlformats-officedocument.spreadsheetml.table+xml"/>
  <Override PartName="/xl/tables/table129.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E:\ORGANISATION DE LA SOCIETE CIVILE\ONG-BK\"/>
    </mc:Choice>
  </mc:AlternateContent>
  <bookViews>
    <workbookView xWindow="-120" yWindow="-120" windowWidth="20730" windowHeight="11040" tabRatio="500"/>
  </bookViews>
  <sheets>
    <sheet name="TABLEAU DE BORD" sheetId="14" r:id="rId1"/>
    <sheet name="ONG" sheetId="2" r:id="rId2"/>
    <sheet name="BENEFICIAIRES" sheetId="3" r:id="rId3"/>
    <sheet name="PROJETS" sheetId="4" r:id="rId4"/>
    <sheet name="ACTIVITES" sheetId="5" r:id="rId5"/>
    <sheet name="PARTENAIRES" sheetId="6" r:id="rId6"/>
    <sheet name="DONATEURS" sheetId="7" r:id="rId7"/>
    <sheet name="BUDGET" sheetId="8" r:id="rId8"/>
    <sheet name="RECETTES" sheetId="9" r:id="rId9"/>
    <sheet name="DEPENSES" sheetId="10" r:id="rId10"/>
    <sheet name="RESSOURCES HUMAINES" sheetId="11" r:id="rId11"/>
    <sheet name="SUIVI-EVALUATION" sheetId="12" r:id="rId12"/>
    <sheet name="RAPPORTS" sheetId="13" r:id="rId13"/>
    <sheet name="PARAMETRES" sheetId="1" r:id="rId14"/>
  </sheets>
  <definedNames>
    <definedName name="DB_Annee">'TABLEAU DE BORD'!$C$7</definedName>
    <definedName name="DB_Domaine">'TABLEAU DE BORD'!$K$7</definedName>
    <definedName name="DB_Donateur">'TABLEAU DE BORD'!$L$12</definedName>
    <definedName name="DB_Mois">'TABLEAU DE BORD'!$G$7</definedName>
    <definedName name="DB_Projet">'TABLEAU DE BORD'!$H$12</definedName>
    <definedName name="DB_Zone">'TABLEAU DE BORD'!$P$12</definedName>
    <definedName name="_xlnm.Print_Titles" localSheetId="1">ONG!$1:$2</definedName>
    <definedName name="_xlnm.Print_Titles" localSheetId="13">PARAMETRES!$1:$2</definedName>
    <definedName name="_xlnm.Print_Titles" localSheetId="12">RAPPORTS!$1:$8</definedName>
    <definedName name="Liste_ActivitesID">OFFSET(ACTIVITES!$A$56,0,0,MAX(1,COUNTIF(ACTIVITES!$G$56:$G$105,"&lt;&gt;")),1)</definedName>
    <definedName name="Liste_ActivitesIDProjets">OFFSET(PROJETS!$A$56,0,0,MAX(1,COUNTIF(PROJETS!$C$56:$C$95,"&lt;&gt;")),1)</definedName>
    <definedName name="Liste_Annees">tbl_Annees[Annee]</definedName>
    <definedName name="Liste_AnneesFiltre">PARAMETRES!$B$738:$B$749</definedName>
    <definedName name="Liste_BudgetLignesID">OFFSET(BUDGET!$A$28,0,0,MAX(1,COUNTIF(BUDGET!$U$28:$U$67,"&lt;&gt;")),1)</definedName>
    <definedName name="Liste_CategoriesBeneficiaires">tbl_CategoriesBeneficiaires[Libelle]</definedName>
    <definedName name="Liste_CategoriesDepenses">tbl_CategoriesDepenses[Libelle]</definedName>
    <definedName name="Liste_Departements">PARAMETRES!$D$536:$D$586</definedName>
    <definedName name="Liste_DepensesID">OFFSET(DEPENSES!$A$119,0,0,MAX(1,COUNTIF(DEPENSES!$V$119:$V$168,"&lt;&gt;")),1)</definedName>
    <definedName name="Liste_Domaines">tbl_Domaines[Libelle]</definedName>
    <definedName name="Liste_DonateursDemandesID">DONATEURS!$A$308:$A$367</definedName>
    <definedName name="Liste_DonateursID">OFFSET(DONATEURS!$A$56,0,0,MAX(1,COUNTIF(DONATEURS!$B$56:$B$205,"&lt;&gt;")),1)</definedName>
    <definedName name="Liste_DonateursOpportunitesID">DONATEURS!$A$244:$A$303</definedName>
    <definedName name="Liste_Fonctions">tbl_Fonctions[Libelle]</definedName>
    <definedName name="Liste_FrequencesPaiement">PARAMETRES!$B$714:$B$718</definedName>
    <definedName name="Liste_ModesPaiement">tbl_ModesPaiement[Libelle]</definedName>
    <definedName name="Liste_Mois">tbl_Mois[Mois]</definedName>
    <definedName name="Liste_MotifsDepart">PARAMETRES!$B$703:$B$709</definedName>
    <definedName name="Liste_NiveauxCompetence">PARAMETRES!$B$695:$B$698</definedName>
    <definedName name="Liste_NiveauxHierarchiques">PARAMETRES!$B$666:$B$671</definedName>
    <definedName name="Liste_NiveauxPriorite">tbl_NiveauxPriorite[Libelle]</definedName>
    <definedName name="Liste_NiveauxRisque">tbl_NiveauxRisque[Libelle]</definedName>
    <definedName name="Liste_PartenairesID">PARTENAIRES!$A$56:$A$115</definedName>
    <definedName name="Liste_RecettesID">RECETTES!$A$39:$A$88</definedName>
    <definedName name="Liste_RHID">OFFSET('RESSOURCES HUMAINES'!$A$27,0,0,MAX(1,COUNTIF('RESSOURCES HUMAINES'!$B$27:$B$76,"&lt;&gt;")),1)</definedName>
    <definedName name="Liste_ServicesRH">PARAMETRES!$B$651:$B$662</definedName>
    <definedName name="Liste_Sexe">tbl_Sexe[Libelle]</definedName>
    <definedName name="Liste_SourcesFinancement">tbl_SourcesFinancement[Libelle]</definedName>
    <definedName name="Liste_StatutsActivites">tbl_StatutsActivites[Libelle]</definedName>
    <definedName name="Liste_StatutsBudget">tbl_StatutsBudget[Libelle]</definedName>
    <definedName name="Liste_StatutsConge">PARAMETRES!$B$686:$B$691</definedName>
    <definedName name="Liste_StatutsDocuments">tbl_StatutsDocuments[Libelle]</definedName>
    <definedName name="Liste_StatutsGeneraux">tbl_StatutsGeneraux[Libelle]</definedName>
    <definedName name="Liste_StatutsProjets">tbl_StatutsProjets[Libelle]</definedName>
    <definedName name="Liste_StatutsRecettes">tbl_StatutsRecettes[Libelle]</definedName>
    <definedName name="Liste_StatutsRH">PARAMETRES!$B$640:$B$646</definedName>
    <definedName name="Liste_StatutsRisques">tbl_StatutsRisques[Libelle]</definedName>
    <definedName name="Liste_TranchesAge">tbl_TranchesAge[Libelle]</definedName>
    <definedName name="Liste_Trimestres">tbl_Trimestres[Code]</definedName>
    <definedName name="Liste_TypesActivites">tbl_TypesActivites[Libelle]</definedName>
    <definedName name="Liste_TypesBudget">tbl_TypesBudget[Libelle]</definedName>
    <definedName name="Liste_TypesConge">PARAMETRES!$B$676:$B$681</definedName>
    <definedName name="Liste_TypesContrats">tbl_TypesContrats[Libelle]</definedName>
    <definedName name="Liste_TypesDocuments">tbl_TypesDocuments[Libelle]</definedName>
    <definedName name="Liste_TypesDocumentsRH">PARAMETRES!$B$723:$B$734</definedName>
    <definedName name="Liste_TypesDonateurs">tbl_TypesDonateurs[Libelle]</definedName>
    <definedName name="Liste_TypesFinancement">tbl_TypesFinancement[Libelle]</definedName>
    <definedName name="Liste_TypesImmobilisations">tbl_TypesImmobilisations[Libelle]</definedName>
    <definedName name="Liste_TypesPartenaires">tbl_TypesPartenaires[Libelle]</definedName>
    <definedName name="Liste_TypesProjets">tbl_TypesProjets[Libelle]</definedName>
    <definedName name="Liste_TypesRecettes">tbl_TypesRecettes[Libelle]</definedName>
    <definedName name="Liste_UnitesMesure">tbl_UnitesMesure[Libelle]</definedName>
    <definedName name="Liste_ZonesGeo">PARAMETRES!$J$536:$J$586</definedName>
    <definedName name="Seuil_Depassement">PARAMETRES!$C$622</definedName>
    <definedName name="Seuil_Vigilance">PARAMETRES!$C$621</definedName>
    <definedName name="_xlnm.Print_Area" localSheetId="0">'TABLEAU DE BORD'!$B$1:$X$89</definedName>
  </definedNames>
  <calcPr calcId="162913" iterateDelta="1E-4"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67" i="13" l="1"/>
  <c r="A266" i="13"/>
  <c r="A265" i="13"/>
  <c r="A264" i="13"/>
  <c r="A263" i="13"/>
  <c r="A262" i="13"/>
  <c r="A261" i="13"/>
  <c r="A260" i="13"/>
  <c r="A259" i="13"/>
  <c r="A258" i="13"/>
  <c r="A257" i="13"/>
  <c r="A256" i="13"/>
  <c r="A255" i="13"/>
  <c r="A254" i="13"/>
  <c r="A253" i="13"/>
  <c r="J219" i="13"/>
  <c r="J218" i="13"/>
  <c r="J217" i="13"/>
  <c r="J216" i="13"/>
  <c r="J215" i="13"/>
  <c r="J214" i="13"/>
  <c r="J213" i="13"/>
  <c r="J196" i="13"/>
  <c r="H158" i="13"/>
  <c r="F158" i="13"/>
  <c r="E158" i="13"/>
  <c r="D158" i="13"/>
  <c r="C158" i="13"/>
  <c r="B158" i="13"/>
  <c r="H157" i="13"/>
  <c r="F157" i="13"/>
  <c r="E157" i="13"/>
  <c r="D157" i="13"/>
  <c r="C157" i="13"/>
  <c r="B157" i="13"/>
  <c r="H156" i="13"/>
  <c r="F156" i="13"/>
  <c r="E156" i="13"/>
  <c r="D156" i="13"/>
  <c r="C156" i="13"/>
  <c r="B156" i="13"/>
  <c r="H155" i="13"/>
  <c r="F155" i="13"/>
  <c r="E155" i="13"/>
  <c r="D155" i="13"/>
  <c r="C155" i="13"/>
  <c r="B155" i="13"/>
  <c r="H154" i="13"/>
  <c r="F154" i="13"/>
  <c r="E154" i="13"/>
  <c r="D154" i="13"/>
  <c r="C154" i="13"/>
  <c r="B154" i="13"/>
  <c r="H153" i="13"/>
  <c r="F153" i="13"/>
  <c r="E153" i="13"/>
  <c r="D153" i="13"/>
  <c r="C153" i="13"/>
  <c r="B153" i="13"/>
  <c r="H152" i="13"/>
  <c r="F152" i="13"/>
  <c r="E152" i="13"/>
  <c r="D152" i="13"/>
  <c r="C152" i="13"/>
  <c r="B152" i="13"/>
  <c r="H151" i="13"/>
  <c r="F151" i="13"/>
  <c r="E151" i="13"/>
  <c r="D151" i="13"/>
  <c r="C151" i="13"/>
  <c r="B151" i="13"/>
  <c r="H150" i="13"/>
  <c r="F150" i="13"/>
  <c r="E150" i="13"/>
  <c r="D150" i="13"/>
  <c r="C150" i="13"/>
  <c r="B150" i="13"/>
  <c r="H149" i="13"/>
  <c r="F149" i="13"/>
  <c r="E149" i="13"/>
  <c r="D149" i="13"/>
  <c r="C149" i="13"/>
  <c r="B149" i="13"/>
  <c r="H148" i="13"/>
  <c r="F148" i="13"/>
  <c r="E148" i="13"/>
  <c r="D148" i="13"/>
  <c r="C148" i="13"/>
  <c r="B148" i="13"/>
  <c r="H147" i="13"/>
  <c r="F147" i="13"/>
  <c r="E147" i="13"/>
  <c r="D147" i="13"/>
  <c r="C147" i="13"/>
  <c r="B147" i="13"/>
  <c r="H146" i="13"/>
  <c r="F146" i="13"/>
  <c r="E146" i="13"/>
  <c r="D146" i="13"/>
  <c r="C146" i="13"/>
  <c r="B146" i="13"/>
  <c r="H145" i="13"/>
  <c r="F145" i="13"/>
  <c r="E145" i="13"/>
  <c r="D145" i="13"/>
  <c r="C145" i="13"/>
  <c r="B145" i="13"/>
  <c r="H144" i="13"/>
  <c r="F144" i="13"/>
  <c r="E144" i="13"/>
  <c r="D144" i="13"/>
  <c r="C144" i="13"/>
  <c r="B144" i="13"/>
  <c r="H143" i="13"/>
  <c r="F143" i="13"/>
  <c r="E143" i="13"/>
  <c r="D143" i="13"/>
  <c r="C143" i="13"/>
  <c r="B143" i="13"/>
  <c r="H142" i="13"/>
  <c r="F142" i="13"/>
  <c r="E142" i="13"/>
  <c r="D142" i="13"/>
  <c r="C142" i="13"/>
  <c r="B142" i="13"/>
  <c r="H141" i="13"/>
  <c r="F141" i="13"/>
  <c r="E141" i="13"/>
  <c r="D141" i="13"/>
  <c r="C141" i="13"/>
  <c r="B141" i="13"/>
  <c r="H140" i="13"/>
  <c r="F140" i="13"/>
  <c r="E140" i="13"/>
  <c r="D140" i="13"/>
  <c r="C140" i="13"/>
  <c r="B140" i="13"/>
  <c r="H139" i="13"/>
  <c r="F139" i="13"/>
  <c r="E139" i="13"/>
  <c r="D139" i="13"/>
  <c r="C139" i="13"/>
  <c r="B139" i="13"/>
  <c r="H138" i="13"/>
  <c r="F138" i="13"/>
  <c r="E138" i="13"/>
  <c r="D138" i="13"/>
  <c r="C138" i="13"/>
  <c r="B138" i="13"/>
  <c r="H137" i="13"/>
  <c r="F137" i="13"/>
  <c r="E137" i="13"/>
  <c r="D137" i="13"/>
  <c r="C137" i="13"/>
  <c r="B137" i="13"/>
  <c r="H136" i="13"/>
  <c r="F136" i="13"/>
  <c r="E136" i="13"/>
  <c r="D136" i="13"/>
  <c r="C136" i="13"/>
  <c r="B136" i="13"/>
  <c r="H135" i="13"/>
  <c r="F135" i="13"/>
  <c r="E135" i="13"/>
  <c r="D135" i="13"/>
  <c r="C135" i="13"/>
  <c r="B135" i="13"/>
  <c r="H134" i="13"/>
  <c r="F134" i="13"/>
  <c r="E134" i="13"/>
  <c r="D134" i="13"/>
  <c r="C134" i="13"/>
  <c r="B134" i="13"/>
  <c r="H133" i="13"/>
  <c r="F133" i="13"/>
  <c r="E133" i="13"/>
  <c r="D133" i="13"/>
  <c r="C133" i="13"/>
  <c r="B133" i="13"/>
  <c r="H132" i="13"/>
  <c r="F132" i="13"/>
  <c r="E132" i="13"/>
  <c r="D132" i="13"/>
  <c r="C132" i="13"/>
  <c r="B132" i="13"/>
  <c r="H131" i="13"/>
  <c r="F131" i="13"/>
  <c r="E131" i="13"/>
  <c r="D131" i="13"/>
  <c r="C131" i="13"/>
  <c r="B131" i="13"/>
  <c r="H130" i="13"/>
  <c r="F130" i="13"/>
  <c r="E130" i="13"/>
  <c r="D130" i="13"/>
  <c r="C130" i="13"/>
  <c r="B130" i="13"/>
  <c r="H129" i="13"/>
  <c r="F129" i="13"/>
  <c r="E129" i="13"/>
  <c r="D129" i="13"/>
  <c r="C129" i="13"/>
  <c r="B129" i="13"/>
  <c r="H128" i="13"/>
  <c r="F128" i="13"/>
  <c r="E128" i="13"/>
  <c r="D128" i="13"/>
  <c r="C128" i="13"/>
  <c r="B128" i="13"/>
  <c r="H127" i="13"/>
  <c r="F127" i="13"/>
  <c r="E127" i="13"/>
  <c r="D127" i="13"/>
  <c r="C127" i="13"/>
  <c r="B127" i="13"/>
  <c r="H126" i="13"/>
  <c r="F126" i="13"/>
  <c r="E126" i="13"/>
  <c r="D126" i="13"/>
  <c r="C126" i="13"/>
  <c r="B126" i="13"/>
  <c r="H125" i="13"/>
  <c r="F125" i="13"/>
  <c r="E125" i="13"/>
  <c r="D125" i="13"/>
  <c r="C125" i="13"/>
  <c r="B125" i="13"/>
  <c r="H124" i="13"/>
  <c r="F124" i="13"/>
  <c r="E124" i="13"/>
  <c r="D124" i="13"/>
  <c r="C124" i="13"/>
  <c r="B124" i="13"/>
  <c r="H123" i="13"/>
  <c r="F123" i="13"/>
  <c r="E123" i="13"/>
  <c r="D123" i="13"/>
  <c r="C123" i="13"/>
  <c r="B123" i="13"/>
  <c r="H122" i="13"/>
  <c r="F122" i="13"/>
  <c r="E122" i="13"/>
  <c r="D122" i="13"/>
  <c r="C122" i="13"/>
  <c r="B122" i="13"/>
  <c r="H121" i="13"/>
  <c r="F121" i="13"/>
  <c r="E121" i="13"/>
  <c r="D121" i="13"/>
  <c r="C121" i="13"/>
  <c r="B121" i="13"/>
  <c r="H120" i="13"/>
  <c r="F120" i="13"/>
  <c r="E120" i="13"/>
  <c r="D120" i="13"/>
  <c r="C120" i="13"/>
  <c r="B120" i="13"/>
  <c r="H119" i="13"/>
  <c r="F119" i="13"/>
  <c r="E119" i="13"/>
  <c r="D119" i="13"/>
  <c r="C119" i="13"/>
  <c r="B119" i="13"/>
  <c r="D106" i="13"/>
  <c r="C106" i="13"/>
  <c r="B106" i="13"/>
  <c r="D105" i="13"/>
  <c r="C105" i="13"/>
  <c r="B105" i="13"/>
  <c r="D104" i="13"/>
  <c r="C104" i="13"/>
  <c r="B104" i="13"/>
  <c r="D103" i="13"/>
  <c r="C103" i="13"/>
  <c r="B103" i="13"/>
  <c r="D102" i="13"/>
  <c r="C102" i="13"/>
  <c r="B102" i="13"/>
  <c r="D101" i="13"/>
  <c r="C101" i="13"/>
  <c r="B101" i="13"/>
  <c r="D100" i="13"/>
  <c r="C100" i="13"/>
  <c r="B100" i="13"/>
  <c r="D99" i="13"/>
  <c r="C99" i="13"/>
  <c r="B99" i="13"/>
  <c r="D98" i="13"/>
  <c r="C98" i="13"/>
  <c r="B98" i="13"/>
  <c r="D97" i="13"/>
  <c r="C97" i="13"/>
  <c r="B97" i="13"/>
  <c r="D96" i="13"/>
  <c r="C96" i="13"/>
  <c r="B96" i="13"/>
  <c r="D95" i="13"/>
  <c r="C95" i="13"/>
  <c r="B95" i="13"/>
  <c r="D94" i="13"/>
  <c r="C94" i="13"/>
  <c r="B94" i="13"/>
  <c r="D93" i="13"/>
  <c r="C93" i="13"/>
  <c r="B93" i="13"/>
  <c r="D92" i="13"/>
  <c r="C92" i="13"/>
  <c r="B92" i="13"/>
  <c r="D91" i="13"/>
  <c r="C91" i="13"/>
  <c r="B91" i="13"/>
  <c r="D90" i="13"/>
  <c r="C90" i="13"/>
  <c r="B90" i="13"/>
  <c r="D89" i="13"/>
  <c r="C89" i="13"/>
  <c r="B89" i="13"/>
  <c r="D88" i="13"/>
  <c r="C88" i="13"/>
  <c r="B88" i="13"/>
  <c r="D87" i="13"/>
  <c r="C87" i="13"/>
  <c r="B87" i="13"/>
  <c r="D86" i="13"/>
  <c r="C86" i="13"/>
  <c r="B86" i="13"/>
  <c r="D85" i="13"/>
  <c r="C85" i="13"/>
  <c r="B85" i="13"/>
  <c r="D84" i="13"/>
  <c r="C84" i="13"/>
  <c r="B84" i="13"/>
  <c r="D83" i="13"/>
  <c r="C83" i="13"/>
  <c r="B83" i="13"/>
  <c r="D82" i="13"/>
  <c r="C82" i="13"/>
  <c r="B82" i="13"/>
  <c r="A78" i="13"/>
  <c r="A77" i="13"/>
  <c r="A76" i="13"/>
  <c r="A75" i="13"/>
  <c r="A74" i="13"/>
  <c r="A73" i="13"/>
  <c r="A72" i="13"/>
  <c r="A71" i="13"/>
  <c r="A70" i="13"/>
  <c r="A69" i="13"/>
  <c r="A68" i="13"/>
  <c r="A67" i="13"/>
  <c r="A66" i="13"/>
  <c r="A65" i="13"/>
  <c r="A64" i="13"/>
  <c r="J56" i="13"/>
  <c r="J43" i="13"/>
  <c r="J42" i="13"/>
  <c r="J41" i="13"/>
  <c r="E33" i="13"/>
  <c r="E32" i="13"/>
  <c r="E31" i="13"/>
  <c r="E30" i="13"/>
  <c r="E29" i="13"/>
  <c r="E28" i="13"/>
  <c r="E27" i="13"/>
  <c r="E26" i="13"/>
  <c r="J21" i="13"/>
  <c r="C7" i="13"/>
  <c r="E171" i="12"/>
  <c r="E170" i="12"/>
  <c r="E169" i="12"/>
  <c r="E168" i="12"/>
  <c r="E167" i="12"/>
  <c r="E166" i="12"/>
  <c r="E165" i="12"/>
  <c r="E164" i="12"/>
  <c r="E163" i="12"/>
  <c r="E162" i="12"/>
  <c r="E161" i="12"/>
  <c r="E160" i="12"/>
  <c r="E159" i="12"/>
  <c r="E158" i="12"/>
  <c r="E157" i="12"/>
  <c r="C152" i="12"/>
  <c r="C151" i="12"/>
  <c r="C150" i="12"/>
  <c r="C149" i="12"/>
  <c r="C148" i="12"/>
  <c r="C147" i="12"/>
  <c r="C146" i="12"/>
  <c r="C145" i="12"/>
  <c r="C144" i="12"/>
  <c r="C143" i="12"/>
  <c r="C142" i="12"/>
  <c r="C141" i="12"/>
  <c r="C140" i="12"/>
  <c r="C139" i="12"/>
  <c r="C138" i="12"/>
  <c r="C137" i="12"/>
  <c r="C136" i="12"/>
  <c r="C135" i="12"/>
  <c r="C134" i="12"/>
  <c r="C133" i="12"/>
  <c r="I128" i="12"/>
  <c r="C128" i="12"/>
  <c r="I127" i="12"/>
  <c r="C127" i="12"/>
  <c r="I126" i="12"/>
  <c r="C126" i="12"/>
  <c r="I125" i="12"/>
  <c r="C125" i="12"/>
  <c r="I124" i="12"/>
  <c r="C124" i="12"/>
  <c r="I123" i="12"/>
  <c r="C123" i="12"/>
  <c r="I122" i="12"/>
  <c r="C122" i="12"/>
  <c r="I121" i="12"/>
  <c r="C121" i="12"/>
  <c r="I120" i="12"/>
  <c r="C120" i="12"/>
  <c r="I119" i="12"/>
  <c r="C119" i="12"/>
  <c r="I118" i="12"/>
  <c r="C118" i="12"/>
  <c r="I117" i="12"/>
  <c r="C117" i="12"/>
  <c r="I116" i="12"/>
  <c r="C116" i="12"/>
  <c r="I115" i="12"/>
  <c r="C115" i="12"/>
  <c r="I114" i="12"/>
  <c r="C114" i="12"/>
  <c r="I113" i="12"/>
  <c r="C113" i="12"/>
  <c r="I112" i="12"/>
  <c r="C112" i="12"/>
  <c r="I111" i="12"/>
  <c r="C111" i="12"/>
  <c r="I110" i="12"/>
  <c r="C110" i="12"/>
  <c r="I109" i="12"/>
  <c r="C109" i="12"/>
  <c r="AY104" i="12"/>
  <c r="AQ104" i="12"/>
  <c r="AP104" i="12"/>
  <c r="AN104" i="12"/>
  <c r="AD104" i="12"/>
  <c r="AC104" i="12"/>
  <c r="U104" i="12"/>
  <c r="T104" i="12"/>
  <c r="J104" i="12"/>
  <c r="H104" i="12"/>
  <c r="G104" i="12"/>
  <c r="E104" i="12"/>
  <c r="D104" i="12"/>
  <c r="C104" i="12"/>
  <c r="A104" i="12"/>
  <c r="AY103" i="12"/>
  <c r="AQ103" i="12"/>
  <c r="AP103" i="12"/>
  <c r="AN103" i="12"/>
  <c r="AD103" i="12"/>
  <c r="AC103" i="12"/>
  <c r="U103" i="12"/>
  <c r="T103" i="12"/>
  <c r="J103" i="12"/>
  <c r="H103" i="12"/>
  <c r="G103" i="12"/>
  <c r="E103" i="12"/>
  <c r="D103" i="12"/>
  <c r="C103" i="12"/>
  <c r="A103" i="12"/>
  <c r="AY102" i="12"/>
  <c r="AQ102" i="12"/>
  <c r="AP102" i="12"/>
  <c r="AN102" i="12"/>
  <c r="AD102" i="12"/>
  <c r="AC102" i="12"/>
  <c r="U102" i="12"/>
  <c r="T102" i="12"/>
  <c r="J102" i="12"/>
  <c r="H102" i="12"/>
  <c r="G102" i="12"/>
  <c r="E102" i="12"/>
  <c r="D102" i="12"/>
  <c r="C102" i="12"/>
  <c r="A102" i="12"/>
  <c r="AY101" i="12"/>
  <c r="AQ101" i="12"/>
  <c r="AP101" i="12"/>
  <c r="AN101" i="12"/>
  <c r="AD101" i="12"/>
  <c r="AC101" i="12"/>
  <c r="U101" i="12"/>
  <c r="T101" i="12"/>
  <c r="J101" i="12"/>
  <c r="H101" i="12"/>
  <c r="G101" i="12"/>
  <c r="E101" i="12"/>
  <c r="D101" i="12"/>
  <c r="C101" i="12"/>
  <c r="A101" i="12"/>
  <c r="AY100" i="12"/>
  <c r="AQ100" i="12"/>
  <c r="AP100" i="12"/>
  <c r="AN100" i="12"/>
  <c r="AD100" i="12"/>
  <c r="AC100" i="12"/>
  <c r="U100" i="12"/>
  <c r="T100" i="12"/>
  <c r="J100" i="12"/>
  <c r="H100" i="12"/>
  <c r="G100" i="12"/>
  <c r="E100" i="12"/>
  <c r="D100" i="12"/>
  <c r="C100" i="12"/>
  <c r="A100" i="12"/>
  <c r="AY99" i="12"/>
  <c r="AQ99" i="12"/>
  <c r="AP99" i="12"/>
  <c r="AN99" i="12"/>
  <c r="AD99" i="12"/>
  <c r="AC99" i="12"/>
  <c r="U99" i="12"/>
  <c r="T99" i="12"/>
  <c r="J99" i="12"/>
  <c r="H99" i="12"/>
  <c r="G99" i="12"/>
  <c r="E99" i="12"/>
  <c r="D99" i="12"/>
  <c r="C99" i="12"/>
  <c r="A99" i="12"/>
  <c r="AY98" i="12"/>
  <c r="AQ98" i="12"/>
  <c r="AP98" i="12"/>
  <c r="AN98" i="12"/>
  <c r="AD98" i="12"/>
  <c r="AC98" i="12"/>
  <c r="U98" i="12"/>
  <c r="T98" i="12"/>
  <c r="J98" i="12"/>
  <c r="H98" i="12"/>
  <c r="G98" i="12"/>
  <c r="E98" i="12"/>
  <c r="D98" i="12"/>
  <c r="C98" i="12"/>
  <c r="A98" i="12"/>
  <c r="AY97" i="12"/>
  <c r="AQ97" i="12"/>
  <c r="AP97" i="12"/>
  <c r="AN97" i="12"/>
  <c r="AD97" i="12"/>
  <c r="AC97" i="12"/>
  <c r="U97" i="12"/>
  <c r="T97" i="12"/>
  <c r="J97" i="12"/>
  <c r="H97" i="12"/>
  <c r="G97" i="12"/>
  <c r="E97" i="12"/>
  <c r="D97" i="12"/>
  <c r="C97" i="12"/>
  <c r="A97" i="12"/>
  <c r="AY96" i="12"/>
  <c r="AQ96" i="12"/>
  <c r="AP96" i="12"/>
  <c r="AN96" i="12"/>
  <c r="AD96" i="12"/>
  <c r="AC96" i="12"/>
  <c r="U96" i="12"/>
  <c r="T96" i="12"/>
  <c r="J96" i="12"/>
  <c r="H96" i="12"/>
  <c r="G96" i="12"/>
  <c r="E96" i="12"/>
  <c r="D96" i="12"/>
  <c r="C96" i="12"/>
  <c r="A96" i="12"/>
  <c r="AY95" i="12"/>
  <c r="AQ95" i="12"/>
  <c r="AP95" i="12"/>
  <c r="AN95" i="12"/>
  <c r="AD95" i="12"/>
  <c r="AC95" i="12"/>
  <c r="U95" i="12"/>
  <c r="T95" i="12"/>
  <c r="J95" i="12"/>
  <c r="H95" i="12"/>
  <c r="G95" i="12"/>
  <c r="E95" i="12"/>
  <c r="D95" i="12"/>
  <c r="C95" i="12"/>
  <c r="A95" i="12"/>
  <c r="AY94" i="12"/>
  <c r="AQ94" i="12"/>
  <c r="AP94" i="12"/>
  <c r="AN94" i="12"/>
  <c r="AD94" i="12"/>
  <c r="AC94" i="12"/>
  <c r="U94" i="12"/>
  <c r="T94" i="12"/>
  <c r="J94" i="12"/>
  <c r="H94" i="12"/>
  <c r="G94" i="12"/>
  <c r="E94" i="12"/>
  <c r="D94" i="12"/>
  <c r="C94" i="12"/>
  <c r="A94" i="12"/>
  <c r="AY93" i="12"/>
  <c r="AQ93" i="12"/>
  <c r="AP93" i="12"/>
  <c r="AN93" i="12"/>
  <c r="AD93" i="12"/>
  <c r="AC93" i="12"/>
  <c r="U93" i="12"/>
  <c r="T93" i="12"/>
  <c r="J93" i="12"/>
  <c r="H93" i="12"/>
  <c r="G93" i="12"/>
  <c r="E93" i="12"/>
  <c r="D93" i="12"/>
  <c r="C93" i="12"/>
  <c r="A93" i="12"/>
  <c r="AY92" i="12"/>
  <c r="AQ92" i="12"/>
  <c r="AP92" i="12"/>
  <c r="AN92" i="12"/>
  <c r="AD92" i="12"/>
  <c r="AC92" i="12"/>
  <c r="U92" i="12"/>
  <c r="T92" i="12"/>
  <c r="J92" i="12"/>
  <c r="H92" i="12"/>
  <c r="G92" i="12"/>
  <c r="E92" i="12"/>
  <c r="D92" i="12"/>
  <c r="C92" i="12"/>
  <c r="A92" i="12"/>
  <c r="AY91" i="12"/>
  <c r="AQ91" i="12"/>
  <c r="AP91" i="12"/>
  <c r="AN91" i="12"/>
  <c r="AD91" i="12"/>
  <c r="AC91" i="12"/>
  <c r="U91" i="12"/>
  <c r="T91" i="12"/>
  <c r="J91" i="12"/>
  <c r="H91" i="12"/>
  <c r="G91" i="12"/>
  <c r="E91" i="12"/>
  <c r="D91" i="12"/>
  <c r="C91" i="12"/>
  <c r="A91" i="12"/>
  <c r="AY90" i="12"/>
  <c r="AQ90" i="12"/>
  <c r="AP90" i="12"/>
  <c r="AN90" i="12"/>
  <c r="AD90" i="12"/>
  <c r="AC90" i="12"/>
  <c r="U90" i="12"/>
  <c r="T90" i="12"/>
  <c r="J90" i="12"/>
  <c r="H90" i="12"/>
  <c r="G90" i="12"/>
  <c r="E90" i="12"/>
  <c r="D90" i="12"/>
  <c r="C90" i="12"/>
  <c r="A90" i="12"/>
  <c r="AY89" i="12"/>
  <c r="AQ89" i="12"/>
  <c r="AP89" i="12"/>
  <c r="AN89" i="12"/>
  <c r="AD89" i="12"/>
  <c r="AC89" i="12"/>
  <c r="U89" i="12"/>
  <c r="T89" i="12"/>
  <c r="J89" i="12"/>
  <c r="H89" i="12"/>
  <c r="G89" i="12"/>
  <c r="E89" i="12"/>
  <c r="D89" i="12"/>
  <c r="C89" i="12"/>
  <c r="A89" i="12"/>
  <c r="AY88" i="12"/>
  <c r="AQ88" i="12"/>
  <c r="AP88" i="12"/>
  <c r="AN88" i="12"/>
  <c r="AD88" i="12"/>
  <c r="AC88" i="12"/>
  <c r="U88" i="12"/>
  <c r="T88" i="12"/>
  <c r="J88" i="12"/>
  <c r="H88" i="12"/>
  <c r="G88" i="12"/>
  <c r="E88" i="12"/>
  <c r="D88" i="12"/>
  <c r="C88" i="12"/>
  <c r="A88" i="12"/>
  <c r="AY87" i="12"/>
  <c r="AQ87" i="12"/>
  <c r="AP87" i="12"/>
  <c r="AN87" i="12"/>
  <c r="AD87" i="12"/>
  <c r="AC87" i="12"/>
  <c r="U87" i="12"/>
  <c r="T87" i="12"/>
  <c r="J87" i="12"/>
  <c r="H87" i="12"/>
  <c r="G87" i="12"/>
  <c r="E87" i="12"/>
  <c r="D87" i="12"/>
  <c r="C87" i="12"/>
  <c r="A87" i="12"/>
  <c r="AY86" i="12"/>
  <c r="AQ86" i="12"/>
  <c r="AP86" i="12"/>
  <c r="AN86" i="12"/>
  <c r="AD86" i="12"/>
  <c r="AC86" i="12"/>
  <c r="U86" i="12"/>
  <c r="T86" i="12"/>
  <c r="J86" i="12"/>
  <c r="H86" i="12"/>
  <c r="G86" i="12"/>
  <c r="E86" i="12"/>
  <c r="D86" i="12"/>
  <c r="C86" i="12"/>
  <c r="A86" i="12"/>
  <c r="AY85" i="12"/>
  <c r="AQ85" i="12"/>
  <c r="AP85" i="12"/>
  <c r="AN85" i="12"/>
  <c r="AD85" i="12"/>
  <c r="AC85" i="12"/>
  <c r="U85" i="12"/>
  <c r="T85" i="12"/>
  <c r="J85" i="12"/>
  <c r="H85" i="12"/>
  <c r="G85" i="12"/>
  <c r="E85" i="12"/>
  <c r="D85" i="12"/>
  <c r="C85" i="12"/>
  <c r="A85" i="12"/>
  <c r="AY84" i="12"/>
  <c r="AQ84" i="12"/>
  <c r="AP84" i="12"/>
  <c r="AN84" i="12"/>
  <c r="AD84" i="12"/>
  <c r="AC84" i="12"/>
  <c r="U84" i="12"/>
  <c r="T84" i="12"/>
  <c r="J84" i="12"/>
  <c r="H84" i="12"/>
  <c r="G84" i="12"/>
  <c r="E84" i="12"/>
  <c r="D84" i="12"/>
  <c r="C84" i="12"/>
  <c r="A84" i="12"/>
  <c r="AY83" i="12"/>
  <c r="AQ83" i="12"/>
  <c r="AP83" i="12"/>
  <c r="AN83" i="12"/>
  <c r="AD83" i="12"/>
  <c r="AC83" i="12"/>
  <c r="U83" i="12"/>
  <c r="T83" i="12"/>
  <c r="J83" i="12"/>
  <c r="H83" i="12"/>
  <c r="G83" i="12"/>
  <c r="E83" i="12"/>
  <c r="D83" i="12"/>
  <c r="C83" i="12"/>
  <c r="A83" i="12"/>
  <c r="AY82" i="12"/>
  <c r="AQ82" i="12"/>
  <c r="AP82" i="12"/>
  <c r="AN82" i="12"/>
  <c r="AD82" i="12"/>
  <c r="AC82" i="12"/>
  <c r="U82" i="12"/>
  <c r="T82" i="12"/>
  <c r="J82" i="12"/>
  <c r="H82" i="12"/>
  <c r="G82" i="12"/>
  <c r="E82" i="12"/>
  <c r="D82" i="12"/>
  <c r="C82" i="12"/>
  <c r="A82" i="12"/>
  <c r="AY81" i="12"/>
  <c r="AQ81" i="12"/>
  <c r="AP81" i="12"/>
  <c r="AN81" i="12"/>
  <c r="AD81" i="12"/>
  <c r="AC81" i="12"/>
  <c r="U81" i="12"/>
  <c r="T81" i="12"/>
  <c r="J81" i="12"/>
  <c r="H81" i="12"/>
  <c r="G81" i="12"/>
  <c r="E81" i="12"/>
  <c r="D81" i="12"/>
  <c r="C81" i="12"/>
  <c r="A81" i="12"/>
  <c r="AY80" i="12"/>
  <c r="AQ80" i="12"/>
  <c r="AP80" i="12"/>
  <c r="AN80" i="12"/>
  <c r="AD80" i="12"/>
  <c r="AC80" i="12"/>
  <c r="U80" i="12"/>
  <c r="T80" i="12"/>
  <c r="J80" i="12"/>
  <c r="H80" i="12"/>
  <c r="G80" i="12"/>
  <c r="E80" i="12"/>
  <c r="D80" i="12"/>
  <c r="C80" i="12"/>
  <c r="A80" i="12"/>
  <c r="AY79" i="12"/>
  <c r="AQ79" i="12"/>
  <c r="AP79" i="12"/>
  <c r="AN79" i="12"/>
  <c r="AD79" i="12"/>
  <c r="AC79" i="12"/>
  <c r="U79" i="12"/>
  <c r="T79" i="12"/>
  <c r="J79" i="12"/>
  <c r="H79" i="12"/>
  <c r="G79" i="12"/>
  <c r="E79" i="12"/>
  <c r="D79" i="12"/>
  <c r="C79" i="12"/>
  <c r="A79" i="12"/>
  <c r="AY78" i="12"/>
  <c r="AQ78" i="12"/>
  <c r="AP78" i="12"/>
  <c r="AN78" i="12"/>
  <c r="AD78" i="12"/>
  <c r="AC78" i="12"/>
  <c r="U78" i="12"/>
  <c r="T78" i="12"/>
  <c r="J78" i="12"/>
  <c r="H78" i="12"/>
  <c r="G78" i="12"/>
  <c r="E78" i="12"/>
  <c r="D78" i="12"/>
  <c r="C78" i="12"/>
  <c r="A78" i="12"/>
  <c r="AY77" i="12"/>
  <c r="AQ77" i="12"/>
  <c r="AP77" i="12"/>
  <c r="AN77" i="12"/>
  <c r="AD77" i="12"/>
  <c r="AC77" i="12"/>
  <c r="U77" i="12"/>
  <c r="T77" i="12"/>
  <c r="J77" i="12"/>
  <c r="H77" i="12"/>
  <c r="G77" i="12"/>
  <c r="E77" i="12"/>
  <c r="D77" i="12"/>
  <c r="C77" i="12"/>
  <c r="A77" i="12"/>
  <c r="AY76" i="12"/>
  <c r="AQ76" i="12"/>
  <c r="AP76" i="12"/>
  <c r="AN76" i="12"/>
  <c r="AD76" i="12"/>
  <c r="AC76" i="12"/>
  <c r="U76" i="12"/>
  <c r="T76" i="12"/>
  <c r="J76" i="12"/>
  <c r="H76" i="12"/>
  <c r="G76" i="12"/>
  <c r="E76" i="12"/>
  <c r="D76" i="12"/>
  <c r="C76" i="12"/>
  <c r="A76" i="12"/>
  <c r="AY75" i="12"/>
  <c r="AQ75" i="12"/>
  <c r="AP75" i="12"/>
  <c r="AN75" i="12"/>
  <c r="AD75" i="12"/>
  <c r="AC75" i="12"/>
  <c r="U75" i="12"/>
  <c r="T75" i="12"/>
  <c r="J75" i="12"/>
  <c r="H75" i="12"/>
  <c r="G75" i="12"/>
  <c r="E75" i="12"/>
  <c r="D75" i="12"/>
  <c r="C75" i="12"/>
  <c r="A75" i="12"/>
  <c r="AY74" i="12"/>
  <c r="AQ74" i="12"/>
  <c r="AP74" i="12"/>
  <c r="AN74" i="12"/>
  <c r="AD74" i="12"/>
  <c r="AC74" i="12"/>
  <c r="U74" i="12"/>
  <c r="T74" i="12"/>
  <c r="J74" i="12"/>
  <c r="H74" i="12"/>
  <c r="G74" i="12"/>
  <c r="E74" i="12"/>
  <c r="D74" i="12"/>
  <c r="C74" i="12"/>
  <c r="A74" i="12"/>
  <c r="AY73" i="12"/>
  <c r="AQ73" i="12"/>
  <c r="AP73" i="12"/>
  <c r="AN73" i="12"/>
  <c r="AD73" i="12"/>
  <c r="AC73" i="12"/>
  <c r="U73" i="12"/>
  <c r="T73" i="12"/>
  <c r="J73" i="12"/>
  <c r="H73" i="12"/>
  <c r="G73" i="12"/>
  <c r="E73" i="12"/>
  <c r="D73" i="12"/>
  <c r="C73" i="12"/>
  <c r="A73" i="12"/>
  <c r="AY72" i="12"/>
  <c r="AQ72" i="12"/>
  <c r="AP72" i="12"/>
  <c r="AN72" i="12"/>
  <c r="AD72" i="12"/>
  <c r="AC72" i="12"/>
  <c r="U72" i="12"/>
  <c r="T72" i="12"/>
  <c r="J72" i="12"/>
  <c r="H72" i="12"/>
  <c r="G72" i="12"/>
  <c r="E72" i="12"/>
  <c r="D72" i="12"/>
  <c r="C72" i="12"/>
  <c r="A72" i="12"/>
  <c r="AY71" i="12"/>
  <c r="AQ71" i="12"/>
  <c r="AP71" i="12"/>
  <c r="AN71" i="12"/>
  <c r="AD71" i="12"/>
  <c r="AC71" i="12"/>
  <c r="U71" i="12"/>
  <c r="T71" i="12"/>
  <c r="J71" i="12"/>
  <c r="H71" i="12"/>
  <c r="G71" i="12"/>
  <c r="E71" i="12"/>
  <c r="D71" i="12"/>
  <c r="C71" i="12"/>
  <c r="A71" i="12"/>
  <c r="AY70" i="12"/>
  <c r="AQ70" i="12"/>
  <c r="AP70" i="12"/>
  <c r="AN70" i="12"/>
  <c r="AD70" i="12"/>
  <c r="AC70" i="12"/>
  <c r="U70" i="12"/>
  <c r="T70" i="12"/>
  <c r="J70" i="12"/>
  <c r="H70" i="12"/>
  <c r="G70" i="12"/>
  <c r="E70" i="12"/>
  <c r="D70" i="12"/>
  <c r="C70" i="12"/>
  <c r="A70" i="12"/>
  <c r="AY69" i="12"/>
  <c r="AQ69" i="12"/>
  <c r="AP69" i="12"/>
  <c r="AN69" i="12"/>
  <c r="AD69" i="12"/>
  <c r="AC69" i="12"/>
  <c r="U69" i="12"/>
  <c r="T69" i="12"/>
  <c r="J69" i="12"/>
  <c r="H69" i="12"/>
  <c r="G69" i="12"/>
  <c r="E69" i="12"/>
  <c r="D69" i="12"/>
  <c r="C69" i="12"/>
  <c r="A69" i="12"/>
  <c r="AY68" i="12"/>
  <c r="AQ68" i="12"/>
  <c r="AP68" i="12"/>
  <c r="AN68" i="12"/>
  <c r="AD68" i="12"/>
  <c r="AC68" i="12"/>
  <c r="U68" i="12"/>
  <c r="T68" i="12"/>
  <c r="J68" i="12"/>
  <c r="H68" i="12"/>
  <c r="G68" i="12"/>
  <c r="E68" i="12"/>
  <c r="D68" i="12"/>
  <c r="C68" i="12"/>
  <c r="A68" i="12"/>
  <c r="AY67" i="12"/>
  <c r="AQ67" i="12"/>
  <c r="AP67" i="12"/>
  <c r="AN67" i="12"/>
  <c r="AD67" i="12"/>
  <c r="AC67" i="12"/>
  <c r="U67" i="12"/>
  <c r="T67" i="12"/>
  <c r="J67" i="12"/>
  <c r="H67" i="12"/>
  <c r="G67" i="12"/>
  <c r="E67" i="12"/>
  <c r="D67" i="12"/>
  <c r="C67" i="12"/>
  <c r="A67" i="12"/>
  <c r="AY66" i="12"/>
  <c r="AQ66" i="12"/>
  <c r="AP66" i="12"/>
  <c r="AN66" i="12"/>
  <c r="AD66" i="12"/>
  <c r="AC66" i="12"/>
  <c r="U66" i="12"/>
  <c r="T66" i="12"/>
  <c r="J66" i="12"/>
  <c r="H66" i="12"/>
  <c r="G66" i="12"/>
  <c r="E66" i="12"/>
  <c r="D66" i="12"/>
  <c r="C66" i="12"/>
  <c r="A66" i="12"/>
  <c r="AY65" i="12"/>
  <c r="AQ65" i="12"/>
  <c r="AP65" i="12"/>
  <c r="AN65" i="12"/>
  <c r="AD65" i="12"/>
  <c r="AC65" i="12"/>
  <c r="U65" i="12"/>
  <c r="T65" i="12"/>
  <c r="J65" i="12"/>
  <c r="H65" i="12"/>
  <c r="G65" i="12"/>
  <c r="E65" i="12"/>
  <c r="D65" i="12"/>
  <c r="C65" i="12"/>
  <c r="A65" i="12"/>
  <c r="AY64" i="12"/>
  <c r="AQ64" i="12"/>
  <c r="AP64" i="12"/>
  <c r="AN64" i="12"/>
  <c r="AD64" i="12"/>
  <c r="AC64" i="12"/>
  <c r="U64" i="12"/>
  <c r="T64" i="12"/>
  <c r="J64" i="12"/>
  <c r="H64" i="12"/>
  <c r="G64" i="12"/>
  <c r="E64" i="12"/>
  <c r="D64" i="12"/>
  <c r="C64" i="12"/>
  <c r="A64" i="12"/>
  <c r="AY63" i="12"/>
  <c r="AQ63" i="12"/>
  <c r="AP63" i="12"/>
  <c r="AN63" i="12"/>
  <c r="AD63" i="12"/>
  <c r="AC63" i="12"/>
  <c r="U63" i="12"/>
  <c r="T63" i="12"/>
  <c r="J63" i="12"/>
  <c r="H63" i="12"/>
  <c r="G63" i="12"/>
  <c r="E63" i="12"/>
  <c r="D63" i="12"/>
  <c r="C63" i="12"/>
  <c r="A63" i="12"/>
  <c r="AY62" i="12"/>
  <c r="AQ62" i="12"/>
  <c r="AP62" i="12"/>
  <c r="AN62" i="12"/>
  <c r="AD62" i="12"/>
  <c r="AC62" i="12"/>
  <c r="U62" i="12"/>
  <c r="T62" i="12"/>
  <c r="J62" i="12"/>
  <c r="H62" i="12"/>
  <c r="G62" i="12"/>
  <c r="E62" i="12"/>
  <c r="D62" i="12"/>
  <c r="C62" i="12"/>
  <c r="A62" i="12"/>
  <c r="AY61" i="12"/>
  <c r="AQ61" i="12"/>
  <c r="AP61" i="12"/>
  <c r="AN61" i="12"/>
  <c r="AD61" i="12"/>
  <c r="AC61" i="12"/>
  <c r="U61" i="12"/>
  <c r="T61" i="12"/>
  <c r="J61" i="12"/>
  <c r="H61" i="12"/>
  <c r="G61" i="12"/>
  <c r="E61" i="12"/>
  <c r="D61" i="12"/>
  <c r="C61" i="12"/>
  <c r="A61" i="12"/>
  <c r="AY60" i="12"/>
  <c r="AQ60" i="12"/>
  <c r="AP60" i="12"/>
  <c r="AN60" i="12"/>
  <c r="AD60" i="12"/>
  <c r="AC60" i="12"/>
  <c r="U60" i="12"/>
  <c r="T60" i="12"/>
  <c r="J60" i="12"/>
  <c r="H60" i="12"/>
  <c r="G60" i="12"/>
  <c r="E60" i="12"/>
  <c r="D60" i="12"/>
  <c r="C60" i="12"/>
  <c r="A60" i="12"/>
  <c r="AY59" i="12"/>
  <c r="AQ59" i="12"/>
  <c r="AP59" i="12"/>
  <c r="AN59" i="12"/>
  <c r="AD59" i="12"/>
  <c r="AC59" i="12"/>
  <c r="U59" i="12"/>
  <c r="T59" i="12"/>
  <c r="J59" i="12"/>
  <c r="H59" i="12"/>
  <c r="G59" i="12"/>
  <c r="E59" i="12"/>
  <c r="D59" i="12"/>
  <c r="C59" i="12"/>
  <c r="A59" i="12"/>
  <c r="AY58" i="12"/>
  <c r="AQ58" i="12"/>
  <c r="AP58" i="12"/>
  <c r="AN58" i="12"/>
  <c r="AD58" i="12"/>
  <c r="AC58" i="12"/>
  <c r="U58" i="12"/>
  <c r="T58" i="12"/>
  <c r="J58" i="12"/>
  <c r="H58" i="12"/>
  <c r="G58" i="12"/>
  <c r="E58" i="12"/>
  <c r="D58" i="12"/>
  <c r="C58" i="12"/>
  <c r="A58" i="12"/>
  <c r="AY57" i="12"/>
  <c r="AQ57" i="12"/>
  <c r="AP57" i="12"/>
  <c r="AN57" i="12"/>
  <c r="AD57" i="12"/>
  <c r="AC57" i="12"/>
  <c r="U57" i="12"/>
  <c r="T57" i="12"/>
  <c r="J57" i="12"/>
  <c r="H57" i="12"/>
  <c r="G57" i="12"/>
  <c r="E57" i="12"/>
  <c r="D57" i="12"/>
  <c r="C57" i="12"/>
  <c r="A57" i="12"/>
  <c r="AY56" i="12"/>
  <c r="AQ56" i="12"/>
  <c r="AP56" i="12"/>
  <c r="AN56" i="12"/>
  <c r="AD56" i="12"/>
  <c r="AC56" i="12"/>
  <c r="U56" i="12"/>
  <c r="T56" i="12"/>
  <c r="J56" i="12"/>
  <c r="H56" i="12"/>
  <c r="G56" i="12"/>
  <c r="E56" i="12"/>
  <c r="D56" i="12"/>
  <c r="C56" i="12"/>
  <c r="A56" i="12"/>
  <c r="AY55" i="12"/>
  <c r="AQ55" i="12"/>
  <c r="AP55" i="12"/>
  <c r="AN55" i="12"/>
  <c r="AD55" i="12"/>
  <c r="AC55" i="12"/>
  <c r="U55" i="12"/>
  <c r="T55" i="12"/>
  <c r="J55" i="12"/>
  <c r="H55" i="12"/>
  <c r="G55" i="12"/>
  <c r="E55" i="12"/>
  <c r="D55" i="12"/>
  <c r="C55" i="12"/>
  <c r="A55" i="12"/>
  <c r="C8" i="12"/>
  <c r="J241" i="13" s="1"/>
  <c r="B8" i="12"/>
  <c r="J240" i="13" s="1"/>
  <c r="B480" i="11"/>
  <c r="B479" i="11"/>
  <c r="B478" i="11"/>
  <c r="A473" i="11"/>
  <c r="A472" i="11"/>
  <c r="A471" i="11"/>
  <c r="A470" i="11"/>
  <c r="A469" i="11"/>
  <c r="A468" i="11"/>
  <c r="A467" i="11"/>
  <c r="A466" i="11"/>
  <c r="A465" i="11"/>
  <c r="A464" i="11"/>
  <c r="A463" i="11"/>
  <c r="A462" i="11"/>
  <c r="A461" i="11"/>
  <c r="A460" i="11"/>
  <c r="A459" i="11"/>
  <c r="A456" i="11"/>
  <c r="B454" i="11"/>
  <c r="B453" i="11"/>
  <c r="B452" i="11"/>
  <c r="B451" i="11"/>
  <c r="B450" i="11"/>
  <c r="B449" i="11"/>
  <c r="B448" i="11"/>
  <c r="B447" i="11"/>
  <c r="B446" i="11"/>
  <c r="B445" i="11"/>
  <c r="B444" i="11"/>
  <c r="A440" i="11"/>
  <c r="B438" i="11"/>
  <c r="B437" i="11"/>
  <c r="B436" i="11"/>
  <c r="B435" i="11"/>
  <c r="B434" i="11"/>
  <c r="A430" i="11"/>
  <c r="A428" i="11"/>
  <c r="A426" i="11"/>
  <c r="A424" i="11"/>
  <c r="A422" i="11"/>
  <c r="A420" i="11"/>
  <c r="A418" i="11"/>
  <c r="A416" i="11"/>
  <c r="A415" i="11"/>
  <c r="A414" i="11"/>
  <c r="A413" i="11"/>
  <c r="A412" i="11"/>
  <c r="A411" i="11"/>
  <c r="A410" i="11"/>
  <c r="A409" i="11"/>
  <c r="A408" i="11"/>
  <c r="A407" i="11"/>
  <c r="A406" i="11"/>
  <c r="A405" i="11"/>
  <c r="A404" i="11"/>
  <c r="A403" i="11"/>
  <c r="A402" i="11"/>
  <c r="A401" i="11"/>
  <c r="A400" i="11"/>
  <c r="A397" i="11"/>
  <c r="A396" i="11"/>
  <c r="A395" i="11"/>
  <c r="A394" i="11"/>
  <c r="A393" i="11"/>
  <c r="A392" i="11"/>
  <c r="A391" i="11"/>
  <c r="A390" i="11"/>
  <c r="A389" i="11"/>
  <c r="A388" i="11"/>
  <c r="A387" i="11"/>
  <c r="A386" i="11"/>
  <c r="A385" i="11"/>
  <c r="A384" i="11"/>
  <c r="A383" i="11"/>
  <c r="A382" i="11"/>
  <c r="A381" i="11"/>
  <c r="A380" i="11"/>
  <c r="A379" i="11"/>
  <c r="A378" i="11"/>
  <c r="A377" i="11"/>
  <c r="A374" i="11"/>
  <c r="A372" i="11"/>
  <c r="A370" i="11"/>
  <c r="A369" i="11"/>
  <c r="A368" i="11"/>
  <c r="A367" i="11"/>
  <c r="A366" i="11"/>
  <c r="A365" i="11"/>
  <c r="A364" i="11"/>
  <c r="A363" i="11"/>
  <c r="A362" i="11"/>
  <c r="A361" i="11"/>
  <c r="A360" i="11"/>
  <c r="A359" i="11"/>
  <c r="A358" i="11"/>
  <c r="A357" i="11"/>
  <c r="A356" i="11"/>
  <c r="A355" i="11"/>
  <c r="A354" i="11"/>
  <c r="A353" i="11"/>
  <c r="A352" i="11"/>
  <c r="A351" i="11"/>
  <c r="A350" i="11"/>
  <c r="A349" i="11"/>
  <c r="A348" i="11"/>
  <c r="A347" i="11"/>
  <c r="A346" i="11"/>
  <c r="A345" i="11"/>
  <c r="A344" i="11"/>
  <c r="A341" i="11"/>
  <c r="A339" i="11"/>
  <c r="A337" i="11"/>
  <c r="F336" i="11"/>
  <c r="A336" i="11"/>
  <c r="A335" i="11"/>
  <c r="F334" i="11"/>
  <c r="A334" i="11"/>
  <c r="A333" i="11"/>
  <c r="F332" i="11"/>
  <c r="A332" i="11"/>
  <c r="A331" i="11"/>
  <c r="F330" i="11"/>
  <c r="A330" i="11"/>
  <c r="A329" i="11"/>
  <c r="F328" i="11"/>
  <c r="A328" i="11"/>
  <c r="A327" i="11"/>
  <c r="F326" i="11"/>
  <c r="A326" i="11"/>
  <c r="A325" i="11"/>
  <c r="F324" i="11"/>
  <c r="A324" i="11"/>
  <c r="A323" i="11"/>
  <c r="F322" i="11"/>
  <c r="A322" i="11"/>
  <c r="A321" i="11"/>
  <c r="F320" i="11"/>
  <c r="A320" i="11"/>
  <c r="A319" i="11"/>
  <c r="F318" i="11"/>
  <c r="A318" i="11"/>
  <c r="A317" i="11"/>
  <c r="F316" i="11"/>
  <c r="A316" i="11"/>
  <c r="A315" i="11"/>
  <c r="F314" i="11"/>
  <c r="A314" i="11"/>
  <c r="A313" i="11"/>
  <c r="F312" i="11"/>
  <c r="A312" i="11"/>
  <c r="A311" i="11"/>
  <c r="F308" i="11"/>
  <c r="A308" i="11"/>
  <c r="F306" i="11"/>
  <c r="A306" i="11"/>
  <c r="F304" i="11"/>
  <c r="A304" i="11"/>
  <c r="A303" i="11"/>
  <c r="F302" i="11"/>
  <c r="A302" i="11"/>
  <c r="A301" i="11"/>
  <c r="F300" i="11"/>
  <c r="A300" i="11"/>
  <c r="A299" i="11"/>
  <c r="F298" i="11"/>
  <c r="A298" i="11"/>
  <c r="A297" i="11"/>
  <c r="F296" i="11"/>
  <c r="A296" i="11"/>
  <c r="A295" i="11"/>
  <c r="F294" i="11"/>
  <c r="A294" i="11"/>
  <c r="A293" i="11"/>
  <c r="F292" i="11"/>
  <c r="A292" i="11"/>
  <c r="A291" i="11"/>
  <c r="F290" i="11"/>
  <c r="A290" i="11"/>
  <c r="A289" i="11"/>
  <c r="F288" i="11"/>
  <c r="A288" i="11"/>
  <c r="A287" i="11"/>
  <c r="F286" i="11"/>
  <c r="A286" i="11"/>
  <c r="A285" i="11"/>
  <c r="F284" i="11"/>
  <c r="A284" i="11"/>
  <c r="A283" i="11"/>
  <c r="F282" i="11"/>
  <c r="A282" i="11"/>
  <c r="A281" i="11"/>
  <c r="F280" i="11"/>
  <c r="A280" i="11"/>
  <c r="A279" i="11"/>
  <c r="F278" i="11"/>
  <c r="A278" i="11"/>
  <c r="A275" i="11"/>
  <c r="A273" i="11"/>
  <c r="A271" i="11"/>
  <c r="A270" i="11"/>
  <c r="A269" i="11"/>
  <c r="A268" i="11"/>
  <c r="A267" i="11"/>
  <c r="A266" i="11"/>
  <c r="A265" i="11"/>
  <c r="A264" i="11"/>
  <c r="A263" i="11"/>
  <c r="A262" i="11"/>
  <c r="A261" i="11"/>
  <c r="A260" i="11"/>
  <c r="A259" i="11"/>
  <c r="A258" i="11"/>
  <c r="A257" i="11"/>
  <c r="A256" i="11"/>
  <c r="A255" i="11"/>
  <c r="A254" i="11"/>
  <c r="A253" i="11"/>
  <c r="A252" i="11"/>
  <c r="A251" i="11"/>
  <c r="A250" i="11"/>
  <c r="A249" i="11"/>
  <c r="A248" i="11"/>
  <c r="A247" i="11"/>
  <c r="A246" i="11"/>
  <c r="A245" i="11"/>
  <c r="A242" i="11"/>
  <c r="A240" i="11"/>
  <c r="A238" i="11"/>
  <c r="A237" i="11"/>
  <c r="A236" i="11"/>
  <c r="A235" i="11"/>
  <c r="A234" i="11"/>
  <c r="A233" i="11"/>
  <c r="A232" i="11"/>
  <c r="A231" i="11"/>
  <c r="A230" i="11"/>
  <c r="A229" i="11"/>
  <c r="A228" i="11"/>
  <c r="A227" i="11"/>
  <c r="A226" i="11"/>
  <c r="A225" i="11"/>
  <c r="A224" i="11"/>
  <c r="A223" i="11"/>
  <c r="A222" i="11"/>
  <c r="A221" i="11"/>
  <c r="A220" i="11"/>
  <c r="A219" i="11"/>
  <c r="A218" i="11"/>
  <c r="A217" i="11"/>
  <c r="A216" i="11"/>
  <c r="A215" i="11"/>
  <c r="A214" i="11"/>
  <c r="A213" i="11"/>
  <c r="A212" i="11"/>
  <c r="A209" i="11"/>
  <c r="A207" i="11"/>
  <c r="A205" i="11"/>
  <c r="A204" i="11"/>
  <c r="A203" i="11"/>
  <c r="A202" i="11"/>
  <c r="A201" i="11"/>
  <c r="A200" i="11"/>
  <c r="A199" i="11"/>
  <c r="A198" i="11"/>
  <c r="A197" i="11"/>
  <c r="A196" i="11"/>
  <c r="A195" i="11"/>
  <c r="A194" i="11"/>
  <c r="A193" i="11"/>
  <c r="A192" i="11"/>
  <c r="A191" i="11"/>
  <c r="A190" i="11"/>
  <c r="A189" i="11"/>
  <c r="A188" i="11"/>
  <c r="A187" i="11"/>
  <c r="A186" i="11"/>
  <c r="A185" i="11"/>
  <c r="A184" i="11"/>
  <c r="A183" i="11"/>
  <c r="A182" i="11"/>
  <c r="A181" i="11"/>
  <c r="A180" i="11"/>
  <c r="A179" i="11"/>
  <c r="A176" i="11"/>
  <c r="A174" i="11"/>
  <c r="A172" i="11"/>
  <c r="A171" i="11"/>
  <c r="A170" i="11"/>
  <c r="A169" i="11"/>
  <c r="A168" i="11"/>
  <c r="A167" i="11"/>
  <c r="A166" i="11"/>
  <c r="A165" i="11"/>
  <c r="A164" i="11"/>
  <c r="A163" i="11"/>
  <c r="A162" i="11"/>
  <c r="A161" i="11"/>
  <c r="A160" i="11"/>
  <c r="A159" i="11"/>
  <c r="A158" i="11"/>
  <c r="A157" i="11"/>
  <c r="A156" i="11"/>
  <c r="A155" i="11"/>
  <c r="A154" i="11"/>
  <c r="A153" i="11"/>
  <c r="A152" i="11"/>
  <c r="A151" i="11"/>
  <c r="A150" i="11"/>
  <c r="A149" i="11"/>
  <c r="A148" i="11"/>
  <c r="A147" i="11"/>
  <c r="A146" i="11"/>
  <c r="A143" i="11"/>
  <c r="A141" i="11"/>
  <c r="A139" i="11"/>
  <c r="A138" i="11"/>
  <c r="A137" i="11"/>
  <c r="A136" i="11"/>
  <c r="A135" i="11"/>
  <c r="A134" i="11"/>
  <c r="A133" i="11"/>
  <c r="A132" i="11"/>
  <c r="A131" i="11"/>
  <c r="A130" i="11"/>
  <c r="A129" i="11"/>
  <c r="A128" i="11"/>
  <c r="A127" i="11"/>
  <c r="A126" i="11"/>
  <c r="A125" i="11"/>
  <c r="A124" i="11"/>
  <c r="A123" i="11"/>
  <c r="A122" i="11"/>
  <c r="A121" i="11"/>
  <c r="A120" i="11"/>
  <c r="A119" i="11"/>
  <c r="A118" i="11"/>
  <c r="A117" i="11"/>
  <c r="A116" i="11"/>
  <c r="A115" i="11"/>
  <c r="A114" i="11"/>
  <c r="A113" i="11"/>
  <c r="A110" i="11"/>
  <c r="A108" i="11"/>
  <c r="A106" i="11"/>
  <c r="A104" i="11"/>
  <c r="A102" i="11"/>
  <c r="A100" i="11"/>
  <c r="A98" i="11"/>
  <c r="A96" i="11"/>
  <c r="A94" i="11"/>
  <c r="A92" i="11"/>
  <c r="A90" i="11"/>
  <c r="A88" i="11"/>
  <c r="A86" i="11"/>
  <c r="A84" i="11"/>
  <c r="A82" i="11"/>
  <c r="A80" i="11"/>
  <c r="AK76" i="11"/>
  <c r="AE76" i="11"/>
  <c r="AC76" i="11"/>
  <c r="X76" i="11"/>
  <c r="W76" i="11"/>
  <c r="H76" i="11"/>
  <c r="E76" i="11"/>
  <c r="A76" i="11"/>
  <c r="AK75" i="11"/>
  <c r="AE75" i="11"/>
  <c r="AC75" i="11"/>
  <c r="X75" i="11"/>
  <c r="W75" i="11"/>
  <c r="H75" i="11"/>
  <c r="E75" i="11"/>
  <c r="A75" i="11"/>
  <c r="AK74" i="11"/>
  <c r="AE74" i="11"/>
  <c r="AC74" i="11"/>
  <c r="X74" i="11"/>
  <c r="W74" i="11"/>
  <c r="H74" i="11"/>
  <c r="E74" i="11"/>
  <c r="A74" i="11"/>
  <c r="AK73" i="11"/>
  <c r="AE73" i="11"/>
  <c r="AC73" i="11"/>
  <c r="X73" i="11"/>
  <c r="W73" i="11"/>
  <c r="H73" i="11"/>
  <c r="E73" i="11"/>
  <c r="A73" i="11"/>
  <c r="AK72" i="11"/>
  <c r="AE72" i="11"/>
  <c r="AC72" i="11"/>
  <c r="X72" i="11"/>
  <c r="W72" i="11"/>
  <c r="H72" i="11"/>
  <c r="E72" i="11"/>
  <c r="A72" i="11"/>
  <c r="AK71" i="11"/>
  <c r="AE71" i="11"/>
  <c r="AC71" i="11"/>
  <c r="X71" i="11"/>
  <c r="W71" i="11"/>
  <c r="H71" i="11"/>
  <c r="E71" i="11"/>
  <c r="A71" i="11"/>
  <c r="AK70" i="11"/>
  <c r="AE70" i="11"/>
  <c r="AC70" i="11"/>
  <c r="X70" i="11"/>
  <c r="W70" i="11"/>
  <c r="H70" i="11"/>
  <c r="E70" i="11"/>
  <c r="A70" i="11"/>
  <c r="AK69" i="11"/>
  <c r="AE69" i="11"/>
  <c r="AC69" i="11"/>
  <c r="X69" i="11"/>
  <c r="W69" i="11"/>
  <c r="H69" i="11"/>
  <c r="E69" i="11"/>
  <c r="A69" i="11"/>
  <c r="AK68" i="11"/>
  <c r="AE68" i="11"/>
  <c r="AC68" i="11"/>
  <c r="X68" i="11"/>
  <c r="W68" i="11"/>
  <c r="H68" i="11"/>
  <c r="E68" i="11"/>
  <c r="A68" i="11"/>
  <c r="AK67" i="11"/>
  <c r="AE67" i="11"/>
  <c r="AC67" i="11"/>
  <c r="X67" i="11"/>
  <c r="W67" i="11"/>
  <c r="H67" i="11"/>
  <c r="E67" i="11"/>
  <c r="A67" i="11"/>
  <c r="AK66" i="11"/>
  <c r="AE66" i="11"/>
  <c r="AC66" i="11"/>
  <c r="X66" i="11"/>
  <c r="W66" i="11"/>
  <c r="H66" i="11"/>
  <c r="E66" i="11"/>
  <c r="A66" i="11"/>
  <c r="AK65" i="11"/>
  <c r="AE65" i="11"/>
  <c r="AC65" i="11"/>
  <c r="X65" i="11"/>
  <c r="W65" i="11"/>
  <c r="H65" i="11"/>
  <c r="E65" i="11"/>
  <c r="A65" i="11"/>
  <c r="AK64" i="11"/>
  <c r="AE64" i="11"/>
  <c r="AC64" i="11"/>
  <c r="X64" i="11"/>
  <c r="W64" i="11"/>
  <c r="H64" i="11"/>
  <c r="E64" i="11"/>
  <c r="A64" i="11"/>
  <c r="AK63" i="11"/>
  <c r="AE63" i="11"/>
  <c r="AC63" i="11"/>
  <c r="X63" i="11"/>
  <c r="W63" i="11"/>
  <c r="H63" i="11"/>
  <c r="E63" i="11"/>
  <c r="A63" i="11"/>
  <c r="AK62" i="11"/>
  <c r="AE62" i="11"/>
  <c r="AC62" i="11"/>
  <c r="X62" i="11"/>
  <c r="W62" i="11"/>
  <c r="H62" i="11"/>
  <c r="E62" i="11"/>
  <c r="A62" i="11"/>
  <c r="AK61" i="11"/>
  <c r="AE61" i="11"/>
  <c r="AC61" i="11"/>
  <c r="X61" i="11"/>
  <c r="W61" i="11"/>
  <c r="H61" i="11"/>
  <c r="E61" i="11"/>
  <c r="A61" i="11"/>
  <c r="AK60" i="11"/>
  <c r="AE60" i="11"/>
  <c r="AC60" i="11"/>
  <c r="X60" i="11"/>
  <c r="W60" i="11"/>
  <c r="H60" i="11"/>
  <c r="E60" i="11"/>
  <c r="A60" i="11"/>
  <c r="AK59" i="11"/>
  <c r="AE59" i="11"/>
  <c r="AC59" i="11"/>
  <c r="X59" i="11"/>
  <c r="W59" i="11"/>
  <c r="H59" i="11"/>
  <c r="E59" i="11"/>
  <c r="A59" i="11"/>
  <c r="AK58" i="11"/>
  <c r="AE58" i="11"/>
  <c r="AC58" i="11"/>
  <c r="X58" i="11"/>
  <c r="W58" i="11"/>
  <c r="H58" i="11"/>
  <c r="E58" i="11"/>
  <c r="A58" i="11"/>
  <c r="AK57" i="11"/>
  <c r="AE57" i="11"/>
  <c r="AC57" i="11"/>
  <c r="X57" i="11"/>
  <c r="W57" i="11"/>
  <c r="H57" i="11"/>
  <c r="E57" i="11"/>
  <c r="A57" i="11"/>
  <c r="AK56" i="11"/>
  <c r="AE56" i="11"/>
  <c r="AC56" i="11"/>
  <c r="X56" i="11"/>
  <c r="W56" i="11"/>
  <c r="H56" i="11"/>
  <c r="E56" i="11"/>
  <c r="A56" i="11"/>
  <c r="AK55" i="11"/>
  <c r="AE55" i="11"/>
  <c r="AC55" i="11"/>
  <c r="X55" i="11"/>
  <c r="W55" i="11"/>
  <c r="H55" i="11"/>
  <c r="E55" i="11"/>
  <c r="A55" i="11"/>
  <c r="AK54" i="11"/>
  <c r="AE54" i="11"/>
  <c r="AC54" i="11"/>
  <c r="X54" i="11"/>
  <c r="W54" i="11"/>
  <c r="H54" i="11"/>
  <c r="E54" i="11"/>
  <c r="A54" i="11"/>
  <c r="AK53" i="11"/>
  <c r="AE53" i="11"/>
  <c r="AC53" i="11"/>
  <c r="X53" i="11"/>
  <c r="W53" i="11"/>
  <c r="H53" i="11"/>
  <c r="E53" i="11"/>
  <c r="A53" i="11"/>
  <c r="AK52" i="11"/>
  <c r="AE52" i="11"/>
  <c r="AC52" i="11"/>
  <c r="X52" i="11"/>
  <c r="W52" i="11"/>
  <c r="H52" i="11"/>
  <c r="E52" i="11"/>
  <c r="A52" i="11"/>
  <c r="AK51" i="11"/>
  <c r="AE51" i="11"/>
  <c r="AC51" i="11"/>
  <c r="X51" i="11"/>
  <c r="W51" i="11"/>
  <c r="H51" i="11"/>
  <c r="E51" i="11"/>
  <c r="A51" i="11"/>
  <c r="AK50" i="11"/>
  <c r="AE50" i="11"/>
  <c r="AC50" i="11"/>
  <c r="X50" i="11"/>
  <c r="W50" i="11"/>
  <c r="H50" i="11"/>
  <c r="E50" i="11"/>
  <c r="A50" i="11"/>
  <c r="AK49" i="11"/>
  <c r="AE49" i="11"/>
  <c r="AC49" i="11"/>
  <c r="X49" i="11"/>
  <c r="W49" i="11"/>
  <c r="H49" i="11"/>
  <c r="E49" i="11"/>
  <c r="A49" i="11"/>
  <c r="AK48" i="11"/>
  <c r="AE48" i="11"/>
  <c r="AC48" i="11"/>
  <c r="X48" i="11"/>
  <c r="W48" i="11"/>
  <c r="H48" i="11"/>
  <c r="E48" i="11"/>
  <c r="A48" i="11"/>
  <c r="AK47" i="11"/>
  <c r="AE47" i="11"/>
  <c r="AC47" i="11"/>
  <c r="X47" i="11"/>
  <c r="W47" i="11"/>
  <c r="H47" i="11"/>
  <c r="E47" i="11"/>
  <c r="A47" i="11"/>
  <c r="AK46" i="11"/>
  <c r="AE46" i="11"/>
  <c r="AC46" i="11"/>
  <c r="X46" i="11"/>
  <c r="W46" i="11"/>
  <c r="H46" i="11"/>
  <c r="E46" i="11"/>
  <c r="A46" i="11"/>
  <c r="AK45" i="11"/>
  <c r="AE45" i="11"/>
  <c r="AC45" i="11"/>
  <c r="X45" i="11"/>
  <c r="W45" i="11"/>
  <c r="H45" i="11"/>
  <c r="E45" i="11"/>
  <c r="A45" i="11"/>
  <c r="AK44" i="11"/>
  <c r="AE44" i="11"/>
  <c r="AC44" i="11"/>
  <c r="X44" i="11"/>
  <c r="W44" i="11"/>
  <c r="H44" i="11"/>
  <c r="E44" i="11"/>
  <c r="A44" i="11"/>
  <c r="AK43" i="11"/>
  <c r="AE43" i="11"/>
  <c r="AC43" i="11"/>
  <c r="X43" i="11"/>
  <c r="W43" i="11"/>
  <c r="H43" i="11"/>
  <c r="E43" i="11"/>
  <c r="A43" i="11"/>
  <c r="AK42" i="11"/>
  <c r="AE42" i="11"/>
  <c r="AC42" i="11"/>
  <c r="X42" i="11"/>
  <c r="W42" i="11"/>
  <c r="H42" i="11"/>
  <c r="E42" i="11"/>
  <c r="A42" i="11"/>
  <c r="AK41" i="11"/>
  <c r="AE41" i="11"/>
  <c r="AC41" i="11"/>
  <c r="X41" i="11"/>
  <c r="W41" i="11"/>
  <c r="H41" i="11"/>
  <c r="E41" i="11"/>
  <c r="A41" i="11"/>
  <c r="AK40" i="11"/>
  <c r="AE40" i="11"/>
  <c r="AC40" i="11"/>
  <c r="X40" i="11"/>
  <c r="W40" i="11"/>
  <c r="H40" i="11"/>
  <c r="E40" i="11"/>
  <c r="A40" i="11"/>
  <c r="AK39" i="11"/>
  <c r="AE39" i="11"/>
  <c r="AC39" i="11"/>
  <c r="X39" i="11"/>
  <c r="W39" i="11"/>
  <c r="H39" i="11"/>
  <c r="E39" i="11"/>
  <c r="A39" i="11"/>
  <c r="AK38" i="11"/>
  <c r="AE38" i="11"/>
  <c r="AC38" i="11"/>
  <c r="X38" i="11"/>
  <c r="W38" i="11"/>
  <c r="H38" i="11"/>
  <c r="E38" i="11"/>
  <c r="A38" i="11"/>
  <c r="AK37" i="11"/>
  <c r="AE37" i="11"/>
  <c r="AC37" i="11"/>
  <c r="X37" i="11"/>
  <c r="W37" i="11"/>
  <c r="H37" i="11"/>
  <c r="E37" i="11"/>
  <c r="A37" i="11"/>
  <c r="AK36" i="11"/>
  <c r="AE36" i="11"/>
  <c r="AC36" i="11"/>
  <c r="X36" i="11"/>
  <c r="W36" i="11"/>
  <c r="H36" i="11"/>
  <c r="E36" i="11"/>
  <c r="A36" i="11"/>
  <c r="AK35" i="11"/>
  <c r="AE35" i="11"/>
  <c r="AC35" i="11"/>
  <c r="X35" i="11"/>
  <c r="W35" i="11"/>
  <c r="H35" i="11"/>
  <c r="E35" i="11"/>
  <c r="A35" i="11"/>
  <c r="AK34" i="11"/>
  <c r="AE34" i="11"/>
  <c r="AC34" i="11"/>
  <c r="X34" i="11"/>
  <c r="W34" i="11"/>
  <c r="H34" i="11"/>
  <c r="E34" i="11"/>
  <c r="A34" i="11"/>
  <c r="AK33" i="11"/>
  <c r="AE33" i="11"/>
  <c r="AC33" i="11"/>
  <c r="X33" i="11"/>
  <c r="W33" i="11"/>
  <c r="H33" i="11"/>
  <c r="E33" i="11"/>
  <c r="A33" i="11"/>
  <c r="AK32" i="11"/>
  <c r="AE32" i="11"/>
  <c r="AC32" i="11"/>
  <c r="X32" i="11"/>
  <c r="W32" i="11"/>
  <c r="H32" i="11"/>
  <c r="E32" i="11"/>
  <c r="A32" i="11"/>
  <c r="AK31" i="11"/>
  <c r="AE31" i="11"/>
  <c r="AC31" i="11"/>
  <c r="X31" i="11"/>
  <c r="W31" i="11"/>
  <c r="H31" i="11"/>
  <c r="E31" i="11"/>
  <c r="A31" i="11"/>
  <c r="AK30" i="11"/>
  <c r="AE30" i="11"/>
  <c r="AC30" i="11"/>
  <c r="X30" i="11"/>
  <c r="W30" i="11"/>
  <c r="H30" i="11"/>
  <c r="E30" i="11"/>
  <c r="A30" i="11"/>
  <c r="AK29" i="11"/>
  <c r="AE29" i="11"/>
  <c r="AC29" i="11"/>
  <c r="X29" i="11"/>
  <c r="W29" i="11"/>
  <c r="H29" i="11"/>
  <c r="E29" i="11"/>
  <c r="A29" i="11"/>
  <c r="AK28" i="11"/>
  <c r="AE28" i="11"/>
  <c r="AC28" i="11"/>
  <c r="X28" i="11"/>
  <c r="W28" i="11"/>
  <c r="H28" i="11"/>
  <c r="E28" i="11"/>
  <c r="A28" i="11"/>
  <c r="AK27" i="11"/>
  <c r="AE27" i="11"/>
  <c r="B439" i="11" s="1"/>
  <c r="AC27" i="11"/>
  <c r="X27" i="11"/>
  <c r="W27" i="11"/>
  <c r="H27" i="11"/>
  <c r="E27" i="11"/>
  <c r="A27" i="11"/>
  <c r="H22" i="11"/>
  <c r="H21" i="11"/>
  <c r="E21" i="11"/>
  <c r="H20" i="11"/>
  <c r="E20" i="11"/>
  <c r="H19" i="11"/>
  <c r="E19" i="11"/>
  <c r="H18" i="11"/>
  <c r="E18" i="11"/>
  <c r="B18" i="11"/>
  <c r="K17" i="11"/>
  <c r="H17" i="11"/>
  <c r="E17" i="11"/>
  <c r="B17" i="11"/>
  <c r="K16" i="11"/>
  <c r="H16" i="11"/>
  <c r="E16" i="11"/>
  <c r="B16" i="11"/>
  <c r="K15" i="11"/>
  <c r="H15" i="11"/>
  <c r="E15" i="11"/>
  <c r="B15" i="11"/>
  <c r="K14" i="11"/>
  <c r="H14" i="11"/>
  <c r="E14" i="11"/>
  <c r="B14" i="11"/>
  <c r="H13" i="11"/>
  <c r="E13" i="11"/>
  <c r="B13" i="11"/>
  <c r="H12" i="11"/>
  <c r="E12" i="11"/>
  <c r="B12" i="11"/>
  <c r="J8" i="11"/>
  <c r="J220" i="13" s="1"/>
  <c r="I8" i="11"/>
  <c r="H8" i="11"/>
  <c r="G8" i="11"/>
  <c r="F8" i="11"/>
  <c r="E8" i="11"/>
  <c r="D8" i="11"/>
  <c r="C8" i="11"/>
  <c r="C3" i="11"/>
  <c r="BU168" i="10"/>
  <c r="BS168" i="10"/>
  <c r="BO168" i="10"/>
  <c r="BN168" i="10"/>
  <c r="BM168" i="10"/>
  <c r="BF168" i="10"/>
  <c r="AA168" i="10"/>
  <c r="AD168" i="10" s="1"/>
  <c r="AG168" i="10" s="1"/>
  <c r="L168" i="10"/>
  <c r="J168" i="10"/>
  <c r="H168" i="10"/>
  <c r="G168" i="10"/>
  <c r="F168" i="10"/>
  <c r="D168" i="10"/>
  <c r="BV168" i="10" s="1"/>
  <c r="C168" i="10"/>
  <c r="A168" i="10"/>
  <c r="BU167" i="10"/>
  <c r="BS167" i="10"/>
  <c r="BO167" i="10"/>
  <c r="BN167" i="10"/>
  <c r="BM167" i="10"/>
  <c r="BF167" i="10"/>
  <c r="AA167" i="10"/>
  <c r="AD167" i="10" s="1"/>
  <c r="AG167" i="10" s="1"/>
  <c r="L167" i="10"/>
  <c r="J167" i="10"/>
  <c r="H167" i="10"/>
  <c r="G167" i="10"/>
  <c r="F167" i="10"/>
  <c r="D167" i="10"/>
  <c r="BV167" i="10" s="1"/>
  <c r="C167" i="10"/>
  <c r="A167" i="10"/>
  <c r="BU166" i="10"/>
  <c r="BS166" i="10"/>
  <c r="BO166" i="10"/>
  <c r="BN166" i="10"/>
  <c r="BM166" i="10"/>
  <c r="BF166" i="10"/>
  <c r="AA166" i="10"/>
  <c r="AD166" i="10" s="1"/>
  <c r="AG166" i="10" s="1"/>
  <c r="L166" i="10"/>
  <c r="J166" i="10"/>
  <c r="H166" i="10"/>
  <c r="G166" i="10"/>
  <c r="F166" i="10"/>
  <c r="D166" i="10"/>
  <c r="BV166" i="10" s="1"/>
  <c r="C166" i="10"/>
  <c r="A166" i="10"/>
  <c r="BU165" i="10"/>
  <c r="BS165" i="10"/>
  <c r="BO165" i="10"/>
  <c r="BN165" i="10"/>
  <c r="BM165" i="10"/>
  <c r="BF165" i="10"/>
  <c r="AA165" i="10"/>
  <c r="AD165" i="10" s="1"/>
  <c r="AG165" i="10" s="1"/>
  <c r="L165" i="10"/>
  <c r="J165" i="10"/>
  <c r="H165" i="10"/>
  <c r="G165" i="10"/>
  <c r="F165" i="10"/>
  <c r="D165" i="10"/>
  <c r="BV165" i="10" s="1"/>
  <c r="C165" i="10"/>
  <c r="A165" i="10"/>
  <c r="BU164" i="10"/>
  <c r="BS164" i="10"/>
  <c r="BO164" i="10"/>
  <c r="BN164" i="10"/>
  <c r="BM164" i="10"/>
  <c r="BF164" i="10"/>
  <c r="AA164" i="10"/>
  <c r="AD164" i="10" s="1"/>
  <c r="AG164" i="10" s="1"/>
  <c r="L164" i="10"/>
  <c r="J164" i="10"/>
  <c r="H164" i="10"/>
  <c r="G164" i="10"/>
  <c r="F164" i="10"/>
  <c r="D164" i="10"/>
  <c r="BV164" i="10" s="1"/>
  <c r="C164" i="10"/>
  <c r="A164" i="10"/>
  <c r="BU163" i="10"/>
  <c r="BS163" i="10"/>
  <c r="BO163" i="10"/>
  <c r="BN163" i="10"/>
  <c r="BM163" i="10"/>
  <c r="BF163" i="10"/>
  <c r="AA163" i="10"/>
  <c r="AD163" i="10" s="1"/>
  <c r="AG163" i="10" s="1"/>
  <c r="L163" i="10"/>
  <c r="J163" i="10"/>
  <c r="H163" i="10"/>
  <c r="G163" i="10"/>
  <c r="F163" i="10"/>
  <c r="D163" i="10"/>
  <c r="BV163" i="10" s="1"/>
  <c r="C163" i="10"/>
  <c r="A163" i="10"/>
  <c r="BU162" i="10"/>
  <c r="BS162" i="10"/>
  <c r="BO162" i="10"/>
  <c r="BN162" i="10"/>
  <c r="BM162" i="10"/>
  <c r="BF162" i="10"/>
  <c r="AA162" i="10"/>
  <c r="AD162" i="10" s="1"/>
  <c r="AG162" i="10" s="1"/>
  <c r="L162" i="10"/>
  <c r="J162" i="10"/>
  <c r="H162" i="10"/>
  <c r="G162" i="10"/>
  <c r="F162" i="10"/>
  <c r="D162" i="10"/>
  <c r="BV162" i="10" s="1"/>
  <c r="C162" i="10"/>
  <c r="A162" i="10"/>
  <c r="BU161" i="10"/>
  <c r="BS161" i="10"/>
  <c r="BO161" i="10"/>
  <c r="BN161" i="10"/>
  <c r="BM161" i="10"/>
  <c r="BF161" i="10"/>
  <c r="AA161" i="10"/>
  <c r="AD161" i="10" s="1"/>
  <c r="AG161" i="10" s="1"/>
  <c r="L161" i="10"/>
  <c r="J161" i="10"/>
  <c r="H161" i="10"/>
  <c r="G161" i="10"/>
  <c r="F161" i="10"/>
  <c r="D161" i="10"/>
  <c r="BV161" i="10" s="1"/>
  <c r="C161" i="10"/>
  <c r="A161" i="10"/>
  <c r="BU160" i="10"/>
  <c r="BS160" i="10"/>
  <c r="BO160" i="10"/>
  <c r="BN160" i="10"/>
  <c r="BM160" i="10"/>
  <c r="BF160" i="10"/>
  <c r="AA160" i="10"/>
  <c r="AD160" i="10" s="1"/>
  <c r="AG160" i="10" s="1"/>
  <c r="L160" i="10"/>
  <c r="J160" i="10"/>
  <c r="H160" i="10"/>
  <c r="G160" i="10"/>
  <c r="F160" i="10"/>
  <c r="D160" i="10"/>
  <c r="BV160" i="10" s="1"/>
  <c r="C160" i="10"/>
  <c r="A160" i="10"/>
  <c r="BU159" i="10"/>
  <c r="BS159" i="10"/>
  <c r="BO159" i="10"/>
  <c r="BN159" i="10"/>
  <c r="BM159" i="10"/>
  <c r="BF159" i="10"/>
  <c r="AA159" i="10"/>
  <c r="AD159" i="10" s="1"/>
  <c r="AG159" i="10" s="1"/>
  <c r="L159" i="10"/>
  <c r="J159" i="10"/>
  <c r="H159" i="10"/>
  <c r="G159" i="10"/>
  <c r="F159" i="10"/>
  <c r="D159" i="10"/>
  <c r="BV159" i="10" s="1"/>
  <c r="C159" i="10"/>
  <c r="A159" i="10"/>
  <c r="BU158" i="10"/>
  <c r="BS158" i="10"/>
  <c r="BO158" i="10"/>
  <c r="BN158" i="10"/>
  <c r="BM158" i="10"/>
  <c r="BF158" i="10"/>
  <c r="AA158" i="10"/>
  <c r="AD158" i="10" s="1"/>
  <c r="AG158" i="10" s="1"/>
  <c r="L158" i="10"/>
  <c r="J158" i="10"/>
  <c r="H158" i="10"/>
  <c r="G158" i="10"/>
  <c r="F158" i="10"/>
  <c r="D158" i="10"/>
  <c r="BV158" i="10" s="1"/>
  <c r="C158" i="10"/>
  <c r="A158" i="10"/>
  <c r="BU157" i="10"/>
  <c r="BS157" i="10"/>
  <c r="BO157" i="10"/>
  <c r="BN157" i="10"/>
  <c r="BM157" i="10"/>
  <c r="BF157" i="10"/>
  <c r="AA157" i="10"/>
  <c r="AD157" i="10" s="1"/>
  <c r="AG157" i="10" s="1"/>
  <c r="L157" i="10"/>
  <c r="J157" i="10"/>
  <c r="H157" i="10"/>
  <c r="G157" i="10"/>
  <c r="F157" i="10"/>
  <c r="D157" i="10"/>
  <c r="BV157" i="10" s="1"/>
  <c r="C157" i="10"/>
  <c r="A157" i="10"/>
  <c r="BU156" i="10"/>
  <c r="BS156" i="10"/>
  <c r="BO156" i="10"/>
  <c r="BN156" i="10"/>
  <c r="BM156" i="10"/>
  <c r="BF156" i="10"/>
  <c r="AA156" i="10"/>
  <c r="AD156" i="10" s="1"/>
  <c r="AG156" i="10" s="1"/>
  <c r="L156" i="10"/>
  <c r="J156" i="10"/>
  <c r="H156" i="10"/>
  <c r="G156" i="10"/>
  <c r="F156" i="10"/>
  <c r="D156" i="10"/>
  <c r="BV156" i="10" s="1"/>
  <c r="C156" i="10"/>
  <c r="A156" i="10"/>
  <c r="BU155" i="10"/>
  <c r="BS155" i="10"/>
  <c r="BO155" i="10"/>
  <c r="BN155" i="10"/>
  <c r="BM155" i="10"/>
  <c r="BF155" i="10"/>
  <c r="AA155" i="10"/>
  <c r="AD155" i="10" s="1"/>
  <c r="AG155" i="10" s="1"/>
  <c r="L155" i="10"/>
  <c r="J155" i="10"/>
  <c r="H155" i="10"/>
  <c r="G155" i="10"/>
  <c r="F155" i="10"/>
  <c r="D155" i="10"/>
  <c r="BV155" i="10" s="1"/>
  <c r="C155" i="10"/>
  <c r="A155" i="10"/>
  <c r="BU154" i="10"/>
  <c r="BS154" i="10"/>
  <c r="BO154" i="10"/>
  <c r="BN154" i="10"/>
  <c r="BM154" i="10"/>
  <c r="BF154" i="10"/>
  <c r="AA154" i="10"/>
  <c r="AD154" i="10" s="1"/>
  <c r="AG154" i="10" s="1"/>
  <c r="L154" i="10"/>
  <c r="J154" i="10"/>
  <c r="H154" i="10"/>
  <c r="G154" i="10"/>
  <c r="F154" i="10"/>
  <c r="D154" i="10"/>
  <c r="BV154" i="10" s="1"/>
  <c r="C154" i="10"/>
  <c r="A154" i="10"/>
  <c r="BU153" i="10"/>
  <c r="BS153" i="10"/>
  <c r="BO153" i="10"/>
  <c r="BN153" i="10"/>
  <c r="BM153" i="10"/>
  <c r="BF153" i="10"/>
  <c r="AA153" i="10"/>
  <c r="AD153" i="10" s="1"/>
  <c r="AG153" i="10" s="1"/>
  <c r="L153" i="10"/>
  <c r="J153" i="10"/>
  <c r="H153" i="10"/>
  <c r="G153" i="10"/>
  <c r="F153" i="10"/>
  <c r="D153" i="10"/>
  <c r="BV153" i="10" s="1"/>
  <c r="C153" i="10"/>
  <c r="A153" i="10"/>
  <c r="BU152" i="10"/>
  <c r="BS152" i="10"/>
  <c r="BO152" i="10"/>
  <c r="BN152" i="10"/>
  <c r="BM152" i="10"/>
  <c r="BF152" i="10"/>
  <c r="AA152" i="10"/>
  <c r="AD152" i="10" s="1"/>
  <c r="AG152" i="10" s="1"/>
  <c r="L152" i="10"/>
  <c r="J152" i="10"/>
  <c r="H152" i="10"/>
  <c r="G152" i="10"/>
  <c r="F152" i="10"/>
  <c r="D152" i="10"/>
  <c r="BV152" i="10" s="1"/>
  <c r="C152" i="10"/>
  <c r="A152" i="10"/>
  <c r="BU151" i="10"/>
  <c r="BS151" i="10"/>
  <c r="BO151" i="10"/>
  <c r="BN151" i="10"/>
  <c r="BM151" i="10"/>
  <c r="BF151" i="10"/>
  <c r="AA151" i="10"/>
  <c r="AD151" i="10" s="1"/>
  <c r="AG151" i="10" s="1"/>
  <c r="L151" i="10"/>
  <c r="J151" i="10"/>
  <c r="H151" i="10"/>
  <c r="G151" i="10"/>
  <c r="F151" i="10"/>
  <c r="D151" i="10"/>
  <c r="BV151" i="10" s="1"/>
  <c r="C151" i="10"/>
  <c r="A151" i="10"/>
  <c r="BU150" i="10"/>
  <c r="BS150" i="10"/>
  <c r="BO150" i="10"/>
  <c r="BN150" i="10"/>
  <c r="BM150" i="10"/>
  <c r="BF150" i="10"/>
  <c r="AA150" i="10"/>
  <c r="AD150" i="10" s="1"/>
  <c r="AG150" i="10" s="1"/>
  <c r="L150" i="10"/>
  <c r="J150" i="10"/>
  <c r="H150" i="10"/>
  <c r="G150" i="10"/>
  <c r="F150" i="10"/>
  <c r="D150" i="10"/>
  <c r="BV150" i="10" s="1"/>
  <c r="C150" i="10"/>
  <c r="A150" i="10"/>
  <c r="BU149" i="10"/>
  <c r="BS149" i="10"/>
  <c r="BO149" i="10"/>
  <c r="BN149" i="10"/>
  <c r="BM149" i="10"/>
  <c r="BF149" i="10"/>
  <c r="AA149" i="10"/>
  <c r="AD149" i="10" s="1"/>
  <c r="AG149" i="10" s="1"/>
  <c r="L149" i="10"/>
  <c r="J149" i="10"/>
  <c r="H149" i="10"/>
  <c r="G149" i="10"/>
  <c r="F149" i="10"/>
  <c r="D149" i="10"/>
  <c r="BV149" i="10" s="1"/>
  <c r="C149" i="10"/>
  <c r="A149" i="10"/>
  <c r="BU148" i="10"/>
  <c r="BS148" i="10"/>
  <c r="BO148" i="10"/>
  <c r="BN148" i="10"/>
  <c r="BM148" i="10"/>
  <c r="BF148" i="10"/>
  <c r="AA148" i="10"/>
  <c r="AD148" i="10" s="1"/>
  <c r="AG148" i="10" s="1"/>
  <c r="L148" i="10"/>
  <c r="J148" i="10"/>
  <c r="H148" i="10"/>
  <c r="G148" i="10"/>
  <c r="F148" i="10"/>
  <c r="D148" i="10"/>
  <c r="BV148" i="10" s="1"/>
  <c r="C148" i="10"/>
  <c r="A148" i="10"/>
  <c r="BU147" i="10"/>
  <c r="BS147" i="10"/>
  <c r="BO147" i="10"/>
  <c r="BN147" i="10"/>
  <c r="BM147" i="10"/>
  <c r="BF147" i="10"/>
  <c r="AA147" i="10"/>
  <c r="AD147" i="10" s="1"/>
  <c r="AG147" i="10" s="1"/>
  <c r="L147" i="10"/>
  <c r="J147" i="10"/>
  <c r="H147" i="10"/>
  <c r="G147" i="10"/>
  <c r="F147" i="10"/>
  <c r="D147" i="10"/>
  <c r="BV147" i="10" s="1"/>
  <c r="C147" i="10"/>
  <c r="A147" i="10"/>
  <c r="BU146" i="10"/>
  <c r="BS146" i="10"/>
  <c r="BO146" i="10"/>
  <c r="BN146" i="10"/>
  <c r="BM146" i="10"/>
  <c r="BF146" i="10"/>
  <c r="AA146" i="10"/>
  <c r="AD146" i="10" s="1"/>
  <c r="AG146" i="10" s="1"/>
  <c r="L146" i="10"/>
  <c r="J146" i="10"/>
  <c r="H146" i="10"/>
  <c r="G146" i="10"/>
  <c r="F146" i="10"/>
  <c r="D146" i="10"/>
  <c r="BV146" i="10" s="1"/>
  <c r="C146" i="10"/>
  <c r="A146" i="10"/>
  <c r="BU145" i="10"/>
  <c r="BS145" i="10"/>
  <c r="BO145" i="10"/>
  <c r="BN145" i="10"/>
  <c r="BM145" i="10"/>
  <c r="BF145" i="10"/>
  <c r="AA145" i="10"/>
  <c r="AD145" i="10" s="1"/>
  <c r="AG145" i="10" s="1"/>
  <c r="L145" i="10"/>
  <c r="J145" i="10"/>
  <c r="H145" i="10"/>
  <c r="G145" i="10"/>
  <c r="F145" i="10"/>
  <c r="D145" i="10"/>
  <c r="BV145" i="10" s="1"/>
  <c r="C145" i="10"/>
  <c r="A145" i="10"/>
  <c r="BU144" i="10"/>
  <c r="BS144" i="10"/>
  <c r="BO144" i="10"/>
  <c r="BN144" i="10"/>
  <c r="BM144" i="10"/>
  <c r="BF144" i="10"/>
  <c r="AA144" i="10"/>
  <c r="AD144" i="10" s="1"/>
  <c r="AG144" i="10" s="1"/>
  <c r="L144" i="10"/>
  <c r="J144" i="10"/>
  <c r="H144" i="10"/>
  <c r="G144" i="10"/>
  <c r="F144" i="10"/>
  <c r="D144" i="10"/>
  <c r="BV144" i="10" s="1"/>
  <c r="C144" i="10"/>
  <c r="A144" i="10"/>
  <c r="BU143" i="10"/>
  <c r="BS143" i="10"/>
  <c r="BO143" i="10"/>
  <c r="BN143" i="10"/>
  <c r="BM143" i="10"/>
  <c r="BF143" i="10"/>
  <c r="AA143" i="10"/>
  <c r="AD143" i="10" s="1"/>
  <c r="AG143" i="10" s="1"/>
  <c r="L143" i="10"/>
  <c r="J143" i="10"/>
  <c r="H143" i="10"/>
  <c r="G143" i="10"/>
  <c r="F143" i="10"/>
  <c r="D143" i="10"/>
  <c r="BV143" i="10" s="1"/>
  <c r="C143" i="10"/>
  <c r="A143" i="10"/>
  <c r="BU142" i="10"/>
  <c r="BS142" i="10"/>
  <c r="BO142" i="10"/>
  <c r="BN142" i="10"/>
  <c r="BM142" i="10"/>
  <c r="BF142" i="10"/>
  <c r="AA142" i="10"/>
  <c r="AD142" i="10" s="1"/>
  <c r="AG142" i="10" s="1"/>
  <c r="L142" i="10"/>
  <c r="J142" i="10"/>
  <c r="H142" i="10"/>
  <c r="G142" i="10"/>
  <c r="F142" i="10"/>
  <c r="D142" i="10"/>
  <c r="BV142" i="10" s="1"/>
  <c r="C142" i="10"/>
  <c r="A142" i="10"/>
  <c r="BU141" i="10"/>
  <c r="BS141" i="10"/>
  <c r="BO141" i="10"/>
  <c r="BN141" i="10"/>
  <c r="BM141" i="10"/>
  <c r="BF141" i="10"/>
  <c r="AA141" i="10"/>
  <c r="AD141" i="10" s="1"/>
  <c r="AG141" i="10" s="1"/>
  <c r="L141" i="10"/>
  <c r="J141" i="10"/>
  <c r="H141" i="10"/>
  <c r="G141" i="10"/>
  <c r="F141" i="10"/>
  <c r="D141" i="10"/>
  <c r="BV141" i="10" s="1"/>
  <c r="C141" i="10"/>
  <c r="A141" i="10"/>
  <c r="BU140" i="10"/>
  <c r="BS140" i="10"/>
  <c r="BO140" i="10"/>
  <c r="BN140" i="10"/>
  <c r="BM140" i="10"/>
  <c r="BF140" i="10"/>
  <c r="AA140" i="10"/>
  <c r="AD140" i="10" s="1"/>
  <c r="AG140" i="10" s="1"/>
  <c r="L140" i="10"/>
  <c r="J140" i="10"/>
  <c r="H140" i="10"/>
  <c r="G140" i="10"/>
  <c r="F140" i="10"/>
  <c r="D140" i="10"/>
  <c r="BV140" i="10" s="1"/>
  <c r="C140" i="10"/>
  <c r="A140" i="10"/>
  <c r="BU139" i="10"/>
  <c r="BS139" i="10"/>
  <c r="BO139" i="10"/>
  <c r="BN139" i="10"/>
  <c r="BM139" i="10"/>
  <c r="BF139" i="10"/>
  <c r="AA139" i="10"/>
  <c r="AD139" i="10" s="1"/>
  <c r="AG139" i="10" s="1"/>
  <c r="L139" i="10"/>
  <c r="J139" i="10"/>
  <c r="H139" i="10"/>
  <c r="G139" i="10"/>
  <c r="F139" i="10"/>
  <c r="D139" i="10"/>
  <c r="BV139" i="10" s="1"/>
  <c r="C139" i="10"/>
  <c r="A139" i="10"/>
  <c r="BU138" i="10"/>
  <c r="BS138" i="10"/>
  <c r="BO138" i="10"/>
  <c r="BN138" i="10"/>
  <c r="BM138" i="10"/>
  <c r="BF138" i="10"/>
  <c r="AA138" i="10"/>
  <c r="AD138" i="10" s="1"/>
  <c r="AG138" i="10" s="1"/>
  <c r="L138" i="10"/>
  <c r="J138" i="10"/>
  <c r="H138" i="10"/>
  <c r="G138" i="10"/>
  <c r="F138" i="10"/>
  <c r="D138" i="10"/>
  <c r="BV138" i="10" s="1"/>
  <c r="C138" i="10"/>
  <c r="A138" i="10"/>
  <c r="BU137" i="10"/>
  <c r="BS137" i="10"/>
  <c r="BO137" i="10"/>
  <c r="BN137" i="10"/>
  <c r="BM137" i="10"/>
  <c r="BF137" i="10"/>
  <c r="AA137" i="10"/>
  <c r="AD137" i="10" s="1"/>
  <c r="AG137" i="10" s="1"/>
  <c r="L137" i="10"/>
  <c r="J137" i="10"/>
  <c r="H137" i="10"/>
  <c r="G137" i="10"/>
  <c r="F137" i="10"/>
  <c r="D137" i="10"/>
  <c r="BV137" i="10" s="1"/>
  <c r="C137" i="10"/>
  <c r="A137" i="10"/>
  <c r="BU136" i="10"/>
  <c r="BS136" i="10"/>
  <c r="BO136" i="10"/>
  <c r="BN136" i="10"/>
  <c r="BM136" i="10"/>
  <c r="BF136" i="10"/>
  <c r="AA136" i="10"/>
  <c r="AD136" i="10" s="1"/>
  <c r="AG136" i="10" s="1"/>
  <c r="L136" i="10"/>
  <c r="J136" i="10"/>
  <c r="H136" i="10"/>
  <c r="G136" i="10"/>
  <c r="F136" i="10"/>
  <c r="D136" i="10"/>
  <c r="BV136" i="10" s="1"/>
  <c r="C136" i="10"/>
  <c r="A136" i="10"/>
  <c r="BU135" i="10"/>
  <c r="BS135" i="10"/>
  <c r="BO135" i="10"/>
  <c r="BN135" i="10"/>
  <c r="BM135" i="10"/>
  <c r="BF135" i="10"/>
  <c r="AA135" i="10"/>
  <c r="AD135" i="10" s="1"/>
  <c r="AG135" i="10" s="1"/>
  <c r="L135" i="10"/>
  <c r="J135" i="10"/>
  <c r="H135" i="10"/>
  <c r="G135" i="10"/>
  <c r="F135" i="10"/>
  <c r="D135" i="10"/>
  <c r="BV135" i="10" s="1"/>
  <c r="C135" i="10"/>
  <c r="A135" i="10"/>
  <c r="BU134" i="10"/>
  <c r="BS134" i="10"/>
  <c r="BO134" i="10"/>
  <c r="BN134" i="10"/>
  <c r="BM134" i="10"/>
  <c r="BF134" i="10"/>
  <c r="AA134" i="10"/>
  <c r="AD134" i="10" s="1"/>
  <c r="AG134" i="10" s="1"/>
  <c r="L134" i="10"/>
  <c r="J134" i="10"/>
  <c r="H134" i="10"/>
  <c r="G134" i="10"/>
  <c r="F134" i="10"/>
  <c r="D134" i="10"/>
  <c r="BV134" i="10" s="1"/>
  <c r="C134" i="10"/>
  <c r="A134" i="10"/>
  <c r="BU133" i="10"/>
  <c r="BS133" i="10"/>
  <c r="BO133" i="10"/>
  <c r="BN133" i="10"/>
  <c r="BM133" i="10"/>
  <c r="BF133" i="10"/>
  <c r="AA133" i="10"/>
  <c r="AD133" i="10" s="1"/>
  <c r="AG133" i="10" s="1"/>
  <c r="L133" i="10"/>
  <c r="J133" i="10"/>
  <c r="H133" i="10"/>
  <c r="G133" i="10"/>
  <c r="F133" i="10"/>
  <c r="D133" i="10"/>
  <c r="BV133" i="10" s="1"/>
  <c r="C133" i="10"/>
  <c r="A133" i="10"/>
  <c r="BU132" i="10"/>
  <c r="BS132" i="10"/>
  <c r="BO132" i="10"/>
  <c r="BN132" i="10"/>
  <c r="BM132" i="10"/>
  <c r="BF132" i="10"/>
  <c r="AA132" i="10"/>
  <c r="AD132" i="10" s="1"/>
  <c r="AG132" i="10" s="1"/>
  <c r="L132" i="10"/>
  <c r="J132" i="10"/>
  <c r="H132" i="10"/>
  <c r="G132" i="10"/>
  <c r="F132" i="10"/>
  <c r="D132" i="10"/>
  <c r="BV132" i="10" s="1"/>
  <c r="C132" i="10"/>
  <c r="A132" i="10"/>
  <c r="BU131" i="10"/>
  <c r="BS131" i="10"/>
  <c r="BO131" i="10"/>
  <c r="BN131" i="10"/>
  <c r="BM131" i="10"/>
  <c r="BF131" i="10"/>
  <c r="AA131" i="10"/>
  <c r="AD131" i="10" s="1"/>
  <c r="AG131" i="10" s="1"/>
  <c r="L131" i="10"/>
  <c r="J131" i="10"/>
  <c r="H131" i="10"/>
  <c r="G131" i="10"/>
  <c r="F131" i="10"/>
  <c r="D131" i="10"/>
  <c r="BV131" i="10" s="1"/>
  <c r="C131" i="10"/>
  <c r="A131" i="10"/>
  <c r="BU130" i="10"/>
  <c r="BS130" i="10"/>
  <c r="BO130" i="10"/>
  <c r="BN130" i="10"/>
  <c r="BM130" i="10"/>
  <c r="BF130" i="10"/>
  <c r="AA130" i="10"/>
  <c r="AD130" i="10" s="1"/>
  <c r="AG130" i="10" s="1"/>
  <c r="L130" i="10"/>
  <c r="J130" i="10"/>
  <c r="H130" i="10"/>
  <c r="G130" i="10"/>
  <c r="F130" i="10"/>
  <c r="D130" i="10"/>
  <c r="BV130" i="10" s="1"/>
  <c r="C130" i="10"/>
  <c r="A130" i="10"/>
  <c r="BU129" i="10"/>
  <c r="BS129" i="10"/>
  <c r="BO129" i="10"/>
  <c r="BN129" i="10"/>
  <c r="BM129" i="10"/>
  <c r="BF129" i="10"/>
  <c r="AA129" i="10"/>
  <c r="AD129" i="10" s="1"/>
  <c r="AG129" i="10" s="1"/>
  <c r="L129" i="10"/>
  <c r="J129" i="10"/>
  <c r="H129" i="10"/>
  <c r="G129" i="10"/>
  <c r="F129" i="10"/>
  <c r="D129" i="10"/>
  <c r="BV129" i="10" s="1"/>
  <c r="C129" i="10"/>
  <c r="A129" i="10"/>
  <c r="BU128" i="10"/>
  <c r="BS128" i="10"/>
  <c r="BO128" i="10"/>
  <c r="BN128" i="10"/>
  <c r="BM128" i="10"/>
  <c r="BF128" i="10"/>
  <c r="AA128" i="10"/>
  <c r="AD128" i="10" s="1"/>
  <c r="AG128" i="10" s="1"/>
  <c r="L128" i="10"/>
  <c r="J128" i="10"/>
  <c r="H128" i="10"/>
  <c r="G128" i="10"/>
  <c r="F128" i="10"/>
  <c r="D128" i="10"/>
  <c r="BV128" i="10" s="1"/>
  <c r="C128" i="10"/>
  <c r="A128" i="10"/>
  <c r="BU127" i="10"/>
  <c r="BS127" i="10"/>
  <c r="BO127" i="10"/>
  <c r="BN127" i="10"/>
  <c r="BM127" i="10"/>
  <c r="BF127" i="10"/>
  <c r="AA127" i="10"/>
  <c r="AD127" i="10" s="1"/>
  <c r="AG127" i="10" s="1"/>
  <c r="L127" i="10"/>
  <c r="J127" i="10"/>
  <c r="H127" i="10"/>
  <c r="G127" i="10"/>
  <c r="F127" i="10"/>
  <c r="D127" i="10"/>
  <c r="BV127" i="10" s="1"/>
  <c r="C127" i="10"/>
  <c r="A127" i="10"/>
  <c r="BU126" i="10"/>
  <c r="BS126" i="10"/>
  <c r="BO126" i="10"/>
  <c r="BN126" i="10"/>
  <c r="BM126" i="10"/>
  <c r="BF126" i="10"/>
  <c r="AA126" i="10"/>
  <c r="AD126" i="10" s="1"/>
  <c r="AG126" i="10" s="1"/>
  <c r="L126" i="10"/>
  <c r="J126" i="10"/>
  <c r="H126" i="10"/>
  <c r="G126" i="10"/>
  <c r="F126" i="10"/>
  <c r="D126" i="10"/>
  <c r="BV126" i="10" s="1"/>
  <c r="C126" i="10"/>
  <c r="A126" i="10"/>
  <c r="BU125" i="10"/>
  <c r="BS125" i="10"/>
  <c r="BO125" i="10"/>
  <c r="BN125" i="10"/>
  <c r="BM125" i="10"/>
  <c r="BF125" i="10"/>
  <c r="AA125" i="10"/>
  <c r="AD125" i="10" s="1"/>
  <c r="AG125" i="10" s="1"/>
  <c r="L125" i="10"/>
  <c r="J125" i="10"/>
  <c r="H125" i="10"/>
  <c r="G125" i="10"/>
  <c r="F125" i="10"/>
  <c r="D125" i="10"/>
  <c r="BV125" i="10" s="1"/>
  <c r="C125" i="10"/>
  <c r="A125" i="10"/>
  <c r="BU124" i="10"/>
  <c r="BS124" i="10"/>
  <c r="BO124" i="10"/>
  <c r="BN124" i="10"/>
  <c r="BM124" i="10"/>
  <c r="BF124" i="10"/>
  <c r="AA124" i="10"/>
  <c r="AD124" i="10" s="1"/>
  <c r="AG124" i="10" s="1"/>
  <c r="L124" i="10"/>
  <c r="J124" i="10"/>
  <c r="H124" i="10"/>
  <c r="G124" i="10"/>
  <c r="F124" i="10"/>
  <c r="D124" i="10"/>
  <c r="BV124" i="10" s="1"/>
  <c r="C124" i="10"/>
  <c r="A124" i="10"/>
  <c r="BU123" i="10"/>
  <c r="BS123" i="10"/>
  <c r="BO123" i="10"/>
  <c r="BN123" i="10"/>
  <c r="BM123" i="10"/>
  <c r="BF123" i="10"/>
  <c r="AA123" i="10"/>
  <c r="AD123" i="10" s="1"/>
  <c r="AG123" i="10" s="1"/>
  <c r="L123" i="10"/>
  <c r="J123" i="10"/>
  <c r="H123" i="10"/>
  <c r="G123" i="10"/>
  <c r="F123" i="10"/>
  <c r="D123" i="10"/>
  <c r="BV123" i="10" s="1"/>
  <c r="C123" i="10"/>
  <c r="A123" i="10"/>
  <c r="BU122" i="10"/>
  <c r="BS122" i="10"/>
  <c r="BO122" i="10"/>
  <c r="BN122" i="10"/>
  <c r="BM122" i="10"/>
  <c r="BF122" i="10"/>
  <c r="AA122" i="10"/>
  <c r="AD122" i="10" s="1"/>
  <c r="AG122" i="10" s="1"/>
  <c r="L122" i="10"/>
  <c r="J122" i="10"/>
  <c r="H122" i="10"/>
  <c r="G122" i="10"/>
  <c r="F122" i="10"/>
  <c r="D122" i="10"/>
  <c r="BV122" i="10" s="1"/>
  <c r="C122" i="10"/>
  <c r="A122" i="10"/>
  <c r="BU121" i="10"/>
  <c r="BS121" i="10"/>
  <c r="BO121" i="10"/>
  <c r="BN121" i="10"/>
  <c r="BM121" i="10"/>
  <c r="BF121" i="10"/>
  <c r="AA121" i="10"/>
  <c r="AD121" i="10" s="1"/>
  <c r="AG121" i="10" s="1"/>
  <c r="L121" i="10"/>
  <c r="J121" i="10"/>
  <c r="H121" i="10"/>
  <c r="G121" i="10"/>
  <c r="F121" i="10"/>
  <c r="D121" i="10"/>
  <c r="BV121" i="10" s="1"/>
  <c r="C121" i="10"/>
  <c r="A121" i="10"/>
  <c r="BU120" i="10"/>
  <c r="BS120" i="10"/>
  <c r="BO120" i="10"/>
  <c r="BN120" i="10"/>
  <c r="BM120" i="10"/>
  <c r="BF120" i="10"/>
  <c r="AA120" i="10"/>
  <c r="AD120" i="10" s="1"/>
  <c r="AG120" i="10" s="1"/>
  <c r="L120" i="10"/>
  <c r="J120" i="10"/>
  <c r="H120" i="10"/>
  <c r="G120" i="10"/>
  <c r="F120" i="10"/>
  <c r="D120" i="10"/>
  <c r="BV120" i="10" s="1"/>
  <c r="C120" i="10"/>
  <c r="A120" i="10"/>
  <c r="BU119" i="10"/>
  <c r="BS119" i="10"/>
  <c r="BO119" i="10"/>
  <c r="BN119" i="10"/>
  <c r="BM119" i="10"/>
  <c r="BF119" i="10"/>
  <c r="AZ119" i="10"/>
  <c r="AA119" i="10"/>
  <c r="L119" i="10"/>
  <c r="A119" i="10"/>
  <c r="E41" i="10"/>
  <c r="E40" i="10"/>
  <c r="E39" i="10"/>
  <c r="E38" i="10"/>
  <c r="E37" i="10"/>
  <c r="E36" i="10"/>
  <c r="E35" i="10"/>
  <c r="E34" i="10"/>
  <c r="E33" i="10"/>
  <c r="E32" i="10"/>
  <c r="E31" i="10"/>
  <c r="E30" i="10"/>
  <c r="E29" i="10"/>
  <c r="E28" i="10"/>
  <c r="E27" i="10"/>
  <c r="E26" i="10"/>
  <c r="E25" i="10"/>
  <c r="E24" i="10"/>
  <c r="E23" i="10"/>
  <c r="E22" i="10"/>
  <c r="E21" i="10"/>
  <c r="B21" i="10"/>
  <c r="E20" i="10"/>
  <c r="B20" i="10"/>
  <c r="E19" i="10"/>
  <c r="B19" i="10"/>
  <c r="H18" i="10"/>
  <c r="E18" i="10"/>
  <c r="B18" i="10"/>
  <c r="H17" i="10"/>
  <c r="E17" i="10"/>
  <c r="B17" i="10"/>
  <c r="H16" i="10"/>
  <c r="E16" i="10"/>
  <c r="B16" i="10"/>
  <c r="H15" i="10"/>
  <c r="E15" i="10"/>
  <c r="B15" i="10"/>
  <c r="H14" i="10"/>
  <c r="E14" i="10"/>
  <c r="B14" i="10"/>
  <c r="H13" i="10"/>
  <c r="E13" i="10"/>
  <c r="B13" i="10"/>
  <c r="H12" i="10"/>
  <c r="E12" i="10"/>
  <c r="B12" i="10"/>
  <c r="E8" i="10"/>
  <c r="D8" i="10"/>
  <c r="C3" i="10"/>
  <c r="BH88" i="9"/>
  <c r="BG88" i="9"/>
  <c r="BE88" i="9"/>
  <c r="AD88" i="9"/>
  <c r="AB88" i="9"/>
  <c r="X88" i="9"/>
  <c r="W88" i="9"/>
  <c r="V88" i="9"/>
  <c r="A88" i="9"/>
  <c r="BH87" i="9"/>
  <c r="BG87" i="9"/>
  <c r="BE87" i="9"/>
  <c r="AD87" i="9"/>
  <c r="AB87" i="9"/>
  <c r="X87" i="9"/>
  <c r="W87" i="9"/>
  <c r="V87" i="9"/>
  <c r="A87" i="9"/>
  <c r="BH86" i="9"/>
  <c r="BG86" i="9"/>
  <c r="BE86" i="9"/>
  <c r="AD86" i="9"/>
  <c r="AB86" i="9"/>
  <c r="X86" i="9"/>
  <c r="W86" i="9"/>
  <c r="V86" i="9"/>
  <c r="A86" i="9"/>
  <c r="BH85" i="9"/>
  <c r="BG85" i="9"/>
  <c r="BE85" i="9"/>
  <c r="AD85" i="9"/>
  <c r="AB85" i="9"/>
  <c r="X85" i="9"/>
  <c r="W85" i="9"/>
  <c r="V85" i="9"/>
  <c r="A85" i="9"/>
  <c r="BH84" i="9"/>
  <c r="BG84" i="9"/>
  <c r="BE84" i="9"/>
  <c r="AD84" i="9"/>
  <c r="AB84" i="9"/>
  <c r="X84" i="9"/>
  <c r="W84" i="9"/>
  <c r="V84" i="9"/>
  <c r="A84" i="9"/>
  <c r="BH83" i="9"/>
  <c r="BG83" i="9"/>
  <c r="BE83" i="9"/>
  <c r="AD83" i="9"/>
  <c r="AB83" i="9"/>
  <c r="X83" i="9"/>
  <c r="W83" i="9"/>
  <c r="V83" i="9"/>
  <c r="A83" i="9"/>
  <c r="BH82" i="9"/>
  <c r="BG82" i="9"/>
  <c r="BE82" i="9"/>
  <c r="AD82" i="9"/>
  <c r="AB82" i="9"/>
  <c r="X82" i="9"/>
  <c r="W82" i="9"/>
  <c r="V82" i="9"/>
  <c r="A82" i="9"/>
  <c r="BH81" i="9"/>
  <c r="BG81" i="9"/>
  <c r="BE81" i="9"/>
  <c r="AD81" i="9"/>
  <c r="AB81" i="9"/>
  <c r="X81" i="9"/>
  <c r="W81" i="9"/>
  <c r="V81" i="9"/>
  <c r="A81" i="9"/>
  <c r="BH80" i="9"/>
  <c r="BG80" i="9"/>
  <c r="BE80" i="9"/>
  <c r="AD80" i="9"/>
  <c r="AB80" i="9"/>
  <c r="X80" i="9"/>
  <c r="W80" i="9"/>
  <c r="V80" i="9"/>
  <c r="A80" i="9"/>
  <c r="BH79" i="9"/>
  <c r="BG79" i="9"/>
  <c r="BE79" i="9"/>
  <c r="AD79" i="9"/>
  <c r="AB79" i="9"/>
  <c r="X79" i="9"/>
  <c r="W79" i="9"/>
  <c r="V79" i="9"/>
  <c r="A79" i="9"/>
  <c r="BH78" i="9"/>
  <c r="BG78" i="9"/>
  <c r="BE78" i="9"/>
  <c r="AD78" i="9"/>
  <c r="AB78" i="9"/>
  <c r="X78" i="9"/>
  <c r="W78" i="9"/>
  <c r="V78" i="9"/>
  <c r="A78" i="9"/>
  <c r="BH77" i="9"/>
  <c r="BG77" i="9"/>
  <c r="BE77" i="9"/>
  <c r="AD77" i="9"/>
  <c r="AB77" i="9"/>
  <c r="X77" i="9"/>
  <c r="W77" i="9"/>
  <c r="V77" i="9"/>
  <c r="A77" i="9"/>
  <c r="BH76" i="9"/>
  <c r="BG76" i="9"/>
  <c r="BE76" i="9"/>
  <c r="AD76" i="9"/>
  <c r="AB76" i="9"/>
  <c r="X76" i="9"/>
  <c r="W76" i="9"/>
  <c r="V76" i="9"/>
  <c r="A76" i="9"/>
  <c r="BH75" i="9"/>
  <c r="BG75" i="9"/>
  <c r="BE75" i="9"/>
  <c r="AD75" i="9"/>
  <c r="AB75" i="9"/>
  <c r="X75" i="9"/>
  <c r="W75" i="9"/>
  <c r="V75" i="9"/>
  <c r="A75" i="9"/>
  <c r="BH74" i="9"/>
  <c r="BG74" i="9"/>
  <c r="BE74" i="9"/>
  <c r="AD74" i="9"/>
  <c r="AB74" i="9"/>
  <c r="X74" i="9"/>
  <c r="W74" i="9"/>
  <c r="V74" i="9"/>
  <c r="A74" i="9"/>
  <c r="BH73" i="9"/>
  <c r="BG73" i="9"/>
  <c r="BE73" i="9"/>
  <c r="AD73" i="9"/>
  <c r="AB73" i="9"/>
  <c r="X73" i="9"/>
  <c r="W73" i="9"/>
  <c r="V73" i="9"/>
  <c r="A73" i="9"/>
  <c r="BH72" i="9"/>
  <c r="BG72" i="9"/>
  <c r="BE72" i="9"/>
  <c r="AD72" i="9"/>
  <c r="AB72" i="9"/>
  <c r="X72" i="9"/>
  <c r="W72" i="9"/>
  <c r="V72" i="9"/>
  <c r="A72" i="9"/>
  <c r="BH71" i="9"/>
  <c r="BG71" i="9"/>
  <c r="BE71" i="9"/>
  <c r="AD71" i="9"/>
  <c r="AB71" i="9"/>
  <c r="X71" i="9"/>
  <c r="W71" i="9"/>
  <c r="V71" i="9"/>
  <c r="A71" i="9"/>
  <c r="BH70" i="9"/>
  <c r="BG70" i="9"/>
  <c r="BE70" i="9"/>
  <c r="AD70" i="9"/>
  <c r="AB70" i="9"/>
  <c r="X70" i="9"/>
  <c r="W70" i="9"/>
  <c r="V70" i="9"/>
  <c r="A70" i="9"/>
  <c r="BH69" i="9"/>
  <c r="BG69" i="9"/>
  <c r="BE69" i="9"/>
  <c r="AD69" i="9"/>
  <c r="AB69" i="9"/>
  <c r="X69" i="9"/>
  <c r="W69" i="9"/>
  <c r="V69" i="9"/>
  <c r="A69" i="9"/>
  <c r="BH68" i="9"/>
  <c r="BG68" i="9"/>
  <c r="BE68" i="9"/>
  <c r="AD68" i="9"/>
  <c r="AB68" i="9"/>
  <c r="X68" i="9"/>
  <c r="W68" i="9"/>
  <c r="V68" i="9"/>
  <c r="A68" i="9"/>
  <c r="BH67" i="9"/>
  <c r="BG67" i="9"/>
  <c r="BE67" i="9"/>
  <c r="AD67" i="9"/>
  <c r="AB67" i="9"/>
  <c r="X67" i="9"/>
  <c r="W67" i="9"/>
  <c r="V67" i="9"/>
  <c r="A67" i="9"/>
  <c r="BH66" i="9"/>
  <c r="BG66" i="9"/>
  <c r="BE66" i="9"/>
  <c r="AD66" i="9"/>
  <c r="AB66" i="9"/>
  <c r="X66" i="9"/>
  <c r="W66" i="9"/>
  <c r="V66" i="9"/>
  <c r="A66" i="9"/>
  <c r="BH65" i="9"/>
  <c r="BG65" i="9"/>
  <c r="BE65" i="9"/>
  <c r="AD65" i="9"/>
  <c r="AB65" i="9"/>
  <c r="X65" i="9"/>
  <c r="W65" i="9"/>
  <c r="V65" i="9"/>
  <c r="A65" i="9"/>
  <c r="BH64" i="9"/>
  <c r="BG64" i="9"/>
  <c r="BE64" i="9"/>
  <c r="AD64" i="9"/>
  <c r="AB64" i="9"/>
  <c r="X64" i="9"/>
  <c r="W64" i="9"/>
  <c r="V64" i="9"/>
  <c r="A64" i="9"/>
  <c r="BH63" i="9"/>
  <c r="BG63" i="9"/>
  <c r="BE63" i="9"/>
  <c r="AD63" i="9"/>
  <c r="AB63" i="9"/>
  <c r="X63" i="9"/>
  <c r="W63" i="9"/>
  <c r="V63" i="9"/>
  <c r="A63" i="9"/>
  <c r="BH62" i="9"/>
  <c r="BG62" i="9"/>
  <c r="BE62" i="9"/>
  <c r="AD62" i="9"/>
  <c r="AB62" i="9"/>
  <c r="X62" i="9"/>
  <c r="W62" i="9"/>
  <c r="V62" i="9"/>
  <c r="A62" i="9"/>
  <c r="BH61" i="9"/>
  <c r="BG61" i="9"/>
  <c r="BE61" i="9"/>
  <c r="AD61" i="9"/>
  <c r="AB61" i="9"/>
  <c r="X61" i="9"/>
  <c r="W61" i="9"/>
  <c r="V61" i="9"/>
  <c r="A61" i="9"/>
  <c r="BH60" i="9"/>
  <c r="BG60" i="9"/>
  <c r="BE60" i="9"/>
  <c r="AD60" i="9"/>
  <c r="AB60" i="9"/>
  <c r="X60" i="9"/>
  <c r="W60" i="9"/>
  <c r="V60" i="9"/>
  <c r="A60" i="9"/>
  <c r="BH59" i="9"/>
  <c r="BG59" i="9"/>
  <c r="BE59" i="9"/>
  <c r="AD59" i="9"/>
  <c r="AB59" i="9"/>
  <c r="X59" i="9"/>
  <c r="W59" i="9"/>
  <c r="V59" i="9"/>
  <c r="A59" i="9"/>
  <c r="BH58" i="9"/>
  <c r="BG58" i="9"/>
  <c r="BE58" i="9"/>
  <c r="AD58" i="9"/>
  <c r="AB58" i="9"/>
  <c r="X58" i="9"/>
  <c r="W58" i="9"/>
  <c r="V58" i="9"/>
  <c r="A58" i="9"/>
  <c r="BH57" i="9"/>
  <c r="BG57" i="9"/>
  <c r="BE57" i="9"/>
  <c r="AD57" i="9"/>
  <c r="AB57" i="9"/>
  <c r="X57" i="9"/>
  <c r="W57" i="9"/>
  <c r="V57" i="9"/>
  <c r="A57" i="9"/>
  <c r="BH56" i="9"/>
  <c r="BG56" i="9"/>
  <c r="BE56" i="9"/>
  <c r="AD56" i="9"/>
  <c r="AB56" i="9"/>
  <c r="X56" i="9"/>
  <c r="W56" i="9"/>
  <c r="V56" i="9"/>
  <c r="A56" i="9"/>
  <c r="BH55" i="9"/>
  <c r="BG55" i="9"/>
  <c r="BE55" i="9"/>
  <c r="AD55" i="9"/>
  <c r="AB55" i="9"/>
  <c r="X55" i="9"/>
  <c r="W55" i="9"/>
  <c r="V55" i="9"/>
  <c r="A55" i="9"/>
  <c r="BH54" i="9"/>
  <c r="BG54" i="9"/>
  <c r="BE54" i="9"/>
  <c r="AD54" i="9"/>
  <c r="AB54" i="9"/>
  <c r="X54" i="9"/>
  <c r="W54" i="9"/>
  <c r="V54" i="9"/>
  <c r="A54" i="9"/>
  <c r="BH53" i="9"/>
  <c r="BG53" i="9"/>
  <c r="BE53" i="9"/>
  <c r="AD53" i="9"/>
  <c r="AB53" i="9"/>
  <c r="X53" i="9"/>
  <c r="W53" i="9"/>
  <c r="V53" i="9"/>
  <c r="A53" i="9"/>
  <c r="BH52" i="9"/>
  <c r="BG52" i="9"/>
  <c r="BE52" i="9"/>
  <c r="AD52" i="9"/>
  <c r="AB52" i="9"/>
  <c r="X52" i="9"/>
  <c r="W52" i="9"/>
  <c r="V52" i="9"/>
  <c r="A52" i="9"/>
  <c r="BH51" i="9"/>
  <c r="BG51" i="9"/>
  <c r="BE51" i="9"/>
  <c r="AD51" i="9"/>
  <c r="AB51" i="9"/>
  <c r="X51" i="9"/>
  <c r="W51" i="9"/>
  <c r="V51" i="9"/>
  <c r="A51" i="9"/>
  <c r="BH50" i="9"/>
  <c r="BG50" i="9"/>
  <c r="BE50" i="9"/>
  <c r="AD50" i="9"/>
  <c r="AB50" i="9"/>
  <c r="X50" i="9"/>
  <c r="W50" i="9"/>
  <c r="V50" i="9"/>
  <c r="A50" i="9"/>
  <c r="BH49" i="9"/>
  <c r="BG49" i="9"/>
  <c r="BE49" i="9"/>
  <c r="AD49" i="9"/>
  <c r="AB49" i="9"/>
  <c r="X49" i="9"/>
  <c r="W49" i="9"/>
  <c r="V49" i="9"/>
  <c r="A49" i="9"/>
  <c r="BH48" i="9"/>
  <c r="BG48" i="9"/>
  <c r="BE48" i="9"/>
  <c r="AD48" i="9"/>
  <c r="AB48" i="9"/>
  <c r="X48" i="9"/>
  <c r="W48" i="9"/>
  <c r="V48" i="9"/>
  <c r="A48" i="9"/>
  <c r="BH47" i="9"/>
  <c r="BG47" i="9"/>
  <c r="BE47" i="9"/>
  <c r="AD47" i="9"/>
  <c r="AB47" i="9"/>
  <c r="X47" i="9"/>
  <c r="W47" i="9"/>
  <c r="V47" i="9"/>
  <c r="A47" i="9"/>
  <c r="BH46" i="9"/>
  <c r="BG46" i="9"/>
  <c r="BE46" i="9"/>
  <c r="AD46" i="9"/>
  <c r="AB46" i="9"/>
  <c r="X46" i="9"/>
  <c r="W46" i="9"/>
  <c r="V46" i="9"/>
  <c r="A46" i="9"/>
  <c r="BH45" i="9"/>
  <c r="BG45" i="9"/>
  <c r="BE45" i="9"/>
  <c r="AD45" i="9"/>
  <c r="AB45" i="9"/>
  <c r="X45" i="9"/>
  <c r="W45" i="9"/>
  <c r="V45" i="9"/>
  <c r="A45" i="9"/>
  <c r="BH44" i="9"/>
  <c r="BG44" i="9"/>
  <c r="BE44" i="9"/>
  <c r="AD44" i="9"/>
  <c r="AB44" i="9"/>
  <c r="X44" i="9"/>
  <c r="W44" i="9"/>
  <c r="V44" i="9"/>
  <c r="A44" i="9"/>
  <c r="BH43" i="9"/>
  <c r="BG43" i="9"/>
  <c r="BE43" i="9"/>
  <c r="AD43" i="9"/>
  <c r="AB43" i="9"/>
  <c r="X43" i="9"/>
  <c r="W43" i="9"/>
  <c r="V43" i="9"/>
  <c r="A43" i="9"/>
  <c r="BH42" i="9"/>
  <c r="BG42" i="9"/>
  <c r="BE42" i="9"/>
  <c r="AD42" i="9"/>
  <c r="AB42" i="9"/>
  <c r="X42" i="9"/>
  <c r="W42" i="9"/>
  <c r="V42" i="9"/>
  <c r="A42" i="9"/>
  <c r="BH41" i="9"/>
  <c r="BG41" i="9"/>
  <c r="BE41" i="9"/>
  <c r="AD41" i="9"/>
  <c r="AB41" i="9"/>
  <c r="X41" i="9"/>
  <c r="W41" i="9"/>
  <c r="V41" i="9"/>
  <c r="A41" i="9"/>
  <c r="BH40" i="9"/>
  <c r="BG40" i="9"/>
  <c r="BE40" i="9"/>
  <c r="AD40" i="9"/>
  <c r="AB40" i="9"/>
  <c r="X40" i="9"/>
  <c r="W40" i="9"/>
  <c r="V40" i="9"/>
  <c r="A40" i="9"/>
  <c r="BH39" i="9"/>
  <c r="BG39" i="9"/>
  <c r="BE39" i="9"/>
  <c r="AD39" i="9"/>
  <c r="AB39" i="9"/>
  <c r="X39" i="9"/>
  <c r="W39" i="9"/>
  <c r="V39" i="9"/>
  <c r="A39" i="9"/>
  <c r="H25" i="9"/>
  <c r="H24" i="9"/>
  <c r="H23" i="9"/>
  <c r="H22" i="9"/>
  <c r="H21" i="9"/>
  <c r="E21" i="9"/>
  <c r="H20" i="9"/>
  <c r="E20" i="9"/>
  <c r="B20" i="9"/>
  <c r="H19" i="9"/>
  <c r="E19" i="9"/>
  <c r="B19" i="9"/>
  <c r="H18" i="9"/>
  <c r="E18" i="9"/>
  <c r="B18" i="9"/>
  <c r="H17" i="9"/>
  <c r="E17" i="9"/>
  <c r="B17" i="9"/>
  <c r="H16" i="9"/>
  <c r="E16" i="9"/>
  <c r="B16" i="9"/>
  <c r="H15" i="9"/>
  <c r="E15" i="9"/>
  <c r="B15" i="9"/>
  <c r="H14" i="9"/>
  <c r="E14" i="9"/>
  <c r="B14" i="9"/>
  <c r="H13" i="9"/>
  <c r="E13" i="9"/>
  <c r="B13" i="9"/>
  <c r="H12" i="9"/>
  <c r="E12" i="9"/>
  <c r="B12" i="9"/>
  <c r="D8" i="9"/>
  <c r="A8" i="9"/>
  <c r="C3" i="9"/>
  <c r="B361" i="8"/>
  <c r="E321" i="8"/>
  <c r="A321" i="8"/>
  <c r="E320" i="8"/>
  <c r="A320" i="8"/>
  <c r="E319" i="8"/>
  <c r="A319" i="8"/>
  <c r="E318" i="8"/>
  <c r="A318" i="8"/>
  <c r="E317" i="8"/>
  <c r="A317" i="8"/>
  <c r="E316" i="8"/>
  <c r="A316" i="8"/>
  <c r="E315" i="8"/>
  <c r="A315" i="8"/>
  <c r="E314" i="8"/>
  <c r="A314" i="8"/>
  <c r="E313" i="8"/>
  <c r="A313" i="8"/>
  <c r="E312" i="8"/>
  <c r="A312" i="8"/>
  <c r="E311" i="8"/>
  <c r="A311" i="8"/>
  <c r="E310" i="8"/>
  <c r="A310" i="8"/>
  <c r="E309" i="8"/>
  <c r="A309" i="8"/>
  <c r="E308" i="8"/>
  <c r="A308" i="8"/>
  <c r="E307" i="8"/>
  <c r="A307" i="8"/>
  <c r="E306" i="8"/>
  <c r="A306" i="8"/>
  <c r="E305" i="8"/>
  <c r="A305" i="8"/>
  <c r="E304" i="8"/>
  <c r="A304" i="8"/>
  <c r="E303" i="8"/>
  <c r="A303" i="8"/>
  <c r="E302" i="8"/>
  <c r="A302" i="8"/>
  <c r="E298" i="8"/>
  <c r="D298" i="8"/>
  <c r="E297" i="8"/>
  <c r="D297" i="8"/>
  <c r="E296" i="8"/>
  <c r="D296" i="8"/>
  <c r="E295" i="8"/>
  <c r="D295" i="8"/>
  <c r="E294" i="8"/>
  <c r="D294" i="8"/>
  <c r="E293" i="8"/>
  <c r="D293" i="8"/>
  <c r="E292" i="8"/>
  <c r="D292" i="8"/>
  <c r="E291" i="8"/>
  <c r="D291" i="8"/>
  <c r="E290" i="8"/>
  <c r="D290" i="8"/>
  <c r="E289" i="8"/>
  <c r="D289" i="8"/>
  <c r="E288" i="8"/>
  <c r="D288" i="8"/>
  <c r="E287" i="8"/>
  <c r="D287" i="8"/>
  <c r="E286" i="8"/>
  <c r="D286" i="8"/>
  <c r="B282" i="8"/>
  <c r="B281" i="8"/>
  <c r="B280" i="8"/>
  <c r="B279" i="8"/>
  <c r="B278" i="8"/>
  <c r="B277" i="8"/>
  <c r="B276" i="8"/>
  <c r="B275" i="8"/>
  <c r="B274" i="8"/>
  <c r="B273" i="8"/>
  <c r="B272" i="8"/>
  <c r="B271" i="8"/>
  <c r="B270" i="8"/>
  <c r="B269" i="8"/>
  <c r="B268" i="8"/>
  <c r="B267" i="8"/>
  <c r="B266" i="8"/>
  <c r="B265" i="8"/>
  <c r="B264" i="8"/>
  <c r="B263" i="8"/>
  <c r="B262" i="8"/>
  <c r="B261" i="8"/>
  <c r="B260" i="8"/>
  <c r="B259" i="8"/>
  <c r="B258" i="8"/>
  <c r="B257" i="8"/>
  <c r="B256" i="8"/>
  <c r="B255" i="8"/>
  <c r="B254" i="8"/>
  <c r="B253" i="8"/>
  <c r="B252" i="8"/>
  <c r="B251" i="8"/>
  <c r="B250" i="8"/>
  <c r="B249" i="8"/>
  <c r="B248" i="8"/>
  <c r="B247" i="8"/>
  <c r="B246" i="8"/>
  <c r="B245" i="8"/>
  <c r="B244" i="8"/>
  <c r="B243" i="8"/>
  <c r="B242" i="8"/>
  <c r="B241" i="8"/>
  <c r="B240" i="8"/>
  <c r="B239" i="8"/>
  <c r="B238" i="8"/>
  <c r="B237" i="8"/>
  <c r="B236" i="8"/>
  <c r="B235" i="8"/>
  <c r="B234" i="8"/>
  <c r="B233" i="8"/>
  <c r="A229" i="8"/>
  <c r="A228" i="8"/>
  <c r="A227" i="8"/>
  <c r="A226" i="8"/>
  <c r="A225" i="8"/>
  <c r="A224" i="8"/>
  <c r="A223" i="8"/>
  <c r="A222" i="8"/>
  <c r="A221" i="8"/>
  <c r="A220" i="8"/>
  <c r="A219" i="8"/>
  <c r="A218" i="8"/>
  <c r="A217" i="8"/>
  <c r="A216" i="8"/>
  <c r="A215" i="8"/>
  <c r="A214" i="8"/>
  <c r="A213" i="8"/>
  <c r="A212" i="8"/>
  <c r="A211" i="8"/>
  <c r="A210" i="8"/>
  <c r="A209" i="8"/>
  <c r="A208" i="8"/>
  <c r="A207" i="8"/>
  <c r="A206" i="8"/>
  <c r="A205" i="8"/>
  <c r="A204" i="8"/>
  <c r="A203" i="8"/>
  <c r="A202" i="8"/>
  <c r="A201" i="8"/>
  <c r="A200" i="8"/>
  <c r="A196" i="8"/>
  <c r="A195" i="8"/>
  <c r="A194" i="8"/>
  <c r="A193" i="8"/>
  <c r="A192" i="8"/>
  <c r="A191" i="8"/>
  <c r="A190" i="8"/>
  <c r="A189" i="8"/>
  <c r="A188" i="8"/>
  <c r="A187" i="8"/>
  <c r="A186" i="8"/>
  <c r="A185" i="8"/>
  <c r="A184" i="8"/>
  <c r="A183" i="8"/>
  <c r="A182" i="8"/>
  <c r="A181" i="8"/>
  <c r="A180" i="8"/>
  <c r="A179" i="8"/>
  <c r="A178" i="8"/>
  <c r="A177" i="8"/>
  <c r="A176" i="8"/>
  <c r="A175" i="8"/>
  <c r="A174" i="8"/>
  <c r="A173" i="8"/>
  <c r="A172" i="8"/>
  <c r="A171" i="8"/>
  <c r="A170" i="8"/>
  <c r="A169" i="8"/>
  <c r="A168" i="8"/>
  <c r="A167" i="8"/>
  <c r="A166" i="8"/>
  <c r="A165" i="8"/>
  <c r="A164" i="8"/>
  <c r="A163" i="8"/>
  <c r="A162" i="8"/>
  <c r="A161" i="8"/>
  <c r="A160" i="8"/>
  <c r="A159" i="8"/>
  <c r="A158" i="8"/>
  <c r="A157" i="8"/>
  <c r="B153" i="8"/>
  <c r="B152" i="8"/>
  <c r="B151" i="8"/>
  <c r="B150" i="8"/>
  <c r="B149" i="8"/>
  <c r="B148" i="8"/>
  <c r="B147" i="8"/>
  <c r="B146" i="8"/>
  <c r="B145" i="8"/>
  <c r="B144" i="8"/>
  <c r="B143" i="8"/>
  <c r="B142" i="8"/>
  <c r="B141" i="8"/>
  <c r="B140" i="8"/>
  <c r="B139" i="8"/>
  <c r="B138" i="8"/>
  <c r="B137" i="8"/>
  <c r="B136" i="8"/>
  <c r="B135" i="8"/>
  <c r="B134" i="8"/>
  <c r="B133" i="8"/>
  <c r="B132" i="8"/>
  <c r="B131" i="8"/>
  <c r="B130" i="8"/>
  <c r="B129" i="8"/>
  <c r="B128" i="8"/>
  <c r="B127" i="8"/>
  <c r="B126" i="8"/>
  <c r="B125" i="8"/>
  <c r="B124" i="8"/>
  <c r="B123" i="8"/>
  <c r="B122" i="8"/>
  <c r="B121" i="8"/>
  <c r="B120" i="8"/>
  <c r="B119" i="8"/>
  <c r="B118" i="8"/>
  <c r="B117" i="8"/>
  <c r="B116" i="8"/>
  <c r="B115" i="8"/>
  <c r="B114" i="8"/>
  <c r="S110" i="8"/>
  <c r="R110" i="8"/>
  <c r="Q110" i="8"/>
  <c r="P110" i="8"/>
  <c r="C110" i="8"/>
  <c r="B110" i="8"/>
  <c r="S109" i="8"/>
  <c r="R109" i="8"/>
  <c r="Q109" i="8"/>
  <c r="P109" i="8"/>
  <c r="C109" i="8"/>
  <c r="B109" i="8"/>
  <c r="S108" i="8"/>
  <c r="R108" i="8"/>
  <c r="Q108" i="8"/>
  <c r="P108" i="8"/>
  <c r="C108" i="8"/>
  <c r="B108" i="8"/>
  <c r="S107" i="8"/>
  <c r="R107" i="8"/>
  <c r="Q107" i="8"/>
  <c r="P107" i="8"/>
  <c r="C107" i="8"/>
  <c r="B107" i="8"/>
  <c r="S106" i="8"/>
  <c r="R106" i="8"/>
  <c r="Q106" i="8"/>
  <c r="P106" i="8"/>
  <c r="C106" i="8"/>
  <c r="B106" i="8"/>
  <c r="S105" i="8"/>
  <c r="R105" i="8"/>
  <c r="Q105" i="8"/>
  <c r="P105" i="8"/>
  <c r="C105" i="8"/>
  <c r="B105" i="8"/>
  <c r="S104" i="8"/>
  <c r="R104" i="8"/>
  <c r="Q104" i="8"/>
  <c r="P104" i="8"/>
  <c r="C104" i="8"/>
  <c r="B104" i="8"/>
  <c r="S103" i="8"/>
  <c r="R103" i="8"/>
  <c r="Q103" i="8"/>
  <c r="P103" i="8"/>
  <c r="C103" i="8"/>
  <c r="B103" i="8"/>
  <c r="S102" i="8"/>
  <c r="R102" i="8"/>
  <c r="Q102" i="8"/>
  <c r="P102" i="8"/>
  <c r="C102" i="8"/>
  <c r="B102" i="8"/>
  <c r="S101" i="8"/>
  <c r="R101" i="8"/>
  <c r="Q101" i="8"/>
  <c r="P101" i="8"/>
  <c r="C101" i="8"/>
  <c r="B101" i="8"/>
  <c r="S100" i="8"/>
  <c r="R100" i="8"/>
  <c r="Q100" i="8"/>
  <c r="P100" i="8"/>
  <c r="C100" i="8"/>
  <c r="B100" i="8"/>
  <c r="S99" i="8"/>
  <c r="R99" i="8"/>
  <c r="Q99" i="8"/>
  <c r="P99" i="8"/>
  <c r="C99" i="8"/>
  <c r="B99" i="8"/>
  <c r="S98" i="8"/>
  <c r="R98" i="8"/>
  <c r="Q98" i="8"/>
  <c r="P98" i="8"/>
  <c r="C98" i="8"/>
  <c r="B98" i="8"/>
  <c r="S97" i="8"/>
  <c r="R97" i="8"/>
  <c r="Q97" i="8"/>
  <c r="P97" i="8"/>
  <c r="C97" i="8"/>
  <c r="B97" i="8"/>
  <c r="S96" i="8"/>
  <c r="R96" i="8"/>
  <c r="Q96" i="8"/>
  <c r="P96" i="8"/>
  <c r="C96" i="8"/>
  <c r="B96" i="8"/>
  <c r="S95" i="8"/>
  <c r="R95" i="8"/>
  <c r="Q95" i="8"/>
  <c r="P95" i="8"/>
  <c r="C95" i="8"/>
  <c r="B95" i="8"/>
  <c r="S94" i="8"/>
  <c r="R94" i="8"/>
  <c r="Q94" i="8"/>
  <c r="P94" i="8"/>
  <c r="C94" i="8"/>
  <c r="B94" i="8"/>
  <c r="S93" i="8"/>
  <c r="R93" i="8"/>
  <c r="Q93" i="8"/>
  <c r="P93" i="8"/>
  <c r="C93" i="8"/>
  <c r="B93" i="8"/>
  <c r="S92" i="8"/>
  <c r="R92" i="8"/>
  <c r="Q92" i="8"/>
  <c r="P92" i="8"/>
  <c r="C92" i="8"/>
  <c r="B92" i="8"/>
  <c r="S91" i="8"/>
  <c r="R91" i="8"/>
  <c r="Q91" i="8"/>
  <c r="P91" i="8"/>
  <c r="C91" i="8"/>
  <c r="B91" i="8"/>
  <c r="S90" i="8"/>
  <c r="R90" i="8"/>
  <c r="Q90" i="8"/>
  <c r="P90" i="8"/>
  <c r="C90" i="8"/>
  <c r="B90" i="8"/>
  <c r="S89" i="8"/>
  <c r="R89" i="8"/>
  <c r="Q89" i="8"/>
  <c r="P89" i="8"/>
  <c r="C89" i="8"/>
  <c r="B89" i="8"/>
  <c r="S88" i="8"/>
  <c r="R88" i="8"/>
  <c r="Q88" i="8"/>
  <c r="P88" i="8"/>
  <c r="C88" i="8"/>
  <c r="B88" i="8"/>
  <c r="S87" i="8"/>
  <c r="R87" i="8"/>
  <c r="Q87" i="8"/>
  <c r="P87" i="8"/>
  <c r="C87" i="8"/>
  <c r="B87" i="8"/>
  <c r="S86" i="8"/>
  <c r="R86" i="8"/>
  <c r="Q86" i="8"/>
  <c r="P86" i="8"/>
  <c r="C86" i="8"/>
  <c r="B86" i="8"/>
  <c r="S85" i="8"/>
  <c r="R85" i="8"/>
  <c r="Q85" i="8"/>
  <c r="P85" i="8"/>
  <c r="C85" i="8"/>
  <c r="B85" i="8"/>
  <c r="S84" i="8"/>
  <c r="R84" i="8"/>
  <c r="Q84" i="8"/>
  <c r="P84" i="8"/>
  <c r="C84" i="8"/>
  <c r="B84" i="8"/>
  <c r="S83" i="8"/>
  <c r="R83" i="8"/>
  <c r="Q83" i="8"/>
  <c r="P83" i="8"/>
  <c r="C83" i="8"/>
  <c r="B83" i="8"/>
  <c r="S82" i="8"/>
  <c r="R82" i="8"/>
  <c r="Q82" i="8"/>
  <c r="P82" i="8"/>
  <c r="C82" i="8"/>
  <c r="B82" i="8"/>
  <c r="S81" i="8"/>
  <c r="R81" i="8"/>
  <c r="Q81" i="8"/>
  <c r="P81" i="8"/>
  <c r="C81" i="8"/>
  <c r="B81" i="8"/>
  <c r="S80" i="8"/>
  <c r="R80" i="8"/>
  <c r="Q80" i="8"/>
  <c r="P80" i="8"/>
  <c r="C80" i="8"/>
  <c r="B80" i="8"/>
  <c r="S79" i="8"/>
  <c r="R79" i="8"/>
  <c r="Q79" i="8"/>
  <c r="P79" i="8"/>
  <c r="C79" i="8"/>
  <c r="B79" i="8"/>
  <c r="S78" i="8"/>
  <c r="R78" i="8"/>
  <c r="Q78" i="8"/>
  <c r="P78" i="8"/>
  <c r="C78" i="8"/>
  <c r="B78" i="8"/>
  <c r="S77" i="8"/>
  <c r="R77" i="8"/>
  <c r="Q77" i="8"/>
  <c r="P77" i="8"/>
  <c r="C77" i="8"/>
  <c r="B77" i="8"/>
  <c r="S76" i="8"/>
  <c r="R76" i="8"/>
  <c r="Q76" i="8"/>
  <c r="P76" i="8"/>
  <c r="C76" i="8"/>
  <c r="B76" i="8"/>
  <c r="S75" i="8"/>
  <c r="R75" i="8"/>
  <c r="Q75" i="8"/>
  <c r="P75" i="8"/>
  <c r="C75" i="8"/>
  <c r="B75" i="8"/>
  <c r="S74" i="8"/>
  <c r="R74" i="8"/>
  <c r="Q74" i="8"/>
  <c r="P74" i="8"/>
  <c r="C74" i="8"/>
  <c r="B74" i="8"/>
  <c r="S73" i="8"/>
  <c r="R73" i="8"/>
  <c r="Q73" i="8"/>
  <c r="P73" i="8"/>
  <c r="C73" i="8"/>
  <c r="B73" i="8"/>
  <c r="S72" i="8"/>
  <c r="R72" i="8"/>
  <c r="Q72" i="8"/>
  <c r="P72" i="8"/>
  <c r="C72" i="8"/>
  <c r="B72" i="8"/>
  <c r="S71" i="8"/>
  <c r="R71" i="8"/>
  <c r="Q71" i="8"/>
  <c r="P71" i="8"/>
  <c r="C71" i="8"/>
  <c r="B71" i="8"/>
  <c r="BA67" i="8"/>
  <c r="AZ67" i="8"/>
  <c r="AV67" i="8"/>
  <c r="AK67" i="8"/>
  <c r="AC67" i="8"/>
  <c r="Z67" i="8"/>
  <c r="A67" i="8"/>
  <c r="A110" i="8" s="1"/>
  <c r="BA66" i="8"/>
  <c r="AZ66" i="8"/>
  <c r="AV66" i="8"/>
  <c r="AK66" i="8"/>
  <c r="AC66" i="8"/>
  <c r="Z66" i="8"/>
  <c r="A66" i="8"/>
  <c r="A109" i="8" s="1"/>
  <c r="BA65" i="8"/>
  <c r="AZ65" i="8"/>
  <c r="AV65" i="8"/>
  <c r="AK65" i="8"/>
  <c r="AC65" i="8"/>
  <c r="Z65" i="8"/>
  <c r="A65" i="8"/>
  <c r="A108" i="8" s="1"/>
  <c r="BA64" i="8"/>
  <c r="AZ64" i="8"/>
  <c r="AV64" i="8"/>
  <c r="AK64" i="8"/>
  <c r="AC64" i="8"/>
  <c r="Z64" i="8"/>
  <c r="A64" i="8"/>
  <c r="A107" i="8" s="1"/>
  <c r="BA63" i="8"/>
  <c r="AZ63" i="8"/>
  <c r="AV63" i="8"/>
  <c r="AK63" i="8"/>
  <c r="AC63" i="8"/>
  <c r="Z63" i="8"/>
  <c r="A63" i="8"/>
  <c r="A106" i="8" s="1"/>
  <c r="BA62" i="8"/>
  <c r="AZ62" i="8"/>
  <c r="AV62" i="8"/>
  <c r="AK62" i="8"/>
  <c r="AC62" i="8"/>
  <c r="Z62" i="8"/>
  <c r="A62" i="8"/>
  <c r="A105" i="8" s="1"/>
  <c r="BA61" i="8"/>
  <c r="AZ61" i="8"/>
  <c r="AV61" i="8"/>
  <c r="AK61" i="8"/>
  <c r="AC61" i="8"/>
  <c r="Z61" i="8"/>
  <c r="A61" i="8"/>
  <c r="A104" i="8" s="1"/>
  <c r="BA60" i="8"/>
  <c r="AZ60" i="8"/>
  <c r="AV60" i="8"/>
  <c r="AK60" i="8"/>
  <c r="AC60" i="8"/>
  <c r="Z60" i="8"/>
  <c r="A60" i="8"/>
  <c r="A103" i="8" s="1"/>
  <c r="BA59" i="8"/>
  <c r="AZ59" i="8"/>
  <c r="AV59" i="8"/>
  <c r="AK59" i="8"/>
  <c r="AC59" i="8"/>
  <c r="Z59" i="8"/>
  <c r="A59" i="8"/>
  <c r="A102" i="8" s="1"/>
  <c r="BA58" i="8"/>
  <c r="AZ58" i="8"/>
  <c r="AV58" i="8"/>
  <c r="AK58" i="8"/>
  <c r="AC58" i="8"/>
  <c r="Z58" i="8"/>
  <c r="A58" i="8"/>
  <c r="A101" i="8" s="1"/>
  <c r="BA57" i="8"/>
  <c r="AZ57" i="8"/>
  <c r="AV57" i="8"/>
  <c r="AK57" i="8"/>
  <c r="AC57" i="8"/>
  <c r="Z57" i="8"/>
  <c r="A57" i="8"/>
  <c r="A100" i="8" s="1"/>
  <c r="BA56" i="8"/>
  <c r="AZ56" i="8"/>
  <c r="AV56" i="8"/>
  <c r="AK56" i="8"/>
  <c r="AC56" i="8"/>
  <c r="Z56" i="8"/>
  <c r="A56" i="8"/>
  <c r="A99" i="8" s="1"/>
  <c r="BA55" i="8"/>
  <c r="AZ55" i="8"/>
  <c r="AV55" i="8"/>
  <c r="AK55" i="8"/>
  <c r="AC55" i="8"/>
  <c r="Z55" i="8"/>
  <c r="A55" i="8"/>
  <c r="A98" i="8" s="1"/>
  <c r="BA54" i="8"/>
  <c r="AZ54" i="8"/>
  <c r="AV54" i="8"/>
  <c r="AK54" i="8"/>
  <c r="AC54" i="8"/>
  <c r="Z54" i="8"/>
  <c r="A54" i="8"/>
  <c r="A97" i="8" s="1"/>
  <c r="BA53" i="8"/>
  <c r="AZ53" i="8"/>
  <c r="AV53" i="8"/>
  <c r="AK53" i="8"/>
  <c r="AC53" i="8"/>
  <c r="Z53" i="8"/>
  <c r="A53" i="8"/>
  <c r="A96" i="8" s="1"/>
  <c r="BA52" i="8"/>
  <c r="AZ52" i="8"/>
  <c r="AV52" i="8"/>
  <c r="AK52" i="8"/>
  <c r="AC52" i="8"/>
  <c r="Z52" i="8"/>
  <c r="A52" i="8"/>
  <c r="A95" i="8" s="1"/>
  <c r="BA51" i="8"/>
  <c r="AZ51" i="8"/>
  <c r="AV51" i="8"/>
  <c r="AK51" i="8"/>
  <c r="AC51" i="8"/>
  <c r="Z51" i="8"/>
  <c r="A51" i="8"/>
  <c r="A94" i="8" s="1"/>
  <c r="BA50" i="8"/>
  <c r="AZ50" i="8"/>
  <c r="AV50" i="8"/>
  <c r="AK50" i="8"/>
  <c r="AC50" i="8"/>
  <c r="Z50" i="8"/>
  <c r="A50" i="8"/>
  <c r="A93" i="8" s="1"/>
  <c r="BA49" i="8"/>
  <c r="AZ49" i="8"/>
  <c r="AV49" i="8"/>
  <c r="AK49" i="8"/>
  <c r="AC49" i="8"/>
  <c r="Z49" i="8"/>
  <c r="A49" i="8"/>
  <c r="A92" i="8" s="1"/>
  <c r="BA48" i="8"/>
  <c r="AZ48" i="8"/>
  <c r="AV48" i="8"/>
  <c r="AK48" i="8"/>
  <c r="AC48" i="8"/>
  <c r="Z48" i="8"/>
  <c r="A48" i="8"/>
  <c r="A91" i="8" s="1"/>
  <c r="BA47" i="8"/>
  <c r="AZ47" i="8"/>
  <c r="AV47" i="8"/>
  <c r="AK47" i="8"/>
  <c r="AC47" i="8"/>
  <c r="Z47" i="8"/>
  <c r="A47" i="8"/>
  <c r="A90" i="8" s="1"/>
  <c r="BA46" i="8"/>
  <c r="AZ46" i="8"/>
  <c r="AV46" i="8"/>
  <c r="AK46" i="8"/>
  <c r="AC46" i="8"/>
  <c r="Z46" i="8"/>
  <c r="A46" i="8"/>
  <c r="A89" i="8" s="1"/>
  <c r="BA45" i="8"/>
  <c r="AZ45" i="8"/>
  <c r="AV45" i="8"/>
  <c r="AK45" i="8"/>
  <c r="AC45" i="8"/>
  <c r="Z45" i="8"/>
  <c r="A45" i="8"/>
  <c r="A88" i="8" s="1"/>
  <c r="BA44" i="8"/>
  <c r="AZ44" i="8"/>
  <c r="AV44" i="8"/>
  <c r="AK44" i="8"/>
  <c r="AC44" i="8"/>
  <c r="Z44" i="8"/>
  <c r="A44" i="8"/>
  <c r="A87" i="8" s="1"/>
  <c r="BA43" i="8"/>
  <c r="AZ43" i="8"/>
  <c r="AV43" i="8"/>
  <c r="AK43" i="8"/>
  <c r="AC43" i="8"/>
  <c r="Z43" i="8"/>
  <c r="A43" i="8"/>
  <c r="A86" i="8" s="1"/>
  <c r="BA42" i="8"/>
  <c r="AZ42" i="8"/>
  <c r="AV42" i="8"/>
  <c r="AK42" i="8"/>
  <c r="AC42" i="8"/>
  <c r="Z42" i="8"/>
  <c r="A42" i="8"/>
  <c r="A85" i="8" s="1"/>
  <c r="BA41" i="8"/>
  <c r="AZ41" i="8"/>
  <c r="AV41" i="8"/>
  <c r="AK41" i="8"/>
  <c r="AC41" i="8"/>
  <c r="Z41" i="8"/>
  <c r="A41" i="8"/>
  <c r="A84" i="8" s="1"/>
  <c r="BA40" i="8"/>
  <c r="AZ40" i="8"/>
  <c r="AV40" i="8"/>
  <c r="AK40" i="8"/>
  <c r="AC40" i="8"/>
  <c r="Z40" i="8"/>
  <c r="A40" i="8"/>
  <c r="A83" i="8" s="1"/>
  <c r="BA39" i="8"/>
  <c r="AZ39" i="8"/>
  <c r="AV39" i="8"/>
  <c r="AK39" i="8"/>
  <c r="AC39" i="8"/>
  <c r="Z39" i="8"/>
  <c r="A39" i="8"/>
  <c r="A82" i="8" s="1"/>
  <c r="BA38" i="8"/>
  <c r="AZ38" i="8"/>
  <c r="AV38" i="8"/>
  <c r="AK38" i="8"/>
  <c r="AC38" i="8"/>
  <c r="Z38" i="8"/>
  <c r="A38" i="8"/>
  <c r="A81" i="8" s="1"/>
  <c r="BA37" i="8"/>
  <c r="AZ37" i="8"/>
  <c r="AV37" i="8"/>
  <c r="AK37" i="8"/>
  <c r="AC37" i="8"/>
  <c r="Z37" i="8"/>
  <c r="A37" i="8"/>
  <c r="A80" i="8" s="1"/>
  <c r="BA36" i="8"/>
  <c r="AZ36" i="8"/>
  <c r="AV36" i="8"/>
  <c r="AK36" i="8"/>
  <c r="AC36" i="8"/>
  <c r="Z36" i="8"/>
  <c r="A36" i="8"/>
  <c r="A79" i="8" s="1"/>
  <c r="BA35" i="8"/>
  <c r="AZ35" i="8"/>
  <c r="AV35" i="8"/>
  <c r="AK35" i="8"/>
  <c r="AC35" i="8"/>
  <c r="Z35" i="8"/>
  <c r="A35" i="8"/>
  <c r="A78" i="8" s="1"/>
  <c r="BA34" i="8"/>
  <c r="AZ34" i="8"/>
  <c r="AV34" i="8"/>
  <c r="AK34" i="8"/>
  <c r="AC34" i="8"/>
  <c r="Z34" i="8"/>
  <c r="A34" i="8"/>
  <c r="A77" i="8" s="1"/>
  <c r="BA33" i="8"/>
  <c r="AZ33" i="8"/>
  <c r="AV33" i="8"/>
  <c r="AK33" i="8"/>
  <c r="AC33" i="8"/>
  <c r="Z33" i="8"/>
  <c r="A33" i="8"/>
  <c r="A76" i="8" s="1"/>
  <c r="BA32" i="8"/>
  <c r="AZ32" i="8"/>
  <c r="AV32" i="8"/>
  <c r="AK32" i="8"/>
  <c r="AC32" i="8"/>
  <c r="Z32" i="8"/>
  <c r="A32" i="8"/>
  <c r="A75" i="8" s="1"/>
  <c r="BA31" i="8"/>
  <c r="AZ31" i="8"/>
  <c r="AV31" i="8"/>
  <c r="AK31" i="8"/>
  <c r="AC31" i="8"/>
  <c r="Z31" i="8"/>
  <c r="A31" i="8"/>
  <c r="A74" i="8" s="1"/>
  <c r="BA30" i="8"/>
  <c r="AZ30" i="8"/>
  <c r="AV30" i="8"/>
  <c r="AK30" i="8"/>
  <c r="AC30" i="8"/>
  <c r="Z30" i="8"/>
  <c r="A30" i="8"/>
  <c r="A73" i="8" s="1"/>
  <c r="BA29" i="8"/>
  <c r="AZ29" i="8"/>
  <c r="AV29" i="8"/>
  <c r="AK29" i="8"/>
  <c r="AC29" i="8"/>
  <c r="Z29" i="8"/>
  <c r="A29" i="8"/>
  <c r="A72" i="8" s="1"/>
  <c r="BA28" i="8"/>
  <c r="AZ28" i="8"/>
  <c r="AV28" i="8"/>
  <c r="AK28" i="8"/>
  <c r="AC28" i="8"/>
  <c r="Z28" i="8"/>
  <c r="A28" i="8"/>
  <c r="D24" i="8"/>
  <c r="C24" i="8"/>
  <c r="B24" i="8"/>
  <c r="A24" i="8"/>
  <c r="E20" i="8"/>
  <c r="E19" i="8"/>
  <c r="E18" i="8"/>
  <c r="E17" i="8"/>
  <c r="B17" i="8"/>
  <c r="E16" i="8"/>
  <c r="B16" i="8"/>
  <c r="E15" i="8"/>
  <c r="B15" i="8"/>
  <c r="E14" i="8"/>
  <c r="B14" i="8"/>
  <c r="E13" i="8"/>
  <c r="B13" i="8"/>
  <c r="E12" i="8"/>
  <c r="B12" i="8"/>
  <c r="D8" i="8"/>
  <c r="C8" i="8"/>
  <c r="C3" i="8"/>
  <c r="E622" i="7"/>
  <c r="D622" i="7"/>
  <c r="C622" i="7"/>
  <c r="B622" i="7"/>
  <c r="E621" i="7"/>
  <c r="D621" i="7"/>
  <c r="C621" i="7"/>
  <c r="B621" i="7"/>
  <c r="E620" i="7"/>
  <c r="D620" i="7"/>
  <c r="C620" i="7"/>
  <c r="B620" i="7"/>
  <c r="E619" i="7"/>
  <c r="D619" i="7"/>
  <c r="C619" i="7"/>
  <c r="B619" i="7"/>
  <c r="D618" i="7"/>
  <c r="C618" i="7"/>
  <c r="B618" i="7"/>
  <c r="E617" i="7"/>
  <c r="D617" i="7"/>
  <c r="C617" i="7"/>
  <c r="B617" i="7"/>
  <c r="E616" i="7"/>
  <c r="D616" i="7"/>
  <c r="C616" i="7"/>
  <c r="B616" i="7"/>
  <c r="E615" i="7"/>
  <c r="D615" i="7"/>
  <c r="C615" i="7"/>
  <c r="B615" i="7"/>
  <c r="E614" i="7"/>
  <c r="D614" i="7"/>
  <c r="C614" i="7"/>
  <c r="B614" i="7"/>
  <c r="E613" i="7"/>
  <c r="D613" i="7"/>
  <c r="C613" i="7"/>
  <c r="B613" i="7"/>
  <c r="E612" i="7"/>
  <c r="D612" i="7"/>
  <c r="C612" i="7"/>
  <c r="B612" i="7"/>
  <c r="E611" i="7"/>
  <c r="D611" i="7"/>
  <c r="C611" i="7"/>
  <c r="B611" i="7"/>
  <c r="E610" i="7"/>
  <c r="D610" i="7"/>
  <c r="C610" i="7"/>
  <c r="B610" i="7"/>
  <c r="E609" i="7"/>
  <c r="D609" i="7"/>
  <c r="C609" i="7"/>
  <c r="B609" i="7"/>
  <c r="E608" i="7"/>
  <c r="D608" i="7"/>
  <c r="C608" i="7"/>
  <c r="B608" i="7"/>
  <c r="E607" i="7"/>
  <c r="D607" i="7"/>
  <c r="C607" i="7"/>
  <c r="B607" i="7"/>
  <c r="E606" i="7"/>
  <c r="D606" i="7"/>
  <c r="C606" i="7"/>
  <c r="B606" i="7"/>
  <c r="E605" i="7"/>
  <c r="D605" i="7"/>
  <c r="C605" i="7"/>
  <c r="B605" i="7"/>
  <c r="E604" i="7"/>
  <c r="D604" i="7"/>
  <c r="C604" i="7"/>
  <c r="B604" i="7"/>
  <c r="E603" i="7"/>
  <c r="D603" i="7"/>
  <c r="C603" i="7"/>
  <c r="B603" i="7"/>
  <c r="E602" i="7"/>
  <c r="D602" i="7"/>
  <c r="C602" i="7"/>
  <c r="B602" i="7"/>
  <c r="E601" i="7"/>
  <c r="D601" i="7"/>
  <c r="C601" i="7"/>
  <c r="B601" i="7"/>
  <c r="E600" i="7"/>
  <c r="D600" i="7"/>
  <c r="C600" i="7"/>
  <c r="B600" i="7"/>
  <c r="E599" i="7"/>
  <c r="D599" i="7"/>
  <c r="C599" i="7"/>
  <c r="B599" i="7"/>
  <c r="E598" i="7"/>
  <c r="D598" i="7"/>
  <c r="C598" i="7"/>
  <c r="B598" i="7"/>
  <c r="E597" i="7"/>
  <c r="D597" i="7"/>
  <c r="C597" i="7"/>
  <c r="B597" i="7"/>
  <c r="E596" i="7"/>
  <c r="D596" i="7"/>
  <c r="C596" i="7"/>
  <c r="B596" i="7"/>
  <c r="E595" i="7"/>
  <c r="D595" i="7"/>
  <c r="C595" i="7"/>
  <c r="B595" i="7"/>
  <c r="E594" i="7"/>
  <c r="D594" i="7"/>
  <c r="C594" i="7"/>
  <c r="B594" i="7"/>
  <c r="E593" i="7"/>
  <c r="D593" i="7"/>
  <c r="C593" i="7"/>
  <c r="B593" i="7"/>
  <c r="E592" i="7"/>
  <c r="D592" i="7"/>
  <c r="C592" i="7"/>
  <c r="B592" i="7"/>
  <c r="E591" i="7"/>
  <c r="D591" i="7"/>
  <c r="C591" i="7"/>
  <c r="B591" i="7"/>
  <c r="E590" i="7"/>
  <c r="D590" i="7"/>
  <c r="C590" i="7"/>
  <c r="B590" i="7"/>
  <c r="E589" i="7"/>
  <c r="D589" i="7"/>
  <c r="C589" i="7"/>
  <c r="B589" i="7"/>
  <c r="E588" i="7"/>
  <c r="D588" i="7"/>
  <c r="C588" i="7"/>
  <c r="B588" i="7"/>
  <c r="E587" i="7"/>
  <c r="D587" i="7"/>
  <c r="C587" i="7"/>
  <c r="B587" i="7"/>
  <c r="E586" i="7"/>
  <c r="D586" i="7"/>
  <c r="C586" i="7"/>
  <c r="B586" i="7"/>
  <c r="E585" i="7"/>
  <c r="D585" i="7"/>
  <c r="C585" i="7"/>
  <c r="B585" i="7"/>
  <c r="E584" i="7"/>
  <c r="D584" i="7"/>
  <c r="C584" i="7"/>
  <c r="B584" i="7"/>
  <c r="E583" i="7"/>
  <c r="D583" i="7"/>
  <c r="C583" i="7"/>
  <c r="B583" i="7"/>
  <c r="B579" i="7"/>
  <c r="B578" i="7"/>
  <c r="B577" i="7"/>
  <c r="B576" i="7"/>
  <c r="B575" i="7"/>
  <c r="B574" i="7"/>
  <c r="B573" i="7"/>
  <c r="B572" i="7"/>
  <c r="B571" i="7"/>
  <c r="B566" i="7"/>
  <c r="B565" i="7"/>
  <c r="B564" i="7"/>
  <c r="B563" i="7"/>
  <c r="B562" i="7"/>
  <c r="L445" i="7"/>
  <c r="L444" i="7"/>
  <c r="L443" i="7"/>
  <c r="L442" i="7"/>
  <c r="L441" i="7"/>
  <c r="L440" i="7"/>
  <c r="L439" i="7"/>
  <c r="L438" i="7"/>
  <c r="L437" i="7"/>
  <c r="L436" i="7"/>
  <c r="L435" i="7"/>
  <c r="L434" i="7"/>
  <c r="L433" i="7"/>
  <c r="L432" i="7"/>
  <c r="L431" i="7"/>
  <c r="L430" i="7"/>
  <c r="L429" i="7"/>
  <c r="L428" i="7"/>
  <c r="L427" i="7"/>
  <c r="L426" i="7"/>
  <c r="L425" i="7"/>
  <c r="L424" i="7"/>
  <c r="L423" i="7"/>
  <c r="L422" i="7"/>
  <c r="L421" i="7"/>
  <c r="L420" i="7"/>
  <c r="L419" i="7"/>
  <c r="L418" i="7"/>
  <c r="L417" i="7"/>
  <c r="L416" i="7"/>
  <c r="A411" i="7"/>
  <c r="A410" i="7"/>
  <c r="A409" i="7"/>
  <c r="A408" i="7"/>
  <c r="A407" i="7"/>
  <c r="A406" i="7"/>
  <c r="A405" i="7"/>
  <c r="A404" i="7"/>
  <c r="A403" i="7"/>
  <c r="A402" i="7"/>
  <c r="A401" i="7"/>
  <c r="A400" i="7"/>
  <c r="A399" i="7"/>
  <c r="A398" i="7"/>
  <c r="A397" i="7"/>
  <c r="A396" i="7"/>
  <c r="A395" i="7"/>
  <c r="A394" i="7"/>
  <c r="A393" i="7"/>
  <c r="A392" i="7"/>
  <c r="A391" i="7"/>
  <c r="A390" i="7"/>
  <c r="A389" i="7"/>
  <c r="A388" i="7"/>
  <c r="A387" i="7"/>
  <c r="A386" i="7"/>
  <c r="A385" i="7"/>
  <c r="A384" i="7"/>
  <c r="A383" i="7"/>
  <c r="A382" i="7"/>
  <c r="A381" i="7"/>
  <c r="A380" i="7"/>
  <c r="A379" i="7"/>
  <c r="A378" i="7"/>
  <c r="A377" i="7"/>
  <c r="A376" i="7"/>
  <c r="A375" i="7"/>
  <c r="A374" i="7"/>
  <c r="A373" i="7"/>
  <c r="A372" i="7"/>
  <c r="A367" i="7"/>
  <c r="A366" i="7"/>
  <c r="A365" i="7"/>
  <c r="A364" i="7"/>
  <c r="A363" i="7"/>
  <c r="A362" i="7"/>
  <c r="A361" i="7"/>
  <c r="A360" i="7"/>
  <c r="A359" i="7"/>
  <c r="A358" i="7"/>
  <c r="A357" i="7"/>
  <c r="A356" i="7"/>
  <c r="A355" i="7"/>
  <c r="A354" i="7"/>
  <c r="A353" i="7"/>
  <c r="A352" i="7"/>
  <c r="A351" i="7"/>
  <c r="A350" i="7"/>
  <c r="A349" i="7"/>
  <c r="A348" i="7"/>
  <c r="A347" i="7"/>
  <c r="A346" i="7"/>
  <c r="A345" i="7"/>
  <c r="A344" i="7"/>
  <c r="A343" i="7"/>
  <c r="A342" i="7"/>
  <c r="A341" i="7"/>
  <c r="A340" i="7"/>
  <c r="A339" i="7"/>
  <c r="A338" i="7"/>
  <c r="A337" i="7"/>
  <c r="A336" i="7"/>
  <c r="A335" i="7"/>
  <c r="A334" i="7"/>
  <c r="A333" i="7"/>
  <c r="A332" i="7"/>
  <c r="A331" i="7"/>
  <c r="A330" i="7"/>
  <c r="A329" i="7"/>
  <c r="A328" i="7"/>
  <c r="A327" i="7"/>
  <c r="A326" i="7"/>
  <c r="A325" i="7"/>
  <c r="A324" i="7"/>
  <c r="A323" i="7"/>
  <c r="A322" i="7"/>
  <c r="A321" i="7"/>
  <c r="A320" i="7"/>
  <c r="A319" i="7"/>
  <c r="A318" i="7"/>
  <c r="A317" i="7"/>
  <c r="A316" i="7"/>
  <c r="A315" i="7"/>
  <c r="A314" i="7"/>
  <c r="A313" i="7"/>
  <c r="A312" i="7"/>
  <c r="A311" i="7"/>
  <c r="A310" i="7"/>
  <c r="A309" i="7"/>
  <c r="A308" i="7"/>
  <c r="S303" i="7"/>
  <c r="A303" i="7"/>
  <c r="S302" i="7"/>
  <c r="A302" i="7"/>
  <c r="S301" i="7"/>
  <c r="A301" i="7"/>
  <c r="S300" i="7"/>
  <c r="A300" i="7"/>
  <c r="S299" i="7"/>
  <c r="A299" i="7"/>
  <c r="S298" i="7"/>
  <c r="A298" i="7"/>
  <c r="S297" i="7"/>
  <c r="A297" i="7"/>
  <c r="S296" i="7"/>
  <c r="A296" i="7"/>
  <c r="S295" i="7"/>
  <c r="A295" i="7"/>
  <c r="S294" i="7"/>
  <c r="A294" i="7"/>
  <c r="S293" i="7"/>
  <c r="A293" i="7"/>
  <c r="S292" i="7"/>
  <c r="A292" i="7"/>
  <c r="S291" i="7"/>
  <c r="A291" i="7"/>
  <c r="S290" i="7"/>
  <c r="A290" i="7"/>
  <c r="S289" i="7"/>
  <c r="A289" i="7"/>
  <c r="S288" i="7"/>
  <c r="A288" i="7"/>
  <c r="S287" i="7"/>
  <c r="A287" i="7"/>
  <c r="S286" i="7"/>
  <c r="A286" i="7"/>
  <c r="S285" i="7"/>
  <c r="A285" i="7"/>
  <c r="S284" i="7"/>
  <c r="A284" i="7"/>
  <c r="S283" i="7"/>
  <c r="A283" i="7"/>
  <c r="S282" i="7"/>
  <c r="A282" i="7"/>
  <c r="S281" i="7"/>
  <c r="A281" i="7"/>
  <c r="S280" i="7"/>
  <c r="A280" i="7"/>
  <c r="S279" i="7"/>
  <c r="A279" i="7"/>
  <c r="S278" i="7"/>
  <c r="A278" i="7"/>
  <c r="S277" i="7"/>
  <c r="A277" i="7"/>
  <c r="S276" i="7"/>
  <c r="A276" i="7"/>
  <c r="S275" i="7"/>
  <c r="A275" i="7"/>
  <c r="S274" i="7"/>
  <c r="A274" i="7"/>
  <c r="S273" i="7"/>
  <c r="A273" i="7"/>
  <c r="S272" i="7"/>
  <c r="A272" i="7"/>
  <c r="S271" i="7"/>
  <c r="A271" i="7"/>
  <c r="S270" i="7"/>
  <c r="A270" i="7"/>
  <c r="S269" i="7"/>
  <c r="A269" i="7"/>
  <c r="S268" i="7"/>
  <c r="A268" i="7"/>
  <c r="S267" i="7"/>
  <c r="A267" i="7"/>
  <c r="S266" i="7"/>
  <c r="A266" i="7"/>
  <c r="S265" i="7"/>
  <c r="A265" i="7"/>
  <c r="S264" i="7"/>
  <c r="A264" i="7"/>
  <c r="S263" i="7"/>
  <c r="A263" i="7"/>
  <c r="S262" i="7"/>
  <c r="A262" i="7"/>
  <c r="S261" i="7"/>
  <c r="A261" i="7"/>
  <c r="S260" i="7"/>
  <c r="A260" i="7"/>
  <c r="S259" i="7"/>
  <c r="A259" i="7"/>
  <c r="S258" i="7"/>
  <c r="A258" i="7"/>
  <c r="S257" i="7"/>
  <c r="A257" i="7"/>
  <c r="S256" i="7"/>
  <c r="A256" i="7"/>
  <c r="S255" i="7"/>
  <c r="A255" i="7"/>
  <c r="S254" i="7"/>
  <c r="A254" i="7"/>
  <c r="S253" i="7"/>
  <c r="A253" i="7"/>
  <c r="S252" i="7"/>
  <c r="A252" i="7"/>
  <c r="S251" i="7"/>
  <c r="A251" i="7"/>
  <c r="S250" i="7"/>
  <c r="A250" i="7"/>
  <c r="S249" i="7"/>
  <c r="A249" i="7"/>
  <c r="S248" i="7"/>
  <c r="A248" i="7"/>
  <c r="S247" i="7"/>
  <c r="A247" i="7"/>
  <c r="S246" i="7"/>
  <c r="A246" i="7"/>
  <c r="S245" i="7"/>
  <c r="A245" i="7"/>
  <c r="S244" i="7"/>
  <c r="A244" i="7"/>
  <c r="A239" i="7"/>
  <c r="A238" i="7"/>
  <c r="A237" i="7"/>
  <c r="A236" i="7"/>
  <c r="A235" i="7"/>
  <c r="A234" i="7"/>
  <c r="A233" i="7"/>
  <c r="A232" i="7"/>
  <c r="A231" i="7"/>
  <c r="A230" i="7"/>
  <c r="A229" i="7"/>
  <c r="A228" i="7"/>
  <c r="A227" i="7"/>
  <c r="A226" i="7"/>
  <c r="A225" i="7"/>
  <c r="A224" i="7"/>
  <c r="A223" i="7"/>
  <c r="A222" i="7"/>
  <c r="A221" i="7"/>
  <c r="A220" i="7"/>
  <c r="A219" i="7"/>
  <c r="A218" i="7"/>
  <c r="A217" i="7"/>
  <c r="A216" i="7"/>
  <c r="A215" i="7"/>
  <c r="A214" i="7"/>
  <c r="A213" i="7"/>
  <c r="A212" i="7"/>
  <c r="A211" i="7"/>
  <c r="A210" i="7"/>
  <c r="AW205" i="7"/>
  <c r="AA205" i="7"/>
  <c r="Z205" i="7"/>
  <c r="Y205" i="7"/>
  <c r="A205" i="7"/>
  <c r="AW204" i="7"/>
  <c r="AA204" i="7"/>
  <c r="Z204" i="7"/>
  <c r="Y204" i="7"/>
  <c r="A204" i="7"/>
  <c r="AW203" i="7"/>
  <c r="AA203" i="7"/>
  <c r="Z203" i="7"/>
  <c r="Y203" i="7"/>
  <c r="A203" i="7"/>
  <c r="AW202" i="7"/>
  <c r="AA202" i="7"/>
  <c r="Z202" i="7"/>
  <c r="Y202" i="7"/>
  <c r="A202" i="7"/>
  <c r="AW201" i="7"/>
  <c r="AA201" i="7"/>
  <c r="Z201" i="7"/>
  <c r="Y201" i="7"/>
  <c r="A201" i="7"/>
  <c r="AW200" i="7"/>
  <c r="AA200" i="7"/>
  <c r="Z200" i="7"/>
  <c r="Y200" i="7"/>
  <c r="A200" i="7"/>
  <c r="AW199" i="7"/>
  <c r="AA199" i="7"/>
  <c r="Z199" i="7"/>
  <c r="Y199" i="7"/>
  <c r="A199" i="7"/>
  <c r="AW198" i="7"/>
  <c r="AA198" i="7"/>
  <c r="Z198" i="7"/>
  <c r="Y198" i="7"/>
  <c r="A198" i="7"/>
  <c r="AW197" i="7"/>
  <c r="AA197" i="7"/>
  <c r="Z197" i="7"/>
  <c r="Y197" i="7"/>
  <c r="A197" i="7"/>
  <c r="AW196" i="7"/>
  <c r="AA196" i="7"/>
  <c r="Z196" i="7"/>
  <c r="Y196" i="7"/>
  <c r="A196" i="7"/>
  <c r="AW195" i="7"/>
  <c r="AA195" i="7"/>
  <c r="Z195" i="7"/>
  <c r="Y195" i="7"/>
  <c r="A195" i="7"/>
  <c r="AW194" i="7"/>
  <c r="AA194" i="7"/>
  <c r="Z194" i="7"/>
  <c r="Y194" i="7"/>
  <c r="A194" i="7"/>
  <c r="AW193" i="7"/>
  <c r="AA193" i="7"/>
  <c r="Z193" i="7"/>
  <c r="Y193" i="7"/>
  <c r="A193" i="7"/>
  <c r="AW192" i="7"/>
  <c r="AA192" i="7"/>
  <c r="Z192" i="7"/>
  <c r="Y192" i="7"/>
  <c r="A192" i="7"/>
  <c r="AW191" i="7"/>
  <c r="AA191" i="7"/>
  <c r="Z191" i="7"/>
  <c r="Y191" i="7"/>
  <c r="A191" i="7"/>
  <c r="AW190" i="7"/>
  <c r="AA190" i="7"/>
  <c r="Z190" i="7"/>
  <c r="Y190" i="7"/>
  <c r="A190" i="7"/>
  <c r="AW189" i="7"/>
  <c r="AA189" i="7"/>
  <c r="Z189" i="7"/>
  <c r="Y189" i="7"/>
  <c r="A189" i="7"/>
  <c r="AW188" i="7"/>
  <c r="AA188" i="7"/>
  <c r="Z188" i="7"/>
  <c r="Y188" i="7"/>
  <c r="A188" i="7"/>
  <c r="AW187" i="7"/>
  <c r="AA187" i="7"/>
  <c r="Z187" i="7"/>
  <c r="Y187" i="7"/>
  <c r="A187" i="7"/>
  <c r="AW186" i="7"/>
  <c r="AA186" i="7"/>
  <c r="Z186" i="7"/>
  <c r="Y186" i="7"/>
  <c r="A186" i="7"/>
  <c r="AW185" i="7"/>
  <c r="AA185" i="7"/>
  <c r="Z185" i="7"/>
  <c r="Y185" i="7"/>
  <c r="A185" i="7"/>
  <c r="AW184" i="7"/>
  <c r="AA184" i="7"/>
  <c r="Z184" i="7"/>
  <c r="Y184" i="7"/>
  <c r="A184" i="7"/>
  <c r="AW183" i="7"/>
  <c r="AA183" i="7"/>
  <c r="Z183" i="7"/>
  <c r="Y183" i="7"/>
  <c r="A183" i="7"/>
  <c r="AW182" i="7"/>
  <c r="AA182" i="7"/>
  <c r="Z182" i="7"/>
  <c r="Y182" i="7"/>
  <c r="A182" i="7"/>
  <c r="AW181" i="7"/>
  <c r="AA181" i="7"/>
  <c r="Z181" i="7"/>
  <c r="Y181" i="7"/>
  <c r="A181" i="7"/>
  <c r="AW180" i="7"/>
  <c r="AA180" i="7"/>
  <c r="Z180" i="7"/>
  <c r="Y180" i="7"/>
  <c r="A180" i="7"/>
  <c r="AW179" i="7"/>
  <c r="AA179" i="7"/>
  <c r="Z179" i="7"/>
  <c r="Y179" i="7"/>
  <c r="A179" i="7"/>
  <c r="AW178" i="7"/>
  <c r="AA178" i="7"/>
  <c r="Z178" i="7"/>
  <c r="Y178" i="7"/>
  <c r="A178" i="7"/>
  <c r="AW177" i="7"/>
  <c r="AA177" i="7"/>
  <c r="Z177" i="7"/>
  <c r="Y177" i="7"/>
  <c r="A177" i="7"/>
  <c r="AW176" i="7"/>
  <c r="AA176" i="7"/>
  <c r="Z176" i="7"/>
  <c r="Y176" i="7"/>
  <c r="A176" i="7"/>
  <c r="AW175" i="7"/>
  <c r="AA175" i="7"/>
  <c r="Z175" i="7"/>
  <c r="Y175" i="7"/>
  <c r="A175" i="7"/>
  <c r="AW174" i="7"/>
  <c r="AA174" i="7"/>
  <c r="Z174" i="7"/>
  <c r="Y174" i="7"/>
  <c r="A174" i="7"/>
  <c r="AW173" i="7"/>
  <c r="AA173" i="7"/>
  <c r="Z173" i="7"/>
  <c r="Y173" i="7"/>
  <c r="A173" i="7"/>
  <c r="AW172" i="7"/>
  <c r="AA172" i="7"/>
  <c r="Z172" i="7"/>
  <c r="Y172" i="7"/>
  <c r="A172" i="7"/>
  <c r="AW171" i="7"/>
  <c r="AA171" i="7"/>
  <c r="Z171" i="7"/>
  <c r="Y171" i="7"/>
  <c r="A171" i="7"/>
  <c r="AW170" i="7"/>
  <c r="AA170" i="7"/>
  <c r="Z170" i="7"/>
  <c r="Y170" i="7"/>
  <c r="A170" i="7"/>
  <c r="AW169" i="7"/>
  <c r="AA169" i="7"/>
  <c r="Z169" i="7"/>
  <c r="Y169" i="7"/>
  <c r="A169" i="7"/>
  <c r="AW168" i="7"/>
  <c r="AA168" i="7"/>
  <c r="Z168" i="7"/>
  <c r="Y168" i="7"/>
  <c r="A168" i="7"/>
  <c r="AW167" i="7"/>
  <c r="AA167" i="7"/>
  <c r="Z167" i="7"/>
  <c r="Y167" i="7"/>
  <c r="A167" i="7"/>
  <c r="AW166" i="7"/>
  <c r="AA166" i="7"/>
  <c r="Z166" i="7"/>
  <c r="Y166" i="7"/>
  <c r="A166" i="7"/>
  <c r="AW165" i="7"/>
  <c r="AA165" i="7"/>
  <c r="Z165" i="7"/>
  <c r="Y165" i="7"/>
  <c r="A165" i="7"/>
  <c r="AW164" i="7"/>
  <c r="AA164" i="7"/>
  <c r="Z164" i="7"/>
  <c r="Y164" i="7"/>
  <c r="A164" i="7"/>
  <c r="AW163" i="7"/>
  <c r="AA163" i="7"/>
  <c r="Z163" i="7"/>
  <c r="Y163" i="7"/>
  <c r="A163" i="7"/>
  <c r="AW162" i="7"/>
  <c r="AA162" i="7"/>
  <c r="Z162" i="7"/>
  <c r="Y162" i="7"/>
  <c r="A162" i="7"/>
  <c r="AW161" i="7"/>
  <c r="AA161" i="7"/>
  <c r="Z161" i="7"/>
  <c r="Y161" i="7"/>
  <c r="A161" i="7"/>
  <c r="AW160" i="7"/>
  <c r="AA160" i="7"/>
  <c r="Z160" i="7"/>
  <c r="Y160" i="7"/>
  <c r="A160" i="7"/>
  <c r="AW159" i="7"/>
  <c r="AA159" i="7"/>
  <c r="Z159" i="7"/>
  <c r="Y159" i="7"/>
  <c r="A159" i="7"/>
  <c r="AW158" i="7"/>
  <c r="AA158" i="7"/>
  <c r="Z158" i="7"/>
  <c r="Y158" i="7"/>
  <c r="A158" i="7"/>
  <c r="AW157" i="7"/>
  <c r="AA157" i="7"/>
  <c r="Z157" i="7"/>
  <c r="Y157" i="7"/>
  <c r="A157" i="7"/>
  <c r="AW156" i="7"/>
  <c r="AA156" i="7"/>
  <c r="Z156" i="7"/>
  <c r="Y156" i="7"/>
  <c r="A156" i="7"/>
  <c r="AW155" i="7"/>
  <c r="AA155" i="7"/>
  <c r="Z155" i="7"/>
  <c r="Y155" i="7"/>
  <c r="A155" i="7"/>
  <c r="AW154" i="7"/>
  <c r="AA154" i="7"/>
  <c r="Z154" i="7"/>
  <c r="Y154" i="7"/>
  <c r="A154" i="7"/>
  <c r="AW153" i="7"/>
  <c r="AA153" i="7"/>
  <c r="Z153" i="7"/>
  <c r="Y153" i="7"/>
  <c r="A153" i="7"/>
  <c r="AW152" i="7"/>
  <c r="AA152" i="7"/>
  <c r="Z152" i="7"/>
  <c r="Y152" i="7"/>
  <c r="A152" i="7"/>
  <c r="AW151" i="7"/>
  <c r="AA151" i="7"/>
  <c r="Z151" i="7"/>
  <c r="Y151" i="7"/>
  <c r="A151" i="7"/>
  <c r="AW150" i="7"/>
  <c r="AA150" i="7"/>
  <c r="Z150" i="7"/>
  <c r="Y150" i="7"/>
  <c r="A150" i="7"/>
  <c r="AW149" i="7"/>
  <c r="AA149" i="7"/>
  <c r="Z149" i="7"/>
  <c r="Y149" i="7"/>
  <c r="A149" i="7"/>
  <c r="AW148" i="7"/>
  <c r="AA148" i="7"/>
  <c r="Z148" i="7"/>
  <c r="Y148" i="7"/>
  <c r="A148" i="7"/>
  <c r="AW147" i="7"/>
  <c r="AA147" i="7"/>
  <c r="Z147" i="7"/>
  <c r="Y147" i="7"/>
  <c r="A147" i="7"/>
  <c r="AW146" i="7"/>
  <c r="AA146" i="7"/>
  <c r="Z146" i="7"/>
  <c r="Y146" i="7"/>
  <c r="A146" i="7"/>
  <c r="AW145" i="7"/>
  <c r="AA145" i="7"/>
  <c r="Z145" i="7"/>
  <c r="Y145" i="7"/>
  <c r="A145" i="7"/>
  <c r="AW144" i="7"/>
  <c r="AA144" i="7"/>
  <c r="Z144" i="7"/>
  <c r="Y144" i="7"/>
  <c r="A144" i="7"/>
  <c r="AW143" i="7"/>
  <c r="AA143" i="7"/>
  <c r="Z143" i="7"/>
  <c r="Y143" i="7"/>
  <c r="A143" i="7"/>
  <c r="AW142" i="7"/>
  <c r="AA142" i="7"/>
  <c r="Z142" i="7"/>
  <c r="Y142" i="7"/>
  <c r="A142" i="7"/>
  <c r="AW141" i="7"/>
  <c r="AA141" i="7"/>
  <c r="Z141" i="7"/>
  <c r="Y141" i="7"/>
  <c r="A141" i="7"/>
  <c r="AW140" i="7"/>
  <c r="AA140" i="7"/>
  <c r="Z140" i="7"/>
  <c r="Y140" i="7"/>
  <c r="A140" i="7"/>
  <c r="AW139" i="7"/>
  <c r="AA139" i="7"/>
  <c r="Z139" i="7"/>
  <c r="Y139" i="7"/>
  <c r="A139" i="7"/>
  <c r="AW138" i="7"/>
  <c r="AA138" i="7"/>
  <c r="Z138" i="7"/>
  <c r="Y138" i="7"/>
  <c r="A138" i="7"/>
  <c r="AW137" i="7"/>
  <c r="AA137" i="7"/>
  <c r="Z137" i="7"/>
  <c r="Y137" i="7"/>
  <c r="A137" i="7"/>
  <c r="AW136" i="7"/>
  <c r="AA136" i="7"/>
  <c r="Z136" i="7"/>
  <c r="Y136" i="7"/>
  <c r="A136" i="7"/>
  <c r="AW135" i="7"/>
  <c r="AA135" i="7"/>
  <c r="Z135" i="7"/>
  <c r="Y135" i="7"/>
  <c r="A135" i="7"/>
  <c r="AW134" i="7"/>
  <c r="AA134" i="7"/>
  <c r="Z134" i="7"/>
  <c r="Y134" i="7"/>
  <c r="A134" i="7"/>
  <c r="AW133" i="7"/>
  <c r="AA133" i="7"/>
  <c r="Z133" i="7"/>
  <c r="Y133" i="7"/>
  <c r="A133" i="7"/>
  <c r="AW132" i="7"/>
  <c r="AA132" i="7"/>
  <c r="Z132" i="7"/>
  <c r="Y132" i="7"/>
  <c r="A132" i="7"/>
  <c r="AW131" i="7"/>
  <c r="AA131" i="7"/>
  <c r="Z131" i="7"/>
  <c r="Y131" i="7"/>
  <c r="A131" i="7"/>
  <c r="AW130" i="7"/>
  <c r="AA130" i="7"/>
  <c r="Z130" i="7"/>
  <c r="Y130" i="7"/>
  <c r="A130" i="7"/>
  <c r="AW129" i="7"/>
  <c r="AA129" i="7"/>
  <c r="Z129" i="7"/>
  <c r="Y129" i="7"/>
  <c r="A129" i="7"/>
  <c r="AW128" i="7"/>
  <c r="AA128" i="7"/>
  <c r="Z128" i="7"/>
  <c r="Y128" i="7"/>
  <c r="A128" i="7"/>
  <c r="AW127" i="7"/>
  <c r="AA127" i="7"/>
  <c r="Z127" i="7"/>
  <c r="Y127" i="7"/>
  <c r="A127" i="7"/>
  <c r="AW126" i="7"/>
  <c r="AA126" i="7"/>
  <c r="Z126" i="7"/>
  <c r="Y126" i="7"/>
  <c r="A126" i="7"/>
  <c r="AW125" i="7"/>
  <c r="AA125" i="7"/>
  <c r="Z125" i="7"/>
  <c r="Y125" i="7"/>
  <c r="A125" i="7"/>
  <c r="AW124" i="7"/>
  <c r="AA124" i="7"/>
  <c r="Z124" i="7"/>
  <c r="Y124" i="7"/>
  <c r="A124" i="7"/>
  <c r="AW123" i="7"/>
  <c r="AA123" i="7"/>
  <c r="Z123" i="7"/>
  <c r="Y123" i="7"/>
  <c r="A123" i="7"/>
  <c r="AW122" i="7"/>
  <c r="AA122" i="7"/>
  <c r="Z122" i="7"/>
  <c r="Y122" i="7"/>
  <c r="A122" i="7"/>
  <c r="AW121" i="7"/>
  <c r="AA121" i="7"/>
  <c r="Z121" i="7"/>
  <c r="Y121" i="7"/>
  <c r="A121" i="7"/>
  <c r="AW120" i="7"/>
  <c r="AA120" i="7"/>
  <c r="Z120" i="7"/>
  <c r="Y120" i="7"/>
  <c r="A120" i="7"/>
  <c r="AW119" i="7"/>
  <c r="AA119" i="7"/>
  <c r="Z119" i="7"/>
  <c r="Y119" i="7"/>
  <c r="A119" i="7"/>
  <c r="AW118" i="7"/>
  <c r="AA118" i="7"/>
  <c r="Z118" i="7"/>
  <c r="Y118" i="7"/>
  <c r="A118" i="7"/>
  <c r="AW117" i="7"/>
  <c r="AA117" i="7"/>
  <c r="Z117" i="7"/>
  <c r="Y117" i="7"/>
  <c r="A117" i="7"/>
  <c r="AW116" i="7"/>
  <c r="AA116" i="7"/>
  <c r="Z116" i="7"/>
  <c r="Y116" i="7"/>
  <c r="A116" i="7"/>
  <c r="AW115" i="7"/>
  <c r="AA115" i="7"/>
  <c r="Z115" i="7"/>
  <c r="Y115" i="7"/>
  <c r="A115" i="7"/>
  <c r="AW114" i="7"/>
  <c r="AA114" i="7"/>
  <c r="Z114" i="7"/>
  <c r="Y114" i="7"/>
  <c r="A114" i="7"/>
  <c r="AW113" i="7"/>
  <c r="AA113" i="7"/>
  <c r="Z113" i="7"/>
  <c r="Y113" i="7"/>
  <c r="A113" i="7"/>
  <c r="AW112" i="7"/>
  <c r="AA112" i="7"/>
  <c r="Z112" i="7"/>
  <c r="Y112" i="7"/>
  <c r="A112" i="7"/>
  <c r="AW111" i="7"/>
  <c r="AA111" i="7"/>
  <c r="Z111" i="7"/>
  <c r="Y111" i="7"/>
  <c r="A111" i="7"/>
  <c r="AW110" i="7"/>
  <c r="AA110" i="7"/>
  <c r="Z110" i="7"/>
  <c r="Y110" i="7"/>
  <c r="A110" i="7"/>
  <c r="AW109" i="7"/>
  <c r="AA109" i="7"/>
  <c r="Z109" i="7"/>
  <c r="Y109" i="7"/>
  <c r="A109" i="7"/>
  <c r="AW108" i="7"/>
  <c r="AA108" i="7"/>
  <c r="Z108" i="7"/>
  <c r="Y108" i="7"/>
  <c r="A108" i="7"/>
  <c r="AW107" i="7"/>
  <c r="AA107" i="7"/>
  <c r="Z107" i="7"/>
  <c r="Y107" i="7"/>
  <c r="A107" i="7"/>
  <c r="AW106" i="7"/>
  <c r="AA106" i="7"/>
  <c r="Z106" i="7"/>
  <c r="Y106" i="7"/>
  <c r="A106" i="7"/>
  <c r="AW105" i="7"/>
  <c r="AA105" i="7"/>
  <c r="Z105" i="7"/>
  <c r="Y105" i="7"/>
  <c r="A105" i="7"/>
  <c r="AW104" i="7"/>
  <c r="AA104" i="7"/>
  <c r="Z104" i="7"/>
  <c r="Y104" i="7"/>
  <c r="A104" i="7"/>
  <c r="AW103" i="7"/>
  <c r="AA103" i="7"/>
  <c r="Z103" i="7"/>
  <c r="Y103" i="7"/>
  <c r="A103" i="7"/>
  <c r="AW102" i="7"/>
  <c r="AA102" i="7"/>
  <c r="Z102" i="7"/>
  <c r="Y102" i="7"/>
  <c r="A102" i="7"/>
  <c r="AW101" i="7"/>
  <c r="AA101" i="7"/>
  <c r="Z101" i="7"/>
  <c r="Y101" i="7"/>
  <c r="A101" i="7"/>
  <c r="AW100" i="7"/>
  <c r="AA100" i="7"/>
  <c r="Z100" i="7"/>
  <c r="Y100" i="7"/>
  <c r="A100" i="7"/>
  <c r="AW99" i="7"/>
  <c r="AA99" i="7"/>
  <c r="Z99" i="7"/>
  <c r="Y99" i="7"/>
  <c r="A99" i="7"/>
  <c r="AW98" i="7"/>
  <c r="AA98" i="7"/>
  <c r="Z98" i="7"/>
  <c r="Y98" i="7"/>
  <c r="A98" i="7"/>
  <c r="AW97" i="7"/>
  <c r="AA97" i="7"/>
  <c r="Z97" i="7"/>
  <c r="Y97" i="7"/>
  <c r="A97" i="7"/>
  <c r="AW96" i="7"/>
  <c r="AA96" i="7"/>
  <c r="Z96" i="7"/>
  <c r="Y96" i="7"/>
  <c r="A96" i="7"/>
  <c r="AW95" i="7"/>
  <c r="AA95" i="7"/>
  <c r="Z95" i="7"/>
  <c r="Y95" i="7"/>
  <c r="A95" i="7"/>
  <c r="AW94" i="7"/>
  <c r="AA94" i="7"/>
  <c r="Z94" i="7"/>
  <c r="Y94" i="7"/>
  <c r="A94" i="7"/>
  <c r="AW93" i="7"/>
  <c r="AA93" i="7"/>
  <c r="Z93" i="7"/>
  <c r="Y93" i="7"/>
  <c r="A93" i="7"/>
  <c r="AW92" i="7"/>
  <c r="AA92" i="7"/>
  <c r="Z92" i="7"/>
  <c r="Y92" i="7"/>
  <c r="A92" i="7"/>
  <c r="AW91" i="7"/>
  <c r="AA91" i="7"/>
  <c r="Z91" i="7"/>
  <c r="Y91" i="7"/>
  <c r="A91" i="7"/>
  <c r="AW90" i="7"/>
  <c r="AA90" i="7"/>
  <c r="Z90" i="7"/>
  <c r="Y90" i="7"/>
  <c r="A90" i="7"/>
  <c r="AW89" i="7"/>
  <c r="AA89" i="7"/>
  <c r="Z89" i="7"/>
  <c r="Y89" i="7"/>
  <c r="A89" i="7"/>
  <c r="AW88" i="7"/>
  <c r="AA88" i="7"/>
  <c r="Z88" i="7"/>
  <c r="Y88" i="7"/>
  <c r="A88" i="7"/>
  <c r="AW87" i="7"/>
  <c r="AA87" i="7"/>
  <c r="Z87" i="7"/>
  <c r="Y87" i="7"/>
  <c r="A87" i="7"/>
  <c r="AW86" i="7"/>
  <c r="AA86" i="7"/>
  <c r="Z86" i="7"/>
  <c r="Y86" i="7"/>
  <c r="A86" i="7"/>
  <c r="AW85" i="7"/>
  <c r="AA85" i="7"/>
  <c r="Z85" i="7"/>
  <c r="Y85" i="7"/>
  <c r="A85" i="7"/>
  <c r="AW84" i="7"/>
  <c r="AA84" i="7"/>
  <c r="Z84" i="7"/>
  <c r="Y84" i="7"/>
  <c r="A84" i="7"/>
  <c r="AW83" i="7"/>
  <c r="AA83" i="7"/>
  <c r="Z83" i="7"/>
  <c r="Y83" i="7"/>
  <c r="A83" i="7"/>
  <c r="AW82" i="7"/>
  <c r="AA82" i="7"/>
  <c r="Z82" i="7"/>
  <c r="Y82" i="7"/>
  <c r="A82" i="7"/>
  <c r="AW81" i="7"/>
  <c r="AA81" i="7"/>
  <c r="Z81" i="7"/>
  <c r="Y81" i="7"/>
  <c r="A81" i="7"/>
  <c r="AW80" i="7"/>
  <c r="AA80" i="7"/>
  <c r="Z80" i="7"/>
  <c r="Y80" i="7"/>
  <c r="A80" i="7"/>
  <c r="AW79" i="7"/>
  <c r="AA79" i="7"/>
  <c r="Z79" i="7"/>
  <c r="Y79" i="7"/>
  <c r="A79" i="7"/>
  <c r="AW78" i="7"/>
  <c r="AA78" i="7"/>
  <c r="Z78" i="7"/>
  <c r="Y78" i="7"/>
  <c r="A78" i="7"/>
  <c r="AW77" i="7"/>
  <c r="AA77" i="7"/>
  <c r="Z77" i="7"/>
  <c r="Y77" i="7"/>
  <c r="A77" i="7"/>
  <c r="AW76" i="7"/>
  <c r="AA76" i="7"/>
  <c r="Z76" i="7"/>
  <c r="Y76" i="7"/>
  <c r="A76" i="7"/>
  <c r="AW75" i="7"/>
  <c r="AA75" i="7"/>
  <c r="Z75" i="7"/>
  <c r="Y75" i="7"/>
  <c r="A75" i="7"/>
  <c r="AW74" i="7"/>
  <c r="AA74" i="7"/>
  <c r="Z74" i="7"/>
  <c r="Y74" i="7"/>
  <c r="A74" i="7"/>
  <c r="AW73" i="7"/>
  <c r="AA73" i="7"/>
  <c r="Z73" i="7"/>
  <c r="Y73" i="7"/>
  <c r="A73" i="7"/>
  <c r="AW72" i="7"/>
  <c r="AA72" i="7"/>
  <c r="Z72" i="7"/>
  <c r="Y72" i="7"/>
  <c r="A72" i="7"/>
  <c r="AW71" i="7"/>
  <c r="AA71" i="7"/>
  <c r="Z71" i="7"/>
  <c r="Y71" i="7"/>
  <c r="A71" i="7"/>
  <c r="AW70" i="7"/>
  <c r="AA70" i="7"/>
  <c r="Z70" i="7"/>
  <c r="Y70" i="7"/>
  <c r="A70" i="7"/>
  <c r="AW69" i="7"/>
  <c r="AA69" i="7"/>
  <c r="Z69" i="7"/>
  <c r="Y69" i="7"/>
  <c r="A69" i="7"/>
  <c r="AW68" i="7"/>
  <c r="AA68" i="7"/>
  <c r="Z68" i="7"/>
  <c r="Y68" i="7"/>
  <c r="A68" i="7"/>
  <c r="AW67" i="7"/>
  <c r="AA67" i="7"/>
  <c r="Z67" i="7"/>
  <c r="Y67" i="7"/>
  <c r="A67" i="7"/>
  <c r="AW66" i="7"/>
  <c r="AA66" i="7"/>
  <c r="Z66" i="7"/>
  <c r="Y66" i="7"/>
  <c r="A66" i="7"/>
  <c r="AW65" i="7"/>
  <c r="AA65" i="7"/>
  <c r="Z65" i="7"/>
  <c r="Y65" i="7"/>
  <c r="A65" i="7"/>
  <c r="AW64" i="7"/>
  <c r="AA64" i="7"/>
  <c r="Z64" i="7"/>
  <c r="Y64" i="7"/>
  <c r="A64" i="7"/>
  <c r="AW63" i="7"/>
  <c r="AA63" i="7"/>
  <c r="Z63" i="7"/>
  <c r="Y63" i="7"/>
  <c r="A63" i="7"/>
  <c r="AW62" i="7"/>
  <c r="AA62" i="7"/>
  <c r="Z62" i="7"/>
  <c r="Y62" i="7"/>
  <c r="A62" i="7"/>
  <c r="AW61" i="7"/>
  <c r="AA61" i="7"/>
  <c r="Z61" i="7"/>
  <c r="Y61" i="7"/>
  <c r="A61" i="7"/>
  <c r="AW60" i="7"/>
  <c r="AA60" i="7"/>
  <c r="Z60" i="7"/>
  <c r="Y60" i="7"/>
  <c r="A60" i="7"/>
  <c r="AW59" i="7"/>
  <c r="AA59" i="7"/>
  <c r="Z59" i="7"/>
  <c r="Y59" i="7"/>
  <c r="A59" i="7"/>
  <c r="AW58" i="7"/>
  <c r="AA58" i="7"/>
  <c r="Z58" i="7"/>
  <c r="Y58" i="7"/>
  <c r="A58" i="7"/>
  <c r="AW57" i="7"/>
  <c r="AA57" i="7"/>
  <c r="Z57" i="7"/>
  <c r="Y57" i="7"/>
  <c r="A57" i="7"/>
  <c r="AW56" i="7"/>
  <c r="AA56" i="7"/>
  <c r="Z56" i="7"/>
  <c r="Y56" i="7"/>
  <c r="A56" i="7"/>
  <c r="H51" i="7"/>
  <c r="H50" i="7"/>
  <c r="H49" i="7"/>
  <c r="H48" i="7"/>
  <c r="H47" i="7"/>
  <c r="H46" i="7"/>
  <c r="H45" i="7"/>
  <c r="H44" i="7"/>
  <c r="H43" i="7"/>
  <c r="H42" i="7"/>
  <c r="H41" i="7"/>
  <c r="H40" i="7"/>
  <c r="H39" i="7"/>
  <c r="H38" i="7"/>
  <c r="H37" i="7"/>
  <c r="H36" i="7"/>
  <c r="H35" i="7"/>
  <c r="H34" i="7"/>
  <c r="H33" i="7"/>
  <c r="H32" i="7"/>
  <c r="H31" i="7"/>
  <c r="H30" i="7"/>
  <c r="H29" i="7"/>
  <c r="H28" i="7"/>
  <c r="H27" i="7"/>
  <c r="H26" i="7"/>
  <c r="H25" i="7"/>
  <c r="H24" i="7"/>
  <c r="E24" i="7"/>
  <c r="H23" i="7"/>
  <c r="E23" i="7"/>
  <c r="H22" i="7"/>
  <c r="E22" i="7"/>
  <c r="H21" i="7"/>
  <c r="E21" i="7"/>
  <c r="H20" i="7"/>
  <c r="E20" i="7"/>
  <c r="B20" i="7"/>
  <c r="H19" i="7"/>
  <c r="E19" i="7"/>
  <c r="B19" i="7"/>
  <c r="H18" i="7"/>
  <c r="E18" i="7"/>
  <c r="B18" i="7"/>
  <c r="H17" i="7"/>
  <c r="E17" i="7"/>
  <c r="B17" i="7"/>
  <c r="H16" i="7"/>
  <c r="E16" i="7"/>
  <c r="B16" i="7"/>
  <c r="H15" i="7"/>
  <c r="E15" i="7"/>
  <c r="B15" i="7"/>
  <c r="H14" i="7"/>
  <c r="E14" i="7"/>
  <c r="B14" i="7"/>
  <c r="H13" i="7"/>
  <c r="E13" i="7"/>
  <c r="B13" i="7"/>
  <c r="H12" i="7"/>
  <c r="E12" i="7"/>
  <c r="B12" i="7"/>
  <c r="I8" i="7"/>
  <c r="H8" i="7"/>
  <c r="G8" i="7"/>
  <c r="F8" i="7"/>
  <c r="E8" i="7"/>
  <c r="D8" i="7"/>
  <c r="C8" i="7"/>
  <c r="B8" i="7"/>
  <c r="A8" i="7"/>
  <c r="I335" i="6"/>
  <c r="I334" i="6"/>
  <c r="I333" i="6"/>
  <c r="I332" i="6"/>
  <c r="I331" i="6"/>
  <c r="I330" i="6"/>
  <c r="I329" i="6"/>
  <c r="I328" i="6"/>
  <c r="I327" i="6"/>
  <c r="I326" i="6"/>
  <c r="I325" i="6"/>
  <c r="I324" i="6"/>
  <c r="I323" i="6"/>
  <c r="I322" i="6"/>
  <c r="I321" i="6"/>
  <c r="I320" i="6"/>
  <c r="I319" i="6"/>
  <c r="I318" i="6"/>
  <c r="I317" i="6"/>
  <c r="I316" i="6"/>
  <c r="I315" i="6"/>
  <c r="I314" i="6"/>
  <c r="I313" i="6"/>
  <c r="I312" i="6"/>
  <c r="I311" i="6"/>
  <c r="I310" i="6"/>
  <c r="I309" i="6"/>
  <c r="I308" i="6"/>
  <c r="I307" i="6"/>
  <c r="I306" i="6"/>
  <c r="H233" i="6"/>
  <c r="H232" i="6"/>
  <c r="H231" i="6"/>
  <c r="H230" i="6"/>
  <c r="H229" i="6"/>
  <c r="H228" i="6"/>
  <c r="H227" i="6"/>
  <c r="H226" i="6"/>
  <c r="H225" i="6"/>
  <c r="H224" i="6"/>
  <c r="H223" i="6"/>
  <c r="H222" i="6"/>
  <c r="H221" i="6"/>
  <c r="H220" i="6"/>
  <c r="H219" i="6"/>
  <c r="H218" i="6"/>
  <c r="H217" i="6"/>
  <c r="H216" i="6"/>
  <c r="H215" i="6"/>
  <c r="H214" i="6"/>
  <c r="H213" i="6"/>
  <c r="H212" i="6"/>
  <c r="H211" i="6"/>
  <c r="H210" i="6"/>
  <c r="H209" i="6"/>
  <c r="H208" i="6"/>
  <c r="H207" i="6"/>
  <c r="H206" i="6"/>
  <c r="H205" i="6"/>
  <c r="H204" i="6"/>
  <c r="B165" i="6"/>
  <c r="B164" i="6"/>
  <c r="B163" i="6"/>
  <c r="B162" i="6"/>
  <c r="B161" i="6"/>
  <c r="B160" i="6"/>
  <c r="B159" i="6"/>
  <c r="B158" i="6"/>
  <c r="B157" i="6"/>
  <c r="B156" i="6"/>
  <c r="B155" i="6"/>
  <c r="B154" i="6"/>
  <c r="B153" i="6"/>
  <c r="B152" i="6"/>
  <c r="B151" i="6"/>
  <c r="B150" i="6"/>
  <c r="B149" i="6"/>
  <c r="B148" i="6"/>
  <c r="B147" i="6"/>
  <c r="B146" i="6"/>
  <c r="B145" i="6"/>
  <c r="B144" i="6"/>
  <c r="B143" i="6"/>
  <c r="B142" i="6"/>
  <c r="B141" i="6"/>
  <c r="B140" i="6"/>
  <c r="B139" i="6"/>
  <c r="B138" i="6"/>
  <c r="B137" i="6"/>
  <c r="B136" i="6"/>
  <c r="BR115" i="6"/>
  <c r="AR115" i="6"/>
  <c r="AK115" i="6"/>
  <c r="AJ115" i="6"/>
  <c r="AI115" i="6"/>
  <c r="AH115" i="6"/>
  <c r="Q115" i="6"/>
  <c r="P115" i="6"/>
  <c r="O115" i="6"/>
  <c r="N115" i="6"/>
  <c r="A115" i="6"/>
  <c r="BR114" i="6"/>
  <c r="AR114" i="6"/>
  <c r="AK114" i="6"/>
  <c r="AJ114" i="6"/>
  <c r="AI114" i="6"/>
  <c r="AH114" i="6"/>
  <c r="Q114" i="6"/>
  <c r="P114" i="6"/>
  <c r="O114" i="6"/>
  <c r="N114" i="6"/>
  <c r="A114" i="6"/>
  <c r="BR113" i="6"/>
  <c r="AR113" i="6"/>
  <c r="AK113" i="6"/>
  <c r="AJ113" i="6"/>
  <c r="AI113" i="6"/>
  <c r="AH113" i="6"/>
  <c r="Q113" i="6"/>
  <c r="P113" i="6"/>
  <c r="O113" i="6"/>
  <c r="N113" i="6"/>
  <c r="A113" i="6"/>
  <c r="BR112" i="6"/>
  <c r="AR112" i="6"/>
  <c r="AK112" i="6"/>
  <c r="AJ112" i="6"/>
  <c r="AI112" i="6"/>
  <c r="AH112" i="6"/>
  <c r="Q112" i="6"/>
  <c r="P112" i="6"/>
  <c r="O112" i="6"/>
  <c r="N112" i="6"/>
  <c r="A112" i="6"/>
  <c r="BR111" i="6"/>
  <c r="AR111" i="6"/>
  <c r="AK111" i="6"/>
  <c r="AJ111" i="6"/>
  <c r="AI111" i="6"/>
  <c r="AH111" i="6"/>
  <c r="Q111" i="6"/>
  <c r="P111" i="6"/>
  <c r="O111" i="6"/>
  <c r="N111" i="6"/>
  <c r="A111" i="6"/>
  <c r="BR110" i="6"/>
  <c r="AR110" i="6"/>
  <c r="AK110" i="6"/>
  <c r="AJ110" i="6"/>
  <c r="AI110" i="6"/>
  <c r="AH110" i="6"/>
  <c r="Q110" i="6"/>
  <c r="P110" i="6"/>
  <c r="O110" i="6"/>
  <c r="N110" i="6"/>
  <c r="A110" i="6"/>
  <c r="BR109" i="6"/>
  <c r="AR109" i="6"/>
  <c r="AK109" i="6"/>
  <c r="AJ109" i="6"/>
  <c r="AI109" i="6"/>
  <c r="AH109" i="6"/>
  <c r="Q109" i="6"/>
  <c r="P109" i="6"/>
  <c r="O109" i="6"/>
  <c r="N109" i="6"/>
  <c r="A109" i="6"/>
  <c r="BR108" i="6"/>
  <c r="AR108" i="6"/>
  <c r="AK108" i="6"/>
  <c r="AJ108" i="6"/>
  <c r="AI108" i="6"/>
  <c r="AH108" i="6"/>
  <c r="Q108" i="6"/>
  <c r="P108" i="6"/>
  <c r="O108" i="6"/>
  <c r="N108" i="6"/>
  <c r="A108" i="6"/>
  <c r="BR107" i="6"/>
  <c r="AR107" i="6"/>
  <c r="AK107" i="6"/>
  <c r="AJ107" i="6"/>
  <c r="AI107" i="6"/>
  <c r="AH107" i="6"/>
  <c r="Q107" i="6"/>
  <c r="P107" i="6"/>
  <c r="O107" i="6"/>
  <c r="N107" i="6"/>
  <c r="A107" i="6"/>
  <c r="BR106" i="6"/>
  <c r="AR106" i="6"/>
  <c r="AK106" i="6"/>
  <c r="AJ106" i="6"/>
  <c r="AI106" i="6"/>
  <c r="AH106" i="6"/>
  <c r="Q106" i="6"/>
  <c r="P106" i="6"/>
  <c r="O106" i="6"/>
  <c r="N106" i="6"/>
  <c r="A106" i="6"/>
  <c r="BR105" i="6"/>
  <c r="AR105" i="6"/>
  <c r="AK105" i="6"/>
  <c r="AJ105" i="6"/>
  <c r="AI105" i="6"/>
  <c r="AH105" i="6"/>
  <c r="Q105" i="6"/>
  <c r="P105" i="6"/>
  <c r="O105" i="6"/>
  <c r="N105" i="6"/>
  <c r="A105" i="6"/>
  <c r="BR104" i="6"/>
  <c r="AR104" i="6"/>
  <c r="AK104" i="6"/>
  <c r="AJ104" i="6"/>
  <c r="AI104" i="6"/>
  <c r="AH104" i="6"/>
  <c r="Q104" i="6"/>
  <c r="P104" i="6"/>
  <c r="O104" i="6"/>
  <c r="N104" i="6"/>
  <c r="A104" i="6"/>
  <c r="BR103" i="6"/>
  <c r="AR103" i="6"/>
  <c r="AK103" i="6"/>
  <c r="AJ103" i="6"/>
  <c r="AI103" i="6"/>
  <c r="AH103" i="6"/>
  <c r="Q103" i="6"/>
  <c r="P103" i="6"/>
  <c r="O103" i="6"/>
  <c r="N103" i="6"/>
  <c r="A103" i="6"/>
  <c r="BR102" i="6"/>
  <c r="AR102" i="6"/>
  <c r="AK102" i="6"/>
  <c r="AJ102" i="6"/>
  <c r="AI102" i="6"/>
  <c r="AH102" i="6"/>
  <c r="Q102" i="6"/>
  <c r="P102" i="6"/>
  <c r="O102" i="6"/>
  <c r="N102" i="6"/>
  <c r="A102" i="6"/>
  <c r="BR101" i="6"/>
  <c r="AR101" i="6"/>
  <c r="AK101" i="6"/>
  <c r="AJ101" i="6"/>
  <c r="AI101" i="6"/>
  <c r="AH101" i="6"/>
  <c r="Q101" i="6"/>
  <c r="P101" i="6"/>
  <c r="O101" i="6"/>
  <c r="N101" i="6"/>
  <c r="A101" i="6"/>
  <c r="BR100" i="6"/>
  <c r="AR100" i="6"/>
  <c r="AK100" i="6"/>
  <c r="AJ100" i="6"/>
  <c r="AI100" i="6"/>
  <c r="AH100" i="6"/>
  <c r="Q100" i="6"/>
  <c r="P100" i="6"/>
  <c r="O100" i="6"/>
  <c r="N100" i="6"/>
  <c r="A100" i="6"/>
  <c r="BR99" i="6"/>
  <c r="AR99" i="6"/>
  <c r="AK99" i="6"/>
  <c r="AJ99" i="6"/>
  <c r="AI99" i="6"/>
  <c r="AH99" i="6"/>
  <c r="Q99" i="6"/>
  <c r="P99" i="6"/>
  <c r="O99" i="6"/>
  <c r="N99" i="6"/>
  <c r="A99" i="6"/>
  <c r="BR98" i="6"/>
  <c r="AR98" i="6"/>
  <c r="AK98" i="6"/>
  <c r="AJ98" i="6"/>
  <c r="AI98" i="6"/>
  <c r="AH98" i="6"/>
  <c r="Q98" i="6"/>
  <c r="P98" i="6"/>
  <c r="O98" i="6"/>
  <c r="N98" i="6"/>
  <c r="A98" i="6"/>
  <c r="BR97" i="6"/>
  <c r="AR97" i="6"/>
  <c r="AK97" i="6"/>
  <c r="AJ97" i="6"/>
  <c r="AI97" i="6"/>
  <c r="AH97" i="6"/>
  <c r="Q97" i="6"/>
  <c r="P97" i="6"/>
  <c r="O97" i="6"/>
  <c r="N97" i="6"/>
  <c r="A97" i="6"/>
  <c r="BR96" i="6"/>
  <c r="AR96" i="6"/>
  <c r="AK96" i="6"/>
  <c r="AJ96" i="6"/>
  <c r="AI96" i="6"/>
  <c r="AH96" i="6"/>
  <c r="Q96" i="6"/>
  <c r="P96" i="6"/>
  <c r="O96" i="6"/>
  <c r="N96" i="6"/>
  <c r="A96" i="6"/>
  <c r="BR95" i="6"/>
  <c r="AR95" i="6"/>
  <c r="AK95" i="6"/>
  <c r="AJ95" i="6"/>
  <c r="AI95" i="6"/>
  <c r="AH95" i="6"/>
  <c r="Q95" i="6"/>
  <c r="P95" i="6"/>
  <c r="O95" i="6"/>
  <c r="N95" i="6"/>
  <c r="A95" i="6"/>
  <c r="BR94" i="6"/>
  <c r="AR94" i="6"/>
  <c r="AK94" i="6"/>
  <c r="AJ94" i="6"/>
  <c r="AI94" i="6"/>
  <c r="AH94" i="6"/>
  <c r="Q94" i="6"/>
  <c r="P94" i="6"/>
  <c r="O94" i="6"/>
  <c r="N94" i="6"/>
  <c r="A94" i="6"/>
  <c r="BR93" i="6"/>
  <c r="AR93" i="6"/>
  <c r="AK93" i="6"/>
  <c r="AJ93" i="6"/>
  <c r="AI93" i="6"/>
  <c r="AH93" i="6"/>
  <c r="Q93" i="6"/>
  <c r="P93" i="6"/>
  <c r="O93" i="6"/>
  <c r="N93" i="6"/>
  <c r="A93" i="6"/>
  <c r="BR92" i="6"/>
  <c r="AR92" i="6"/>
  <c r="AK92" i="6"/>
  <c r="AJ92" i="6"/>
  <c r="AI92" i="6"/>
  <c r="AH92" i="6"/>
  <c r="Q92" i="6"/>
  <c r="P92" i="6"/>
  <c r="O92" i="6"/>
  <c r="N92" i="6"/>
  <c r="A92" i="6"/>
  <c r="BR91" i="6"/>
  <c r="AR91" i="6"/>
  <c r="AK91" i="6"/>
  <c r="AJ91" i="6"/>
  <c r="AI91" i="6"/>
  <c r="AH91" i="6"/>
  <c r="Q91" i="6"/>
  <c r="P91" i="6"/>
  <c r="O91" i="6"/>
  <c r="N91" i="6"/>
  <c r="A91" i="6"/>
  <c r="BR90" i="6"/>
  <c r="AR90" i="6"/>
  <c r="AK90" i="6"/>
  <c r="AJ90" i="6"/>
  <c r="AI90" i="6"/>
  <c r="AH90" i="6"/>
  <c r="Q90" i="6"/>
  <c r="P90" i="6"/>
  <c r="O90" i="6"/>
  <c r="N90" i="6"/>
  <c r="A90" i="6"/>
  <c r="BR89" i="6"/>
  <c r="AR89" i="6"/>
  <c r="AK89" i="6"/>
  <c r="AJ89" i="6"/>
  <c r="AI89" i="6"/>
  <c r="AH89" i="6"/>
  <c r="Q89" i="6"/>
  <c r="P89" i="6"/>
  <c r="O89" i="6"/>
  <c r="N89" i="6"/>
  <c r="A89" i="6"/>
  <c r="BR88" i="6"/>
  <c r="AR88" i="6"/>
  <c r="AK88" i="6"/>
  <c r="AJ88" i="6"/>
  <c r="AI88" i="6"/>
  <c r="AH88" i="6"/>
  <c r="Q88" i="6"/>
  <c r="P88" i="6"/>
  <c r="O88" i="6"/>
  <c r="N88" i="6"/>
  <c r="A88" i="6"/>
  <c r="BR87" i="6"/>
  <c r="AR87" i="6"/>
  <c r="AK87" i="6"/>
  <c r="AJ87" i="6"/>
  <c r="AI87" i="6"/>
  <c r="AH87" i="6"/>
  <c r="Q87" i="6"/>
  <c r="P87" i="6"/>
  <c r="O87" i="6"/>
  <c r="N87" i="6"/>
  <c r="A87" i="6"/>
  <c r="BR86" i="6"/>
  <c r="AR86" i="6"/>
  <c r="AK86" i="6"/>
  <c r="AJ86" i="6"/>
  <c r="AI86" i="6"/>
  <c r="AH86" i="6"/>
  <c r="Q86" i="6"/>
  <c r="P86" i="6"/>
  <c r="O86" i="6"/>
  <c r="N86" i="6"/>
  <c r="A86" i="6"/>
  <c r="BR85" i="6"/>
  <c r="AR85" i="6"/>
  <c r="AK85" i="6"/>
  <c r="AJ85" i="6"/>
  <c r="AI85" i="6"/>
  <c r="AH85" i="6"/>
  <c r="Q85" i="6"/>
  <c r="P85" i="6"/>
  <c r="O85" i="6"/>
  <c r="N85" i="6"/>
  <c r="A85" i="6"/>
  <c r="BR84" i="6"/>
  <c r="AR84" i="6"/>
  <c r="AK84" i="6"/>
  <c r="AJ84" i="6"/>
  <c r="AI84" i="6"/>
  <c r="AH84" i="6"/>
  <c r="Q84" i="6"/>
  <c r="P84" i="6"/>
  <c r="O84" i="6"/>
  <c r="N84" i="6"/>
  <c r="A84" i="6"/>
  <c r="BR83" i="6"/>
  <c r="AR83" i="6"/>
  <c r="AK83" i="6"/>
  <c r="AJ83" i="6"/>
  <c r="AI83" i="6"/>
  <c r="AH83" i="6"/>
  <c r="Q83" i="6"/>
  <c r="P83" i="6"/>
  <c r="O83" i="6"/>
  <c r="N83" i="6"/>
  <c r="A83" i="6"/>
  <c r="BR82" i="6"/>
  <c r="AR82" i="6"/>
  <c r="AK82" i="6"/>
  <c r="AJ82" i="6"/>
  <c r="AI82" i="6"/>
  <c r="AH82" i="6"/>
  <c r="Q82" i="6"/>
  <c r="P82" i="6"/>
  <c r="O82" i="6"/>
  <c r="N82" i="6"/>
  <c r="A82" i="6"/>
  <c r="BR81" i="6"/>
  <c r="AR81" i="6"/>
  <c r="AK81" i="6"/>
  <c r="AJ81" i="6"/>
  <c r="AI81" i="6"/>
  <c r="AH81" i="6"/>
  <c r="Q81" i="6"/>
  <c r="P81" i="6"/>
  <c r="O81" i="6"/>
  <c r="N81" i="6"/>
  <c r="A81" i="6"/>
  <c r="BR80" i="6"/>
  <c r="AR80" i="6"/>
  <c r="AK80" i="6"/>
  <c r="AJ80" i="6"/>
  <c r="AI80" i="6"/>
  <c r="AH80" i="6"/>
  <c r="Q80" i="6"/>
  <c r="P80" i="6"/>
  <c r="O80" i="6"/>
  <c r="N80" i="6"/>
  <c r="A80" i="6"/>
  <c r="BR79" i="6"/>
  <c r="AR79" i="6"/>
  <c r="AK79" i="6"/>
  <c r="AJ79" i="6"/>
  <c r="AI79" i="6"/>
  <c r="AH79" i="6"/>
  <c r="Q79" i="6"/>
  <c r="P79" i="6"/>
  <c r="O79" i="6"/>
  <c r="N79" i="6"/>
  <c r="A79" i="6"/>
  <c r="BR78" i="6"/>
  <c r="AR78" i="6"/>
  <c r="AK78" i="6"/>
  <c r="AJ78" i="6"/>
  <c r="AI78" i="6"/>
  <c r="AH78" i="6"/>
  <c r="Q78" i="6"/>
  <c r="P78" i="6"/>
  <c r="O78" i="6"/>
  <c r="N78" i="6"/>
  <c r="A78" i="6"/>
  <c r="BR77" i="6"/>
  <c r="AR77" i="6"/>
  <c r="AK77" i="6"/>
  <c r="AJ77" i="6"/>
  <c r="AI77" i="6"/>
  <c r="AH77" i="6"/>
  <c r="Q77" i="6"/>
  <c r="P77" i="6"/>
  <c r="O77" i="6"/>
  <c r="N77" i="6"/>
  <c r="A77" i="6"/>
  <c r="BR76" i="6"/>
  <c r="AR76" i="6"/>
  <c r="AK76" i="6"/>
  <c r="AJ76" i="6"/>
  <c r="AI76" i="6"/>
  <c r="AH76" i="6"/>
  <c r="Q76" i="6"/>
  <c r="P76" i="6"/>
  <c r="O76" i="6"/>
  <c r="N76" i="6"/>
  <c r="A76" i="6"/>
  <c r="BR75" i="6"/>
  <c r="AR75" i="6"/>
  <c r="AK75" i="6"/>
  <c r="AJ75" i="6"/>
  <c r="AI75" i="6"/>
  <c r="AH75" i="6"/>
  <c r="Q75" i="6"/>
  <c r="P75" i="6"/>
  <c r="O75" i="6"/>
  <c r="N75" i="6"/>
  <c r="A75" i="6"/>
  <c r="BR74" i="6"/>
  <c r="AR74" i="6"/>
  <c r="AK74" i="6"/>
  <c r="AJ74" i="6"/>
  <c r="AI74" i="6"/>
  <c r="AH74" i="6"/>
  <c r="Q74" i="6"/>
  <c r="P74" i="6"/>
  <c r="O74" i="6"/>
  <c r="N74" i="6"/>
  <c r="A74" i="6"/>
  <c r="BR73" i="6"/>
  <c r="AR73" i="6"/>
  <c r="AK73" i="6"/>
  <c r="AJ73" i="6"/>
  <c r="AI73" i="6"/>
  <c r="AH73" i="6"/>
  <c r="Q73" i="6"/>
  <c r="P73" i="6"/>
  <c r="O73" i="6"/>
  <c r="N73" i="6"/>
  <c r="A73" i="6"/>
  <c r="BR72" i="6"/>
  <c r="AR72" i="6"/>
  <c r="AK72" i="6"/>
  <c r="AJ72" i="6"/>
  <c r="AI72" i="6"/>
  <c r="AH72" i="6"/>
  <c r="Q72" i="6"/>
  <c r="P72" i="6"/>
  <c r="O72" i="6"/>
  <c r="N72" i="6"/>
  <c r="A72" i="6"/>
  <c r="BR71" i="6"/>
  <c r="AR71" i="6"/>
  <c r="AK71" i="6"/>
  <c r="AJ71" i="6"/>
  <c r="AI71" i="6"/>
  <c r="AH71" i="6"/>
  <c r="Q71" i="6"/>
  <c r="P71" i="6"/>
  <c r="O71" i="6"/>
  <c r="N71" i="6"/>
  <c r="A71" i="6"/>
  <c r="BR70" i="6"/>
  <c r="AR70" i="6"/>
  <c r="AK70" i="6"/>
  <c r="AJ70" i="6"/>
  <c r="AI70" i="6"/>
  <c r="AH70" i="6"/>
  <c r="Q70" i="6"/>
  <c r="P70" i="6"/>
  <c r="O70" i="6"/>
  <c r="N70" i="6"/>
  <c r="A70" i="6"/>
  <c r="BR69" i="6"/>
  <c r="AR69" i="6"/>
  <c r="AK69" i="6"/>
  <c r="AJ69" i="6"/>
  <c r="AI69" i="6"/>
  <c r="AH69" i="6"/>
  <c r="Q69" i="6"/>
  <c r="P69" i="6"/>
  <c r="O69" i="6"/>
  <c r="N69" i="6"/>
  <c r="A69" i="6"/>
  <c r="BR68" i="6"/>
  <c r="AR68" i="6"/>
  <c r="AK68" i="6"/>
  <c r="AJ68" i="6"/>
  <c r="AI68" i="6"/>
  <c r="AH68" i="6"/>
  <c r="Q68" i="6"/>
  <c r="P68" i="6"/>
  <c r="O68" i="6"/>
  <c r="N68" i="6"/>
  <c r="A68" i="6"/>
  <c r="BR67" i="6"/>
  <c r="AR67" i="6"/>
  <c r="AK67" i="6"/>
  <c r="AJ67" i="6"/>
  <c r="AI67" i="6"/>
  <c r="AH67" i="6"/>
  <c r="Q67" i="6"/>
  <c r="P67" i="6"/>
  <c r="O67" i="6"/>
  <c r="N67" i="6"/>
  <c r="A67" i="6"/>
  <c r="BR66" i="6"/>
  <c r="AR66" i="6"/>
  <c r="AK66" i="6"/>
  <c r="AJ66" i="6"/>
  <c r="AI66" i="6"/>
  <c r="AH66" i="6"/>
  <c r="Q66" i="6"/>
  <c r="P66" i="6"/>
  <c r="O66" i="6"/>
  <c r="N66" i="6"/>
  <c r="A66" i="6"/>
  <c r="BR65" i="6"/>
  <c r="AR65" i="6"/>
  <c r="AK65" i="6"/>
  <c r="AJ65" i="6"/>
  <c r="AI65" i="6"/>
  <c r="AH65" i="6"/>
  <c r="Q65" i="6"/>
  <c r="P65" i="6"/>
  <c r="O65" i="6"/>
  <c r="N65" i="6"/>
  <c r="A65" i="6"/>
  <c r="BR64" i="6"/>
  <c r="AR64" i="6"/>
  <c r="AK64" i="6"/>
  <c r="AJ64" i="6"/>
  <c r="AI64" i="6"/>
  <c r="AH64" i="6"/>
  <c r="Q64" i="6"/>
  <c r="P64" i="6"/>
  <c r="O64" i="6"/>
  <c r="N64" i="6"/>
  <c r="A64" i="6"/>
  <c r="BR63" i="6"/>
  <c r="AR63" i="6"/>
  <c r="AK63" i="6"/>
  <c r="AJ63" i="6"/>
  <c r="AI63" i="6"/>
  <c r="AH63" i="6"/>
  <c r="Q63" i="6"/>
  <c r="P63" i="6"/>
  <c r="O63" i="6"/>
  <c r="N63" i="6"/>
  <c r="A63" i="6"/>
  <c r="BR62" i="6"/>
  <c r="AR62" i="6"/>
  <c r="AK62" i="6"/>
  <c r="AJ62" i="6"/>
  <c r="AI62" i="6"/>
  <c r="AH62" i="6"/>
  <c r="Q62" i="6"/>
  <c r="P62" i="6"/>
  <c r="O62" i="6"/>
  <c r="N62" i="6"/>
  <c r="A62" i="6"/>
  <c r="BR61" i="6"/>
  <c r="AR61" i="6"/>
  <c r="AK61" i="6"/>
  <c r="AJ61" i="6"/>
  <c r="AI61" i="6"/>
  <c r="AH61" i="6"/>
  <c r="Q61" i="6"/>
  <c r="P61" i="6"/>
  <c r="O61" i="6"/>
  <c r="N61" i="6"/>
  <c r="A61" i="6"/>
  <c r="BR60" i="6"/>
  <c r="AR60" i="6"/>
  <c r="AK60" i="6"/>
  <c r="AJ60" i="6"/>
  <c r="AI60" i="6"/>
  <c r="AH60" i="6"/>
  <c r="Q60" i="6"/>
  <c r="P60" i="6"/>
  <c r="O60" i="6"/>
  <c r="N60" i="6"/>
  <c r="A60" i="6"/>
  <c r="BR59" i="6"/>
  <c r="AR59" i="6"/>
  <c r="AK59" i="6"/>
  <c r="AJ59" i="6"/>
  <c r="AI59" i="6"/>
  <c r="AH59" i="6"/>
  <c r="Q59" i="6"/>
  <c r="P59" i="6"/>
  <c r="O59" i="6"/>
  <c r="N59" i="6"/>
  <c r="A59" i="6"/>
  <c r="BR58" i="6"/>
  <c r="AR58" i="6"/>
  <c r="AK58" i="6"/>
  <c r="AJ58" i="6"/>
  <c r="AI58" i="6"/>
  <c r="AH58" i="6"/>
  <c r="Q58" i="6"/>
  <c r="P58" i="6"/>
  <c r="O58" i="6"/>
  <c r="N58" i="6"/>
  <c r="A58" i="6"/>
  <c r="BR57" i="6"/>
  <c r="AR57" i="6"/>
  <c r="AK57" i="6"/>
  <c r="AJ57" i="6"/>
  <c r="AI57" i="6"/>
  <c r="AH57" i="6"/>
  <c r="Q57" i="6"/>
  <c r="P57" i="6"/>
  <c r="O57" i="6"/>
  <c r="N57" i="6"/>
  <c r="A57" i="6"/>
  <c r="BR56" i="6"/>
  <c r="AR56" i="6"/>
  <c r="AK56" i="6"/>
  <c r="AJ56" i="6"/>
  <c r="AI56" i="6"/>
  <c r="AH56" i="6"/>
  <c r="Q56" i="6"/>
  <c r="P56" i="6"/>
  <c r="O56" i="6"/>
  <c r="N56" i="6"/>
  <c r="A56" i="6"/>
  <c r="H51" i="6"/>
  <c r="H50" i="6"/>
  <c r="H49" i="6"/>
  <c r="H48" i="6"/>
  <c r="H47" i="6"/>
  <c r="H46" i="6"/>
  <c r="H45" i="6"/>
  <c r="H44" i="6"/>
  <c r="H43" i="6"/>
  <c r="H42" i="6"/>
  <c r="H41" i="6"/>
  <c r="H40" i="6"/>
  <c r="H39" i="6"/>
  <c r="H38" i="6"/>
  <c r="H37" i="6"/>
  <c r="H36" i="6"/>
  <c r="H35" i="6"/>
  <c r="H34" i="6"/>
  <c r="H33" i="6"/>
  <c r="H32" i="6"/>
  <c r="H31" i="6"/>
  <c r="H30" i="6"/>
  <c r="E30" i="6"/>
  <c r="H29" i="6"/>
  <c r="E29" i="6"/>
  <c r="H28" i="6"/>
  <c r="E28" i="6"/>
  <c r="H27" i="6"/>
  <c r="E27" i="6"/>
  <c r="H26" i="6"/>
  <c r="E26" i="6"/>
  <c r="H25" i="6"/>
  <c r="E25" i="6"/>
  <c r="H24" i="6"/>
  <c r="E24" i="6"/>
  <c r="H23" i="6"/>
  <c r="E23" i="6"/>
  <c r="H22" i="6"/>
  <c r="E22" i="6"/>
  <c r="H21" i="6"/>
  <c r="E21" i="6"/>
  <c r="H20" i="6"/>
  <c r="E20" i="6"/>
  <c r="B20" i="6"/>
  <c r="H19" i="6"/>
  <c r="E19" i="6"/>
  <c r="B19" i="6"/>
  <c r="H18" i="6"/>
  <c r="E18" i="6"/>
  <c r="B18" i="6"/>
  <c r="H17" i="6"/>
  <c r="E17" i="6"/>
  <c r="B17" i="6"/>
  <c r="H16" i="6"/>
  <c r="E16" i="6"/>
  <c r="B16" i="6"/>
  <c r="H15" i="6"/>
  <c r="E15" i="6"/>
  <c r="B15" i="6"/>
  <c r="H14" i="6"/>
  <c r="E14" i="6"/>
  <c r="B14" i="6"/>
  <c r="H13" i="6"/>
  <c r="E13" i="6"/>
  <c r="B13" i="6"/>
  <c r="H12" i="6"/>
  <c r="E12" i="6"/>
  <c r="B12" i="6"/>
  <c r="I8" i="6"/>
  <c r="H8" i="6"/>
  <c r="J234" i="13" s="1"/>
  <c r="G8" i="6"/>
  <c r="J233" i="13" s="1"/>
  <c r="F8" i="6"/>
  <c r="J232" i="13" s="1"/>
  <c r="E8" i="6"/>
  <c r="J231" i="13" s="1"/>
  <c r="D8" i="6"/>
  <c r="J230" i="13" s="1"/>
  <c r="C8" i="6"/>
  <c r="J229" i="13" s="1"/>
  <c r="B8" i="6"/>
  <c r="J228" i="13" s="1"/>
  <c r="A8" i="6"/>
  <c r="C329" i="5"/>
  <c r="B329" i="5"/>
  <c r="D329" i="5" s="1"/>
  <c r="C328" i="5"/>
  <c r="B328" i="5"/>
  <c r="D328" i="5" s="1"/>
  <c r="C327" i="5"/>
  <c r="B327" i="5"/>
  <c r="D327" i="5" s="1"/>
  <c r="C326" i="5"/>
  <c r="B326" i="5"/>
  <c r="D326" i="5" s="1"/>
  <c r="C325" i="5"/>
  <c r="B325" i="5"/>
  <c r="D325" i="5" s="1"/>
  <c r="C324" i="5"/>
  <c r="B324" i="5"/>
  <c r="D324" i="5" s="1"/>
  <c r="C323" i="5"/>
  <c r="B323" i="5"/>
  <c r="D323" i="5" s="1"/>
  <c r="C322" i="5"/>
  <c r="B322" i="5"/>
  <c r="D322" i="5" s="1"/>
  <c r="C321" i="5"/>
  <c r="B321" i="5"/>
  <c r="D321" i="5" s="1"/>
  <c r="C320" i="5"/>
  <c r="B320" i="5"/>
  <c r="D320" i="5" s="1"/>
  <c r="C319" i="5"/>
  <c r="B319" i="5"/>
  <c r="D319" i="5" s="1"/>
  <c r="C318" i="5"/>
  <c r="B318" i="5"/>
  <c r="D318" i="5" s="1"/>
  <c r="C317" i="5"/>
  <c r="B317" i="5"/>
  <c r="D317" i="5" s="1"/>
  <c r="C316" i="5"/>
  <c r="B316" i="5"/>
  <c r="D316" i="5" s="1"/>
  <c r="C315" i="5"/>
  <c r="B315" i="5"/>
  <c r="D315" i="5" s="1"/>
  <c r="C314" i="5"/>
  <c r="B314" i="5"/>
  <c r="D314" i="5" s="1"/>
  <c r="C313" i="5"/>
  <c r="B313" i="5"/>
  <c r="D313" i="5" s="1"/>
  <c r="C312" i="5"/>
  <c r="B312" i="5"/>
  <c r="D312" i="5" s="1"/>
  <c r="C311" i="5"/>
  <c r="B311" i="5"/>
  <c r="D311" i="5" s="1"/>
  <c r="C310" i="5"/>
  <c r="B310" i="5"/>
  <c r="D310" i="5" s="1"/>
  <c r="C309" i="5"/>
  <c r="B309" i="5"/>
  <c r="D309" i="5" s="1"/>
  <c r="C308" i="5"/>
  <c r="B308" i="5"/>
  <c r="D308" i="5" s="1"/>
  <c r="C307" i="5"/>
  <c r="B307" i="5"/>
  <c r="D307" i="5" s="1"/>
  <c r="C306" i="5"/>
  <c r="B306" i="5"/>
  <c r="D306" i="5" s="1"/>
  <c r="C305" i="5"/>
  <c r="B305" i="5"/>
  <c r="D305" i="5" s="1"/>
  <c r="C304" i="5"/>
  <c r="B304" i="5"/>
  <c r="D304" i="5" s="1"/>
  <c r="C303" i="5"/>
  <c r="B303" i="5"/>
  <c r="D303" i="5" s="1"/>
  <c r="C302" i="5"/>
  <c r="B302" i="5"/>
  <c r="D302" i="5" s="1"/>
  <c r="C301" i="5"/>
  <c r="B301" i="5"/>
  <c r="D301" i="5" s="1"/>
  <c r="C300" i="5"/>
  <c r="B300" i="5"/>
  <c r="D300" i="5" s="1"/>
  <c r="C299" i="5"/>
  <c r="B299" i="5"/>
  <c r="D299" i="5" s="1"/>
  <c r="C298" i="5"/>
  <c r="B298" i="5"/>
  <c r="D298" i="5" s="1"/>
  <c r="C297" i="5"/>
  <c r="B297" i="5"/>
  <c r="D297" i="5" s="1"/>
  <c r="C296" i="5"/>
  <c r="B296" i="5"/>
  <c r="D296" i="5" s="1"/>
  <c r="C295" i="5"/>
  <c r="B295" i="5"/>
  <c r="D295" i="5" s="1"/>
  <c r="C294" i="5"/>
  <c r="B294" i="5"/>
  <c r="D294" i="5" s="1"/>
  <c r="C293" i="5"/>
  <c r="B293" i="5"/>
  <c r="D293" i="5" s="1"/>
  <c r="C292" i="5"/>
  <c r="B292" i="5"/>
  <c r="D292" i="5" s="1"/>
  <c r="C291" i="5"/>
  <c r="B291" i="5"/>
  <c r="D291" i="5" s="1"/>
  <c r="C290" i="5"/>
  <c r="B290" i="5"/>
  <c r="D290" i="5" s="1"/>
  <c r="A285" i="5"/>
  <c r="A284" i="5"/>
  <c r="A283" i="5"/>
  <c r="A282" i="5"/>
  <c r="A281" i="5"/>
  <c r="A280" i="5"/>
  <c r="A279" i="5"/>
  <c r="A278" i="5"/>
  <c r="A277" i="5"/>
  <c r="A276" i="5"/>
  <c r="A275" i="5"/>
  <c r="A274" i="5"/>
  <c r="A273" i="5"/>
  <c r="A272" i="5"/>
  <c r="A271" i="5"/>
  <c r="A270" i="5"/>
  <c r="A269" i="5"/>
  <c r="A268" i="5"/>
  <c r="A267" i="5"/>
  <c r="A266" i="5"/>
  <c r="A265" i="5"/>
  <c r="A264" i="5"/>
  <c r="A263" i="5"/>
  <c r="A262" i="5"/>
  <c r="A261" i="5"/>
  <c r="A260" i="5"/>
  <c r="A259" i="5"/>
  <c r="A258" i="5"/>
  <c r="A257" i="5"/>
  <c r="A256" i="5"/>
  <c r="A255" i="5"/>
  <c r="A254" i="5"/>
  <c r="A253" i="5"/>
  <c r="A252" i="5"/>
  <c r="A251" i="5"/>
  <c r="A250" i="5"/>
  <c r="A249" i="5"/>
  <c r="A248" i="5"/>
  <c r="A247" i="5"/>
  <c r="A246" i="5"/>
  <c r="B207" i="5"/>
  <c r="B206" i="5"/>
  <c r="B205" i="5"/>
  <c r="B204" i="5"/>
  <c r="B203" i="5"/>
  <c r="B202" i="5"/>
  <c r="B201" i="5"/>
  <c r="B200" i="5"/>
  <c r="B199" i="5"/>
  <c r="B198" i="5"/>
  <c r="B197" i="5"/>
  <c r="B196" i="5"/>
  <c r="B195" i="5"/>
  <c r="B194" i="5"/>
  <c r="B193" i="5"/>
  <c r="B192" i="5"/>
  <c r="B191" i="5"/>
  <c r="B190" i="5"/>
  <c r="B189" i="5"/>
  <c r="B188" i="5"/>
  <c r="B187" i="5"/>
  <c r="B186" i="5"/>
  <c r="B185" i="5"/>
  <c r="B184" i="5"/>
  <c r="B183" i="5"/>
  <c r="B182" i="5"/>
  <c r="B181" i="5"/>
  <c r="B180" i="5"/>
  <c r="B179" i="5"/>
  <c r="B178" i="5"/>
  <c r="G173" i="5"/>
  <c r="G172" i="5"/>
  <c r="G171" i="5"/>
  <c r="G170" i="5"/>
  <c r="G169" i="5"/>
  <c r="G168" i="5"/>
  <c r="G167" i="5"/>
  <c r="G166" i="5"/>
  <c r="G165" i="5"/>
  <c r="G164" i="5"/>
  <c r="G163" i="5"/>
  <c r="G162" i="5"/>
  <c r="G161" i="5"/>
  <c r="G160" i="5"/>
  <c r="G159" i="5"/>
  <c r="G158" i="5"/>
  <c r="G157" i="5"/>
  <c r="G156" i="5"/>
  <c r="G155" i="5"/>
  <c r="G154" i="5"/>
  <c r="G153" i="5"/>
  <c r="G152" i="5"/>
  <c r="G151" i="5"/>
  <c r="G150" i="5"/>
  <c r="G149" i="5"/>
  <c r="G148" i="5"/>
  <c r="G147" i="5"/>
  <c r="G146" i="5"/>
  <c r="G145" i="5"/>
  <c r="G144" i="5"/>
  <c r="BW105" i="5"/>
  <c r="BG105" i="5"/>
  <c r="BF105" i="5"/>
  <c r="AL105" i="5"/>
  <c r="AK105" i="5"/>
  <c r="AJ105" i="5"/>
  <c r="AI105" i="5"/>
  <c r="AB105" i="5"/>
  <c r="AA105" i="5"/>
  <c r="W105" i="5"/>
  <c r="S105" i="5"/>
  <c r="R105" i="5"/>
  <c r="Q105" i="5"/>
  <c r="O105" i="5"/>
  <c r="A105" i="5"/>
  <c r="BW104" i="5"/>
  <c r="BG104" i="5"/>
  <c r="BF104" i="5"/>
  <c r="AL104" i="5"/>
  <c r="AK104" i="5"/>
  <c r="AJ104" i="5"/>
  <c r="AI104" i="5"/>
  <c r="AB104" i="5"/>
  <c r="AA104" i="5"/>
  <c r="W104" i="5"/>
  <c r="S104" i="5"/>
  <c r="R104" i="5"/>
  <c r="Q104" i="5"/>
  <c r="O104" i="5"/>
  <c r="A104" i="5"/>
  <c r="BW103" i="5"/>
  <c r="BG103" i="5"/>
  <c r="BF103" i="5"/>
  <c r="AL103" i="5"/>
  <c r="AK103" i="5"/>
  <c r="AJ103" i="5"/>
  <c r="AI103" i="5"/>
  <c r="AB103" i="5"/>
  <c r="AA103" i="5"/>
  <c r="W103" i="5"/>
  <c r="S103" i="5"/>
  <c r="R103" i="5"/>
  <c r="Q103" i="5"/>
  <c r="O103" i="5"/>
  <c r="A103" i="5"/>
  <c r="BW102" i="5"/>
  <c r="BG102" i="5"/>
  <c r="BF102" i="5"/>
  <c r="AL102" i="5"/>
  <c r="AK102" i="5"/>
  <c r="AJ102" i="5"/>
  <c r="AI102" i="5"/>
  <c r="AB102" i="5"/>
  <c r="AA102" i="5"/>
  <c r="W102" i="5"/>
  <c r="S102" i="5"/>
  <c r="R102" i="5"/>
  <c r="Q102" i="5"/>
  <c r="O102" i="5"/>
  <c r="A102" i="5"/>
  <c r="BW101" i="5"/>
  <c r="BG101" i="5"/>
  <c r="BF101" i="5"/>
  <c r="AL101" i="5"/>
  <c r="AK101" i="5"/>
  <c r="AJ101" i="5"/>
  <c r="AI101" i="5"/>
  <c r="AB101" i="5"/>
  <c r="AA101" i="5"/>
  <c r="W101" i="5"/>
  <c r="S101" i="5"/>
  <c r="R101" i="5"/>
  <c r="Q101" i="5"/>
  <c r="O101" i="5"/>
  <c r="A101" i="5"/>
  <c r="BW100" i="5"/>
  <c r="BG100" i="5"/>
  <c r="BF100" i="5"/>
  <c r="AL100" i="5"/>
  <c r="AK100" i="5"/>
  <c r="AJ100" i="5"/>
  <c r="AI100" i="5"/>
  <c r="AB100" i="5"/>
  <c r="AA100" i="5"/>
  <c r="W100" i="5"/>
  <c r="S100" i="5"/>
  <c r="R100" i="5"/>
  <c r="Q100" i="5"/>
  <c r="O100" i="5"/>
  <c r="A100" i="5"/>
  <c r="BW99" i="5"/>
  <c r="BG99" i="5"/>
  <c r="BF99" i="5"/>
  <c r="AL99" i="5"/>
  <c r="AK99" i="5"/>
  <c r="AJ99" i="5"/>
  <c r="AI99" i="5"/>
  <c r="AB99" i="5"/>
  <c r="AA99" i="5"/>
  <c r="W99" i="5"/>
  <c r="S99" i="5"/>
  <c r="R99" i="5"/>
  <c r="Q99" i="5"/>
  <c r="O99" i="5"/>
  <c r="A99" i="5"/>
  <c r="BW98" i="5"/>
  <c r="BG98" i="5"/>
  <c r="BF98" i="5"/>
  <c r="AL98" i="5"/>
  <c r="AK98" i="5"/>
  <c r="AJ98" i="5"/>
  <c r="AI98" i="5"/>
  <c r="AB98" i="5"/>
  <c r="AA98" i="5"/>
  <c r="W98" i="5"/>
  <c r="S98" i="5"/>
  <c r="R98" i="5"/>
  <c r="Q98" i="5"/>
  <c r="O98" i="5"/>
  <c r="A98" i="5"/>
  <c r="BW97" i="5"/>
  <c r="BG97" i="5"/>
  <c r="BF97" i="5"/>
  <c r="AL97" i="5"/>
  <c r="AK97" i="5"/>
  <c r="AJ97" i="5"/>
  <c r="AI97" i="5"/>
  <c r="AB97" i="5"/>
  <c r="AA97" i="5"/>
  <c r="W97" i="5"/>
  <c r="S97" i="5"/>
  <c r="R97" i="5"/>
  <c r="Q97" i="5"/>
  <c r="O97" i="5"/>
  <c r="A97" i="5"/>
  <c r="BW96" i="5"/>
  <c r="BG96" i="5"/>
  <c r="BF96" i="5"/>
  <c r="AL96" i="5"/>
  <c r="AK96" i="5"/>
  <c r="AJ96" i="5"/>
  <c r="AI96" i="5"/>
  <c r="AB96" i="5"/>
  <c r="AA96" i="5"/>
  <c r="W96" i="5"/>
  <c r="S96" i="5"/>
  <c r="R96" i="5"/>
  <c r="Q96" i="5"/>
  <c r="O96" i="5"/>
  <c r="A96" i="5"/>
  <c r="BW95" i="5"/>
  <c r="BG95" i="5"/>
  <c r="BF95" i="5"/>
  <c r="AL95" i="5"/>
  <c r="AK95" i="5"/>
  <c r="AJ95" i="5"/>
  <c r="AI95" i="5"/>
  <c r="AB95" i="5"/>
  <c r="AA95" i="5"/>
  <c r="W95" i="5"/>
  <c r="S95" i="5"/>
  <c r="R95" i="5"/>
  <c r="Q95" i="5"/>
  <c r="O95" i="5"/>
  <c r="A95" i="5"/>
  <c r="BW94" i="5"/>
  <c r="BG94" i="5"/>
  <c r="BF94" i="5"/>
  <c r="AL94" i="5"/>
  <c r="AK94" i="5"/>
  <c r="AJ94" i="5"/>
  <c r="AI94" i="5"/>
  <c r="AB94" i="5"/>
  <c r="AA94" i="5"/>
  <c r="W94" i="5"/>
  <c r="S94" i="5"/>
  <c r="R94" i="5"/>
  <c r="Q94" i="5"/>
  <c r="O94" i="5"/>
  <c r="A94" i="5"/>
  <c r="BW93" i="5"/>
  <c r="BG93" i="5"/>
  <c r="BF93" i="5"/>
  <c r="AL93" i="5"/>
  <c r="AK93" i="5"/>
  <c r="AJ93" i="5"/>
  <c r="AI93" i="5"/>
  <c r="AB93" i="5"/>
  <c r="AA93" i="5"/>
  <c r="W93" i="5"/>
  <c r="S93" i="5"/>
  <c r="R93" i="5"/>
  <c r="Q93" i="5"/>
  <c r="O93" i="5"/>
  <c r="A93" i="5"/>
  <c r="BW92" i="5"/>
  <c r="BG92" i="5"/>
  <c r="BF92" i="5"/>
  <c r="AL92" i="5"/>
  <c r="AK92" i="5"/>
  <c r="AJ92" i="5"/>
  <c r="AI92" i="5"/>
  <c r="AB92" i="5"/>
  <c r="AA92" i="5"/>
  <c r="W92" i="5"/>
  <c r="S92" i="5"/>
  <c r="R92" i="5"/>
  <c r="Q92" i="5"/>
  <c r="O92" i="5"/>
  <c r="A92" i="5"/>
  <c r="BW91" i="5"/>
  <c r="BG91" i="5"/>
  <c r="BF91" i="5"/>
  <c r="AL91" i="5"/>
  <c r="AK91" i="5"/>
  <c r="AJ91" i="5"/>
  <c r="AI91" i="5"/>
  <c r="AB91" i="5"/>
  <c r="AA91" i="5"/>
  <c r="W91" i="5"/>
  <c r="S91" i="5"/>
  <c r="R91" i="5"/>
  <c r="Q91" i="5"/>
  <c r="O91" i="5"/>
  <c r="A91" i="5"/>
  <c r="BW90" i="5"/>
  <c r="BG90" i="5"/>
  <c r="BF90" i="5"/>
  <c r="AL90" i="5"/>
  <c r="AK90" i="5"/>
  <c r="AJ90" i="5"/>
  <c r="AI90" i="5"/>
  <c r="AB90" i="5"/>
  <c r="AA90" i="5"/>
  <c r="W90" i="5"/>
  <c r="S90" i="5"/>
  <c r="R90" i="5"/>
  <c r="Q90" i="5"/>
  <c r="O90" i="5"/>
  <c r="A90" i="5"/>
  <c r="BW89" i="5"/>
  <c r="BG89" i="5"/>
  <c r="BF89" i="5"/>
  <c r="AL89" i="5"/>
  <c r="AK89" i="5"/>
  <c r="AJ89" i="5"/>
  <c r="AI89" i="5"/>
  <c r="AB89" i="5"/>
  <c r="AA89" i="5"/>
  <c r="W89" i="5"/>
  <c r="S89" i="5"/>
  <c r="R89" i="5"/>
  <c r="Q89" i="5"/>
  <c r="O89" i="5"/>
  <c r="A89" i="5"/>
  <c r="BW88" i="5"/>
  <c r="BG88" i="5"/>
  <c r="BF88" i="5"/>
  <c r="AL88" i="5"/>
  <c r="AK88" i="5"/>
  <c r="AJ88" i="5"/>
  <c r="AI88" i="5"/>
  <c r="AB88" i="5"/>
  <c r="AA88" i="5"/>
  <c r="W88" i="5"/>
  <c r="S88" i="5"/>
  <c r="R88" i="5"/>
  <c r="Q88" i="5"/>
  <c r="O88" i="5"/>
  <c r="A88" i="5"/>
  <c r="BW87" i="5"/>
  <c r="BG87" i="5"/>
  <c r="BF87" i="5"/>
  <c r="AL87" i="5"/>
  <c r="AK87" i="5"/>
  <c r="AJ87" i="5"/>
  <c r="AI87" i="5"/>
  <c r="AB87" i="5"/>
  <c r="AA87" i="5"/>
  <c r="W87" i="5"/>
  <c r="S87" i="5"/>
  <c r="R87" i="5"/>
  <c r="Q87" i="5"/>
  <c r="O87" i="5"/>
  <c r="A87" i="5"/>
  <c r="BW86" i="5"/>
  <c r="BG86" i="5"/>
  <c r="BF86" i="5"/>
  <c r="AL86" i="5"/>
  <c r="AK86" i="5"/>
  <c r="AJ86" i="5"/>
  <c r="AI86" i="5"/>
  <c r="AB86" i="5"/>
  <c r="AA86" i="5"/>
  <c r="W86" i="5"/>
  <c r="S86" i="5"/>
  <c r="R86" i="5"/>
  <c r="Q86" i="5"/>
  <c r="O86" i="5"/>
  <c r="A86" i="5"/>
  <c r="BW85" i="5"/>
  <c r="BG85" i="5"/>
  <c r="BF85" i="5"/>
  <c r="AL85" i="5"/>
  <c r="AK85" i="5"/>
  <c r="AJ85" i="5"/>
  <c r="AI85" i="5"/>
  <c r="AB85" i="5"/>
  <c r="AA85" i="5"/>
  <c r="W85" i="5"/>
  <c r="S85" i="5"/>
  <c r="R85" i="5"/>
  <c r="Q85" i="5"/>
  <c r="O85" i="5"/>
  <c r="A85" i="5"/>
  <c r="BW84" i="5"/>
  <c r="BG84" i="5"/>
  <c r="BF84" i="5"/>
  <c r="AL84" i="5"/>
  <c r="AK84" i="5"/>
  <c r="AJ84" i="5"/>
  <c r="AI84" i="5"/>
  <c r="AB84" i="5"/>
  <c r="AA84" i="5"/>
  <c r="W84" i="5"/>
  <c r="S84" i="5"/>
  <c r="R84" i="5"/>
  <c r="Q84" i="5"/>
  <c r="O84" i="5"/>
  <c r="A84" i="5"/>
  <c r="BW83" i="5"/>
  <c r="BG83" i="5"/>
  <c r="BF83" i="5"/>
  <c r="AL83" i="5"/>
  <c r="AK83" i="5"/>
  <c r="AJ83" i="5"/>
  <c r="AI83" i="5"/>
  <c r="AB83" i="5"/>
  <c r="AA83" i="5"/>
  <c r="W83" i="5"/>
  <c r="S83" i="5"/>
  <c r="R83" i="5"/>
  <c r="Q83" i="5"/>
  <c r="O83" i="5"/>
  <c r="A83" i="5"/>
  <c r="BW82" i="5"/>
  <c r="BG82" i="5"/>
  <c r="BF82" i="5"/>
  <c r="AL82" i="5"/>
  <c r="AK82" i="5"/>
  <c r="AJ82" i="5"/>
  <c r="AI82" i="5"/>
  <c r="AB82" i="5"/>
  <c r="AA82" i="5"/>
  <c r="W82" i="5"/>
  <c r="S82" i="5"/>
  <c r="R82" i="5"/>
  <c r="Q82" i="5"/>
  <c r="O82" i="5"/>
  <c r="A82" i="5"/>
  <c r="BW81" i="5"/>
  <c r="BG81" i="5"/>
  <c r="BF81" i="5"/>
  <c r="AL81" i="5"/>
  <c r="AK81" i="5"/>
  <c r="AJ81" i="5"/>
  <c r="AI81" i="5"/>
  <c r="AB81" i="5"/>
  <c r="AA81" i="5"/>
  <c r="W81" i="5"/>
  <c r="S81" i="5"/>
  <c r="R81" i="5"/>
  <c r="Q81" i="5"/>
  <c r="O81" i="5"/>
  <c r="A81" i="5"/>
  <c r="BW80" i="5"/>
  <c r="BG80" i="5"/>
  <c r="BF80" i="5"/>
  <c r="AL80" i="5"/>
  <c r="AK80" i="5"/>
  <c r="AJ80" i="5"/>
  <c r="AI80" i="5"/>
  <c r="AB80" i="5"/>
  <c r="AA80" i="5"/>
  <c r="W80" i="5"/>
  <c r="S80" i="5"/>
  <c r="R80" i="5"/>
  <c r="Q80" i="5"/>
  <c r="O80" i="5"/>
  <c r="A80" i="5"/>
  <c r="BW79" i="5"/>
  <c r="BG79" i="5"/>
  <c r="BF79" i="5"/>
  <c r="AL79" i="5"/>
  <c r="AK79" i="5"/>
  <c r="AJ79" i="5"/>
  <c r="AI79" i="5"/>
  <c r="AB79" i="5"/>
  <c r="AA79" i="5"/>
  <c r="W79" i="5"/>
  <c r="S79" i="5"/>
  <c r="R79" i="5"/>
  <c r="Q79" i="5"/>
  <c r="O79" i="5"/>
  <c r="A79" i="5"/>
  <c r="BW78" i="5"/>
  <c r="BG78" i="5"/>
  <c r="BF78" i="5"/>
  <c r="AL78" i="5"/>
  <c r="AK78" i="5"/>
  <c r="AJ78" i="5"/>
  <c r="AI78" i="5"/>
  <c r="AB78" i="5"/>
  <c r="AA78" i="5"/>
  <c r="W78" i="5"/>
  <c r="S78" i="5"/>
  <c r="R78" i="5"/>
  <c r="Q78" i="5"/>
  <c r="O78" i="5"/>
  <c r="A78" i="5"/>
  <c r="BW77" i="5"/>
  <c r="BG77" i="5"/>
  <c r="BF77" i="5"/>
  <c r="AL77" i="5"/>
  <c r="AK77" i="5"/>
  <c r="AJ77" i="5"/>
  <c r="AI77" i="5"/>
  <c r="AB77" i="5"/>
  <c r="AA77" i="5"/>
  <c r="W77" i="5"/>
  <c r="S77" i="5"/>
  <c r="R77" i="5"/>
  <c r="Q77" i="5"/>
  <c r="O77" i="5"/>
  <c r="A77" i="5"/>
  <c r="BW76" i="5"/>
  <c r="BG76" i="5"/>
  <c r="BF76" i="5"/>
  <c r="AL76" i="5"/>
  <c r="AK76" i="5"/>
  <c r="AJ76" i="5"/>
  <c r="AI76" i="5"/>
  <c r="AB76" i="5"/>
  <c r="AA76" i="5"/>
  <c r="W76" i="5"/>
  <c r="S76" i="5"/>
  <c r="R76" i="5"/>
  <c r="Q76" i="5"/>
  <c r="O76" i="5"/>
  <c r="A76" i="5"/>
  <c r="BW75" i="5"/>
  <c r="BG75" i="5"/>
  <c r="BF75" i="5"/>
  <c r="AL75" i="5"/>
  <c r="AK75" i="5"/>
  <c r="AJ75" i="5"/>
  <c r="AI75" i="5"/>
  <c r="AB75" i="5"/>
  <c r="AA75" i="5"/>
  <c r="W75" i="5"/>
  <c r="S75" i="5"/>
  <c r="R75" i="5"/>
  <c r="Q75" i="5"/>
  <c r="O75" i="5"/>
  <c r="A75" i="5"/>
  <c r="BW74" i="5"/>
  <c r="BG74" i="5"/>
  <c r="BF74" i="5"/>
  <c r="AL74" i="5"/>
  <c r="AK74" i="5"/>
  <c r="AJ74" i="5"/>
  <c r="AI74" i="5"/>
  <c r="AB74" i="5"/>
  <c r="AA74" i="5"/>
  <c r="W74" i="5"/>
  <c r="S74" i="5"/>
  <c r="R74" i="5"/>
  <c r="Q74" i="5"/>
  <c r="O74" i="5"/>
  <c r="A74" i="5"/>
  <c r="BW73" i="5"/>
  <c r="BG73" i="5"/>
  <c r="BF73" i="5"/>
  <c r="AL73" i="5"/>
  <c r="AK73" i="5"/>
  <c r="AJ73" i="5"/>
  <c r="AI73" i="5"/>
  <c r="AB73" i="5"/>
  <c r="AA73" i="5"/>
  <c r="W73" i="5"/>
  <c r="S73" i="5"/>
  <c r="R73" i="5"/>
  <c r="Q73" i="5"/>
  <c r="O73" i="5"/>
  <c r="A73" i="5"/>
  <c r="BW72" i="5"/>
  <c r="BG72" i="5"/>
  <c r="BF72" i="5"/>
  <c r="AL72" i="5"/>
  <c r="AK72" i="5"/>
  <c r="AJ72" i="5"/>
  <c r="AI72" i="5"/>
  <c r="AB72" i="5"/>
  <c r="AA72" i="5"/>
  <c r="W72" i="5"/>
  <c r="S72" i="5"/>
  <c r="R72" i="5"/>
  <c r="Q72" i="5"/>
  <c r="O72" i="5"/>
  <c r="A72" i="5"/>
  <c r="BW71" i="5"/>
  <c r="BG71" i="5"/>
  <c r="BF71" i="5"/>
  <c r="AL71" i="5"/>
  <c r="AK71" i="5"/>
  <c r="AJ71" i="5"/>
  <c r="AI71" i="5"/>
  <c r="AB71" i="5"/>
  <c r="AA71" i="5"/>
  <c r="W71" i="5"/>
  <c r="S71" i="5"/>
  <c r="R71" i="5"/>
  <c r="Q71" i="5"/>
  <c r="O71" i="5"/>
  <c r="A71" i="5"/>
  <c r="BW70" i="5"/>
  <c r="BG70" i="5"/>
  <c r="BF70" i="5"/>
  <c r="AL70" i="5"/>
  <c r="AK70" i="5"/>
  <c r="AJ70" i="5"/>
  <c r="AI70" i="5"/>
  <c r="AB70" i="5"/>
  <c r="AA70" i="5"/>
  <c r="W70" i="5"/>
  <c r="S70" i="5"/>
  <c r="R70" i="5"/>
  <c r="Q70" i="5"/>
  <c r="O70" i="5"/>
  <c r="A70" i="5"/>
  <c r="BW69" i="5"/>
  <c r="BG69" i="5"/>
  <c r="BF69" i="5"/>
  <c r="AL69" i="5"/>
  <c r="AK69" i="5"/>
  <c r="AJ69" i="5"/>
  <c r="AI69" i="5"/>
  <c r="AB69" i="5"/>
  <c r="AA69" i="5"/>
  <c r="W69" i="5"/>
  <c r="S69" i="5"/>
  <c r="R69" i="5"/>
  <c r="Q69" i="5"/>
  <c r="O69" i="5"/>
  <c r="A69" i="5"/>
  <c r="BW68" i="5"/>
  <c r="BG68" i="5"/>
  <c r="BF68" i="5"/>
  <c r="AL68" i="5"/>
  <c r="AK68" i="5"/>
  <c r="AJ68" i="5"/>
  <c r="AI68" i="5"/>
  <c r="AB68" i="5"/>
  <c r="AA68" i="5"/>
  <c r="W68" i="5"/>
  <c r="S68" i="5"/>
  <c r="R68" i="5"/>
  <c r="Q68" i="5"/>
  <c r="O68" i="5"/>
  <c r="A68" i="5"/>
  <c r="BW67" i="5"/>
  <c r="BG67" i="5"/>
  <c r="BF67" i="5"/>
  <c r="AL67" i="5"/>
  <c r="AK67" i="5"/>
  <c r="AJ67" i="5"/>
  <c r="AI67" i="5"/>
  <c r="AB67" i="5"/>
  <c r="AA67" i="5"/>
  <c r="W67" i="5"/>
  <c r="S67" i="5"/>
  <c r="R67" i="5"/>
  <c r="Q67" i="5"/>
  <c r="O67" i="5"/>
  <c r="A67" i="5"/>
  <c r="BW66" i="5"/>
  <c r="BG66" i="5"/>
  <c r="BF66" i="5"/>
  <c r="AL66" i="5"/>
  <c r="AK66" i="5"/>
  <c r="AJ66" i="5"/>
  <c r="AI66" i="5"/>
  <c r="AB66" i="5"/>
  <c r="AA66" i="5"/>
  <c r="W66" i="5"/>
  <c r="S66" i="5"/>
  <c r="R66" i="5"/>
  <c r="Q66" i="5"/>
  <c r="O66" i="5"/>
  <c r="A66" i="5"/>
  <c r="BW65" i="5"/>
  <c r="BG65" i="5"/>
  <c r="BF65" i="5"/>
  <c r="AL65" i="5"/>
  <c r="AK65" i="5"/>
  <c r="AJ65" i="5"/>
  <c r="AI65" i="5"/>
  <c r="AB65" i="5"/>
  <c r="AA65" i="5"/>
  <c r="W65" i="5"/>
  <c r="S65" i="5"/>
  <c r="R65" i="5"/>
  <c r="Q65" i="5"/>
  <c r="O65" i="5"/>
  <c r="A65" i="5"/>
  <c r="BW64" i="5"/>
  <c r="BG64" i="5"/>
  <c r="BF64" i="5"/>
  <c r="AL64" i="5"/>
  <c r="AK64" i="5"/>
  <c r="AJ64" i="5"/>
  <c r="AI64" i="5"/>
  <c r="AB64" i="5"/>
  <c r="AA64" i="5"/>
  <c r="W64" i="5"/>
  <c r="S64" i="5"/>
  <c r="R64" i="5"/>
  <c r="Q64" i="5"/>
  <c r="O64" i="5"/>
  <c r="A64" i="5"/>
  <c r="BW63" i="5"/>
  <c r="BG63" i="5"/>
  <c r="BF63" i="5"/>
  <c r="AL63" i="5"/>
  <c r="AK63" i="5"/>
  <c r="AJ63" i="5"/>
  <c r="AI63" i="5"/>
  <c r="AB63" i="5"/>
  <c r="AA63" i="5"/>
  <c r="W63" i="5"/>
  <c r="S63" i="5"/>
  <c r="R63" i="5"/>
  <c r="Q63" i="5"/>
  <c r="O63" i="5"/>
  <c r="A63" i="5"/>
  <c r="BW62" i="5"/>
  <c r="BG62" i="5"/>
  <c r="BF62" i="5"/>
  <c r="AL62" i="5"/>
  <c r="AK62" i="5"/>
  <c r="AJ62" i="5"/>
  <c r="AI62" i="5"/>
  <c r="AB62" i="5"/>
  <c r="AA62" i="5"/>
  <c r="W62" i="5"/>
  <c r="S62" i="5"/>
  <c r="R62" i="5"/>
  <c r="Q62" i="5"/>
  <c r="O62" i="5"/>
  <c r="A62" i="5"/>
  <c r="BW61" i="5"/>
  <c r="BG61" i="5"/>
  <c r="BF61" i="5"/>
  <c r="AL61" i="5"/>
  <c r="AK61" i="5"/>
  <c r="AJ61" i="5"/>
  <c r="AI61" i="5"/>
  <c r="AB61" i="5"/>
  <c r="AA61" i="5"/>
  <c r="W61" i="5"/>
  <c r="S61" i="5"/>
  <c r="R61" i="5"/>
  <c r="Q61" i="5"/>
  <c r="O61" i="5"/>
  <c r="A61" i="5"/>
  <c r="BW60" i="5"/>
  <c r="BG60" i="5"/>
  <c r="BF60" i="5"/>
  <c r="AL60" i="5"/>
  <c r="AK60" i="5"/>
  <c r="AJ60" i="5"/>
  <c r="AI60" i="5"/>
  <c r="AB60" i="5"/>
  <c r="AA60" i="5"/>
  <c r="W60" i="5"/>
  <c r="S60" i="5"/>
  <c r="R60" i="5"/>
  <c r="Q60" i="5"/>
  <c r="O60" i="5"/>
  <c r="A60" i="5"/>
  <c r="BW59" i="5"/>
  <c r="BG59" i="5"/>
  <c r="BF59" i="5"/>
  <c r="AL59" i="5"/>
  <c r="AK59" i="5"/>
  <c r="AJ59" i="5"/>
  <c r="AI59" i="5"/>
  <c r="AB59" i="5"/>
  <c r="AA59" i="5"/>
  <c r="W59" i="5"/>
  <c r="S59" i="5"/>
  <c r="R59" i="5"/>
  <c r="Q59" i="5"/>
  <c r="O59" i="5"/>
  <c r="A59" i="5"/>
  <c r="BW58" i="5"/>
  <c r="BG58" i="5"/>
  <c r="BF58" i="5"/>
  <c r="AL58" i="5"/>
  <c r="AK58" i="5"/>
  <c r="AJ58" i="5"/>
  <c r="AI58" i="5"/>
  <c r="AB58" i="5"/>
  <c r="AA58" i="5"/>
  <c r="W58" i="5"/>
  <c r="S58" i="5"/>
  <c r="R58" i="5"/>
  <c r="Q58" i="5"/>
  <c r="O58" i="5"/>
  <c r="A58" i="5"/>
  <c r="BW57" i="5"/>
  <c r="BG57" i="5"/>
  <c r="BF57" i="5"/>
  <c r="AL57" i="5"/>
  <c r="AK57" i="5"/>
  <c r="AJ57" i="5"/>
  <c r="AI57" i="5"/>
  <c r="AB57" i="5"/>
  <c r="AA57" i="5"/>
  <c r="W57" i="5"/>
  <c r="S57" i="5"/>
  <c r="R57" i="5"/>
  <c r="Q57" i="5"/>
  <c r="O57" i="5"/>
  <c r="A57" i="5"/>
  <c r="BW56" i="5"/>
  <c r="BG56" i="5"/>
  <c r="BF56" i="5"/>
  <c r="AL56" i="5"/>
  <c r="AK56" i="5"/>
  <c r="AJ56" i="5"/>
  <c r="AI56" i="5"/>
  <c r="AB56" i="5"/>
  <c r="AA56" i="5"/>
  <c r="W56" i="5"/>
  <c r="S56" i="5"/>
  <c r="R56" i="5"/>
  <c r="Q56" i="5"/>
  <c r="O56" i="5"/>
  <c r="A56" i="5"/>
  <c r="H51" i="5"/>
  <c r="H50" i="5"/>
  <c r="H49" i="5"/>
  <c r="H48" i="5"/>
  <c r="H47" i="5"/>
  <c r="H46" i="5"/>
  <c r="H45" i="5"/>
  <c r="H44" i="5"/>
  <c r="H43" i="5"/>
  <c r="H42" i="5"/>
  <c r="H41" i="5"/>
  <c r="E41" i="5"/>
  <c r="H40" i="5"/>
  <c r="E40" i="5"/>
  <c r="H39" i="5"/>
  <c r="E39" i="5"/>
  <c r="H38" i="5"/>
  <c r="E38" i="5"/>
  <c r="H37" i="5"/>
  <c r="E37" i="5"/>
  <c r="H36" i="5"/>
  <c r="E36" i="5"/>
  <c r="H35" i="5"/>
  <c r="E35" i="5"/>
  <c r="H34" i="5"/>
  <c r="E34" i="5"/>
  <c r="H33" i="5"/>
  <c r="E33" i="5"/>
  <c r="H32" i="5"/>
  <c r="E32" i="5"/>
  <c r="H31" i="5"/>
  <c r="E31" i="5"/>
  <c r="H30" i="5"/>
  <c r="E30" i="5"/>
  <c r="H29" i="5"/>
  <c r="E29" i="5"/>
  <c r="H28" i="5"/>
  <c r="E28" i="5"/>
  <c r="H27" i="5"/>
  <c r="E27" i="5"/>
  <c r="H26" i="5"/>
  <c r="E26" i="5"/>
  <c r="H25" i="5"/>
  <c r="E25" i="5"/>
  <c r="H24" i="5"/>
  <c r="E24" i="5"/>
  <c r="H23" i="5"/>
  <c r="E23" i="5"/>
  <c r="H22" i="5"/>
  <c r="E22" i="5"/>
  <c r="H21" i="5"/>
  <c r="E21" i="5"/>
  <c r="H20" i="5"/>
  <c r="E20" i="5"/>
  <c r="B20" i="5"/>
  <c r="H19" i="5"/>
  <c r="E19" i="5"/>
  <c r="B19" i="5"/>
  <c r="H18" i="5"/>
  <c r="E18" i="5"/>
  <c r="B18" i="5"/>
  <c r="H17" i="5"/>
  <c r="E17" i="5"/>
  <c r="B17" i="5"/>
  <c r="H16" i="5"/>
  <c r="E16" i="5"/>
  <c r="B16" i="5"/>
  <c r="H15" i="5"/>
  <c r="E15" i="5"/>
  <c r="B15" i="5"/>
  <c r="H14" i="5"/>
  <c r="E14" i="5"/>
  <c r="B14" i="5"/>
  <c r="H13" i="5"/>
  <c r="E13" i="5"/>
  <c r="B13" i="5"/>
  <c r="H12" i="5"/>
  <c r="E12" i="5"/>
  <c r="B12" i="5"/>
  <c r="H8" i="5"/>
  <c r="J192" i="13" s="1"/>
  <c r="H401" i="4"/>
  <c r="H400" i="4"/>
  <c r="H399" i="4"/>
  <c r="H398" i="4"/>
  <c r="H397" i="4"/>
  <c r="H396" i="4"/>
  <c r="H395" i="4"/>
  <c r="H394" i="4"/>
  <c r="H393" i="4"/>
  <c r="H392" i="4"/>
  <c r="H391" i="4"/>
  <c r="H390" i="4"/>
  <c r="H389" i="4"/>
  <c r="H388" i="4"/>
  <c r="H387" i="4"/>
  <c r="H386" i="4"/>
  <c r="H385" i="4"/>
  <c r="H384" i="4"/>
  <c r="H383" i="4"/>
  <c r="H382" i="4"/>
  <c r="H381" i="4"/>
  <c r="H380" i="4"/>
  <c r="H379" i="4"/>
  <c r="H378" i="4"/>
  <c r="H377" i="4"/>
  <c r="H376" i="4"/>
  <c r="H375" i="4"/>
  <c r="H374" i="4"/>
  <c r="H373" i="4"/>
  <c r="H372" i="4"/>
  <c r="B367" i="4"/>
  <c r="B366" i="4"/>
  <c r="B365" i="4"/>
  <c r="B364" i="4"/>
  <c r="B363" i="4"/>
  <c r="B362" i="4"/>
  <c r="B361" i="4"/>
  <c r="B360" i="4"/>
  <c r="B359" i="4"/>
  <c r="B358" i="4"/>
  <c r="B357" i="4"/>
  <c r="B356" i="4"/>
  <c r="B355" i="4"/>
  <c r="B354" i="4"/>
  <c r="B353" i="4"/>
  <c r="B352" i="4"/>
  <c r="B351" i="4"/>
  <c r="B350" i="4"/>
  <c r="B349" i="4"/>
  <c r="B348" i="4"/>
  <c r="B347" i="4"/>
  <c r="B346" i="4"/>
  <c r="B345" i="4"/>
  <c r="B344" i="4"/>
  <c r="B343" i="4"/>
  <c r="B342" i="4"/>
  <c r="B341" i="4"/>
  <c r="B340" i="4"/>
  <c r="B339" i="4"/>
  <c r="B338" i="4"/>
  <c r="F299" i="4"/>
  <c r="E299" i="4"/>
  <c r="D299" i="4"/>
  <c r="C299" i="4"/>
  <c r="F298" i="4"/>
  <c r="E298" i="4"/>
  <c r="D298" i="4"/>
  <c r="C298" i="4"/>
  <c r="F297" i="4"/>
  <c r="E297" i="4"/>
  <c r="D297" i="4"/>
  <c r="C297" i="4"/>
  <c r="F296" i="4"/>
  <c r="E296" i="4"/>
  <c r="D296" i="4"/>
  <c r="C296" i="4"/>
  <c r="F295" i="4"/>
  <c r="E295" i="4"/>
  <c r="D295" i="4"/>
  <c r="C295" i="4"/>
  <c r="F294" i="4"/>
  <c r="E294" i="4"/>
  <c r="D294" i="4"/>
  <c r="C294" i="4"/>
  <c r="F293" i="4"/>
  <c r="E293" i="4"/>
  <c r="D293" i="4"/>
  <c r="C293" i="4"/>
  <c r="F292" i="4"/>
  <c r="E292" i="4"/>
  <c r="D292" i="4"/>
  <c r="C292" i="4"/>
  <c r="F291" i="4"/>
  <c r="E291" i="4"/>
  <c r="D291" i="4"/>
  <c r="C291" i="4"/>
  <c r="F290" i="4"/>
  <c r="E290" i="4"/>
  <c r="D290" i="4"/>
  <c r="C290" i="4"/>
  <c r="F289" i="4"/>
  <c r="E289" i="4"/>
  <c r="D289" i="4"/>
  <c r="C289" i="4"/>
  <c r="F288" i="4"/>
  <c r="E288" i="4"/>
  <c r="D288" i="4"/>
  <c r="C288" i="4"/>
  <c r="F287" i="4"/>
  <c r="E287" i="4"/>
  <c r="D287" i="4"/>
  <c r="C287" i="4"/>
  <c r="F286" i="4"/>
  <c r="E286" i="4"/>
  <c r="D286" i="4"/>
  <c r="C286" i="4"/>
  <c r="F285" i="4"/>
  <c r="E285" i="4"/>
  <c r="D285" i="4"/>
  <c r="C285" i="4"/>
  <c r="F284" i="4"/>
  <c r="E284" i="4"/>
  <c r="D284" i="4"/>
  <c r="C284" i="4"/>
  <c r="F283" i="4"/>
  <c r="E283" i="4"/>
  <c r="D283" i="4"/>
  <c r="C283" i="4"/>
  <c r="F282" i="4"/>
  <c r="E282" i="4"/>
  <c r="D282" i="4"/>
  <c r="C282" i="4"/>
  <c r="F281" i="4"/>
  <c r="E281" i="4"/>
  <c r="D281" i="4"/>
  <c r="C281" i="4"/>
  <c r="F280" i="4"/>
  <c r="E280" i="4"/>
  <c r="D280" i="4"/>
  <c r="C280" i="4"/>
  <c r="F279" i="4"/>
  <c r="E279" i="4"/>
  <c r="D279" i="4"/>
  <c r="C279" i="4"/>
  <c r="F278" i="4"/>
  <c r="E278" i="4"/>
  <c r="D278" i="4"/>
  <c r="C278" i="4"/>
  <c r="F277" i="4"/>
  <c r="E277" i="4"/>
  <c r="D277" i="4"/>
  <c r="C277" i="4"/>
  <c r="F276" i="4"/>
  <c r="E276" i="4"/>
  <c r="D276" i="4"/>
  <c r="C276" i="4"/>
  <c r="F275" i="4"/>
  <c r="E275" i="4"/>
  <c r="D275" i="4"/>
  <c r="C275" i="4"/>
  <c r="F274" i="4"/>
  <c r="E274" i="4"/>
  <c r="D274" i="4"/>
  <c r="C274" i="4"/>
  <c r="F273" i="4"/>
  <c r="E273" i="4"/>
  <c r="D273" i="4"/>
  <c r="C273" i="4"/>
  <c r="F272" i="4"/>
  <c r="E272" i="4"/>
  <c r="D272" i="4"/>
  <c r="C272" i="4"/>
  <c r="F271" i="4"/>
  <c r="E271" i="4"/>
  <c r="D271" i="4"/>
  <c r="C271" i="4"/>
  <c r="F270" i="4"/>
  <c r="E270" i="4"/>
  <c r="D270" i="4"/>
  <c r="C270" i="4"/>
  <c r="H163" i="4"/>
  <c r="H162" i="4"/>
  <c r="H161" i="4"/>
  <c r="H160" i="4"/>
  <c r="H159" i="4"/>
  <c r="H158" i="4"/>
  <c r="H157" i="4"/>
  <c r="H156" i="4"/>
  <c r="H155" i="4"/>
  <c r="H154" i="4"/>
  <c r="H153" i="4"/>
  <c r="H152" i="4"/>
  <c r="H151" i="4"/>
  <c r="H150" i="4"/>
  <c r="H149" i="4"/>
  <c r="H148" i="4"/>
  <c r="H147" i="4"/>
  <c r="H146" i="4"/>
  <c r="H145" i="4"/>
  <c r="H144" i="4"/>
  <c r="H143" i="4"/>
  <c r="H142" i="4"/>
  <c r="H141" i="4"/>
  <c r="H140" i="4"/>
  <c r="H139" i="4"/>
  <c r="H138" i="4"/>
  <c r="H137" i="4"/>
  <c r="H136" i="4"/>
  <c r="H135" i="4"/>
  <c r="H134" i="4"/>
  <c r="BC95" i="4"/>
  <c r="AL95" i="4"/>
  <c r="G158" i="13" s="1"/>
  <c r="AJ95" i="4"/>
  <c r="AC95" i="4"/>
  <c r="AB95" i="4"/>
  <c r="V95" i="4"/>
  <c r="U95" i="4"/>
  <c r="T95" i="4"/>
  <c r="S95" i="4"/>
  <c r="A95" i="4"/>
  <c r="BC94" i="4"/>
  <c r="AL94" i="4"/>
  <c r="G157" i="13" s="1"/>
  <c r="AJ94" i="4"/>
  <c r="AC94" i="4"/>
  <c r="AB94" i="4"/>
  <c r="V94" i="4"/>
  <c r="U94" i="4"/>
  <c r="T94" i="4"/>
  <c r="S94" i="4"/>
  <c r="A94" i="4"/>
  <c r="BC93" i="4"/>
  <c r="AL93" i="4"/>
  <c r="G156" i="13" s="1"/>
  <c r="AJ93" i="4"/>
  <c r="AC93" i="4"/>
  <c r="AB93" i="4"/>
  <c r="V93" i="4"/>
  <c r="U93" i="4"/>
  <c r="T93" i="4"/>
  <c r="S93" i="4"/>
  <c r="A93" i="4"/>
  <c r="BC92" i="4"/>
  <c r="AL92" i="4"/>
  <c r="G155" i="13" s="1"/>
  <c r="AJ92" i="4"/>
  <c r="AC92" i="4"/>
  <c r="AB92" i="4"/>
  <c r="V92" i="4"/>
  <c r="U92" i="4"/>
  <c r="T92" i="4"/>
  <c r="S92" i="4"/>
  <c r="A92" i="4"/>
  <c r="BC91" i="4"/>
  <c r="AL91" i="4"/>
  <c r="G154" i="13" s="1"/>
  <c r="AJ91" i="4"/>
  <c r="AC91" i="4"/>
  <c r="AB91" i="4"/>
  <c r="V91" i="4"/>
  <c r="U91" i="4"/>
  <c r="T91" i="4"/>
  <c r="S91" i="4"/>
  <c r="A91" i="4"/>
  <c r="BC90" i="4"/>
  <c r="AL90" i="4"/>
  <c r="G153" i="13" s="1"/>
  <c r="AJ90" i="4"/>
  <c r="AC90" i="4"/>
  <c r="AB90" i="4"/>
  <c r="V90" i="4"/>
  <c r="U90" i="4"/>
  <c r="T90" i="4"/>
  <c r="S90" i="4"/>
  <c r="A90" i="4"/>
  <c r="BC89" i="4"/>
  <c r="AL89" i="4"/>
  <c r="G152" i="13" s="1"/>
  <c r="AJ89" i="4"/>
  <c r="AC89" i="4"/>
  <c r="AB89" i="4"/>
  <c r="V89" i="4"/>
  <c r="U89" i="4"/>
  <c r="T89" i="4"/>
  <c r="S89" i="4"/>
  <c r="A89" i="4"/>
  <c r="BC88" i="4"/>
  <c r="AL88" i="4"/>
  <c r="G151" i="13" s="1"/>
  <c r="AJ88" i="4"/>
  <c r="AC88" i="4"/>
  <c r="AB88" i="4"/>
  <c r="V88" i="4"/>
  <c r="U88" i="4"/>
  <c r="T88" i="4"/>
  <c r="S88" i="4"/>
  <c r="A88" i="4"/>
  <c r="BC87" i="4"/>
  <c r="AL87" i="4"/>
  <c r="G150" i="13" s="1"/>
  <c r="AJ87" i="4"/>
  <c r="AC87" i="4"/>
  <c r="AB87" i="4"/>
  <c r="V87" i="4"/>
  <c r="U87" i="4"/>
  <c r="T87" i="4"/>
  <c r="S87" i="4"/>
  <c r="A87" i="4"/>
  <c r="BC86" i="4"/>
  <c r="AL86" i="4"/>
  <c r="G149" i="13" s="1"/>
  <c r="AJ86" i="4"/>
  <c r="AC86" i="4"/>
  <c r="AB86" i="4"/>
  <c r="V86" i="4"/>
  <c r="U86" i="4"/>
  <c r="T86" i="4"/>
  <c r="S86" i="4"/>
  <c r="A86" i="4"/>
  <c r="BC85" i="4"/>
  <c r="AL85" i="4"/>
  <c r="G148" i="13" s="1"/>
  <c r="AJ85" i="4"/>
  <c r="AC85" i="4"/>
  <c r="AB85" i="4"/>
  <c r="V85" i="4"/>
  <c r="U85" i="4"/>
  <c r="T85" i="4"/>
  <c r="S85" i="4"/>
  <c r="A85" i="4"/>
  <c r="BC84" i="4"/>
  <c r="AL84" i="4"/>
  <c r="G147" i="13" s="1"/>
  <c r="AJ84" i="4"/>
  <c r="AC84" i="4"/>
  <c r="AB84" i="4"/>
  <c r="V84" i="4"/>
  <c r="U84" i="4"/>
  <c r="T84" i="4"/>
  <c r="S84" i="4"/>
  <c r="A84" i="4"/>
  <c r="BC83" i="4"/>
  <c r="AL83" i="4"/>
  <c r="G146" i="13" s="1"/>
  <c r="AJ83" i="4"/>
  <c r="AC83" i="4"/>
  <c r="AB83" i="4"/>
  <c r="V83" i="4"/>
  <c r="U83" i="4"/>
  <c r="T83" i="4"/>
  <c r="S83" i="4"/>
  <c r="A83" i="4"/>
  <c r="BC82" i="4"/>
  <c r="AL82" i="4"/>
  <c r="G145" i="13" s="1"/>
  <c r="AJ82" i="4"/>
  <c r="AC82" i="4"/>
  <c r="AB82" i="4"/>
  <c r="V82" i="4"/>
  <c r="U82" i="4"/>
  <c r="T82" i="4"/>
  <c r="S82" i="4"/>
  <c r="A82" i="4"/>
  <c r="BC81" i="4"/>
  <c r="AL81" i="4"/>
  <c r="G144" i="13" s="1"/>
  <c r="AJ81" i="4"/>
  <c r="AC81" i="4"/>
  <c r="AB81" i="4"/>
  <c r="V81" i="4"/>
  <c r="U81" i="4"/>
  <c r="T81" i="4"/>
  <c r="S81" i="4"/>
  <c r="A81" i="4"/>
  <c r="BC80" i="4"/>
  <c r="AL80" i="4"/>
  <c r="G143" i="13" s="1"/>
  <c r="AJ80" i="4"/>
  <c r="AC80" i="4"/>
  <c r="AB80" i="4"/>
  <c r="V80" i="4"/>
  <c r="U80" i="4"/>
  <c r="T80" i="4"/>
  <c r="S80" i="4"/>
  <c r="A80" i="4"/>
  <c r="BC79" i="4"/>
  <c r="AL79" i="4"/>
  <c r="G142" i="13" s="1"/>
  <c r="AJ79" i="4"/>
  <c r="AC79" i="4"/>
  <c r="AB79" i="4"/>
  <c r="V79" i="4"/>
  <c r="U79" i="4"/>
  <c r="T79" i="4"/>
  <c r="S79" i="4"/>
  <c r="A79" i="4"/>
  <c r="BC78" i="4"/>
  <c r="AL78" i="4"/>
  <c r="G141" i="13" s="1"/>
  <c r="AJ78" i="4"/>
  <c r="AC78" i="4"/>
  <c r="AB78" i="4"/>
  <c r="V78" i="4"/>
  <c r="U78" i="4"/>
  <c r="T78" i="4"/>
  <c r="S78" i="4"/>
  <c r="A78" i="4"/>
  <c r="BC77" i="4"/>
  <c r="AL77" i="4"/>
  <c r="G140" i="13" s="1"/>
  <c r="AJ77" i="4"/>
  <c r="AC77" i="4"/>
  <c r="AB77" i="4"/>
  <c r="V77" i="4"/>
  <c r="U77" i="4"/>
  <c r="T77" i="4"/>
  <c r="S77" i="4"/>
  <c r="A77" i="4"/>
  <c r="BC76" i="4"/>
  <c r="AL76" i="4"/>
  <c r="G139" i="13" s="1"/>
  <c r="AJ76" i="4"/>
  <c r="AC76" i="4"/>
  <c r="AB76" i="4"/>
  <c r="V76" i="4"/>
  <c r="U76" i="4"/>
  <c r="T76" i="4"/>
  <c r="S76" i="4"/>
  <c r="A76" i="4"/>
  <c r="BC75" i="4"/>
  <c r="AL75" i="4"/>
  <c r="G138" i="13" s="1"/>
  <c r="AJ75" i="4"/>
  <c r="AC75" i="4"/>
  <c r="AB75" i="4"/>
  <c r="V75" i="4"/>
  <c r="U75" i="4"/>
  <c r="T75" i="4"/>
  <c r="S75" i="4"/>
  <c r="A75" i="4"/>
  <c r="BC74" i="4"/>
  <c r="AL74" i="4"/>
  <c r="G137" i="13" s="1"/>
  <c r="AJ74" i="4"/>
  <c r="AC74" i="4"/>
  <c r="AB74" i="4"/>
  <c r="V74" i="4"/>
  <c r="U74" i="4"/>
  <c r="T74" i="4"/>
  <c r="S74" i="4"/>
  <c r="A74" i="4"/>
  <c r="BC73" i="4"/>
  <c r="AL73" i="4"/>
  <c r="G136" i="13" s="1"/>
  <c r="AJ73" i="4"/>
  <c r="AC73" i="4"/>
  <c r="AB73" i="4"/>
  <c r="V73" i="4"/>
  <c r="U73" i="4"/>
  <c r="T73" i="4"/>
  <c r="S73" i="4"/>
  <c r="A73" i="4"/>
  <c r="BC72" i="4"/>
  <c r="AL72" i="4"/>
  <c r="G135" i="13" s="1"/>
  <c r="AJ72" i="4"/>
  <c r="AC72" i="4"/>
  <c r="AB72" i="4"/>
  <c r="V72" i="4"/>
  <c r="U72" i="4"/>
  <c r="T72" i="4"/>
  <c r="S72" i="4"/>
  <c r="A72" i="4"/>
  <c r="BC71" i="4"/>
  <c r="AL71" i="4"/>
  <c r="G134" i="13" s="1"/>
  <c r="AJ71" i="4"/>
  <c r="AC71" i="4"/>
  <c r="AB71" i="4"/>
  <c r="V71" i="4"/>
  <c r="U71" i="4"/>
  <c r="T71" i="4"/>
  <c r="S71" i="4"/>
  <c r="A71" i="4"/>
  <c r="BC70" i="4"/>
  <c r="AL70" i="4"/>
  <c r="G133" i="13" s="1"/>
  <c r="AJ70" i="4"/>
  <c r="AC70" i="4"/>
  <c r="AB70" i="4"/>
  <c r="V70" i="4"/>
  <c r="U70" i="4"/>
  <c r="T70" i="4"/>
  <c r="S70" i="4"/>
  <c r="A70" i="4"/>
  <c r="BC69" i="4"/>
  <c r="AL69" i="4"/>
  <c r="G132" i="13" s="1"/>
  <c r="AJ69" i="4"/>
  <c r="AC69" i="4"/>
  <c r="AB69" i="4"/>
  <c r="V69" i="4"/>
  <c r="U69" i="4"/>
  <c r="T69" i="4"/>
  <c r="S69" i="4"/>
  <c r="A69" i="4"/>
  <c r="BC68" i="4"/>
  <c r="AL68" i="4"/>
  <c r="G131" i="13" s="1"/>
  <c r="AJ68" i="4"/>
  <c r="AC68" i="4"/>
  <c r="AB68" i="4"/>
  <c r="V68" i="4"/>
  <c r="U68" i="4"/>
  <c r="T68" i="4"/>
  <c r="S68" i="4"/>
  <c r="A68" i="4"/>
  <c r="BC67" i="4"/>
  <c r="AL67" i="4"/>
  <c r="G130" i="13" s="1"/>
  <c r="AJ67" i="4"/>
  <c r="AC67" i="4"/>
  <c r="AB67" i="4"/>
  <c r="V67" i="4"/>
  <c r="U67" i="4"/>
  <c r="T67" i="4"/>
  <c r="S67" i="4"/>
  <c r="A67" i="4"/>
  <c r="BC66" i="4"/>
  <c r="AL66" i="4"/>
  <c r="G129" i="13" s="1"/>
  <c r="AJ66" i="4"/>
  <c r="AC66" i="4"/>
  <c r="AB66" i="4"/>
  <c r="V66" i="4"/>
  <c r="U66" i="4"/>
  <c r="T66" i="4"/>
  <c r="S66" i="4"/>
  <c r="A66" i="4"/>
  <c r="BC65" i="4"/>
  <c r="AL65" i="4"/>
  <c r="G128" i="13" s="1"/>
  <c r="AJ65" i="4"/>
  <c r="AC65" i="4"/>
  <c r="AB65" i="4"/>
  <c r="V65" i="4"/>
  <c r="U65" i="4"/>
  <c r="T65" i="4"/>
  <c r="S65" i="4"/>
  <c r="A65" i="4"/>
  <c r="BC64" i="4"/>
  <c r="AL64" i="4"/>
  <c r="G127" i="13" s="1"/>
  <c r="AJ64" i="4"/>
  <c r="AC64" i="4"/>
  <c r="AB64" i="4"/>
  <c r="V64" i="4"/>
  <c r="U64" i="4"/>
  <c r="T64" i="4"/>
  <c r="S64" i="4"/>
  <c r="A64" i="4"/>
  <c r="BC63" i="4"/>
  <c r="AL63" i="4"/>
  <c r="G126" i="13" s="1"/>
  <c r="AJ63" i="4"/>
  <c r="AC63" i="4"/>
  <c r="AB63" i="4"/>
  <c r="V63" i="4"/>
  <c r="U63" i="4"/>
  <c r="T63" i="4"/>
  <c r="S63" i="4"/>
  <c r="A63" i="4"/>
  <c r="BC62" i="4"/>
  <c r="AL62" i="4"/>
  <c r="G125" i="13" s="1"/>
  <c r="AJ62" i="4"/>
  <c r="AC62" i="4"/>
  <c r="AB62" i="4"/>
  <c r="V62" i="4"/>
  <c r="U62" i="4"/>
  <c r="T62" i="4"/>
  <c r="S62" i="4"/>
  <c r="A62" i="4"/>
  <c r="BC61" i="4"/>
  <c r="AL61" i="4"/>
  <c r="G124" i="13" s="1"/>
  <c r="AJ61" i="4"/>
  <c r="AC61" i="4"/>
  <c r="AB61" i="4"/>
  <c r="V61" i="4"/>
  <c r="U61" i="4"/>
  <c r="T61" i="4"/>
  <c r="S61" i="4"/>
  <c r="A61" i="4"/>
  <c r="BC60" i="4"/>
  <c r="AL60" i="4"/>
  <c r="G123" i="13" s="1"/>
  <c r="AJ60" i="4"/>
  <c r="AC60" i="4"/>
  <c r="AB60" i="4"/>
  <c r="V60" i="4"/>
  <c r="U60" i="4"/>
  <c r="T60" i="4"/>
  <c r="S60" i="4"/>
  <c r="A60" i="4"/>
  <c r="BC59" i="4"/>
  <c r="AL59" i="4"/>
  <c r="G122" i="13" s="1"/>
  <c r="AJ59" i="4"/>
  <c r="AC59" i="4"/>
  <c r="AB59" i="4"/>
  <c r="V59" i="4"/>
  <c r="U59" i="4"/>
  <c r="T59" i="4"/>
  <c r="S59" i="4"/>
  <c r="A59" i="4"/>
  <c r="BC58" i="4"/>
  <c r="AL58" i="4"/>
  <c r="G121" i="13" s="1"/>
  <c r="AJ58" i="4"/>
  <c r="AC58" i="4"/>
  <c r="AB58" i="4"/>
  <c r="V58" i="4"/>
  <c r="U58" i="4"/>
  <c r="T58" i="4"/>
  <c r="S58" i="4"/>
  <c r="A58" i="4"/>
  <c r="BC57" i="4"/>
  <c r="AL57" i="4"/>
  <c r="G120" i="13" s="1"/>
  <c r="AJ57" i="4"/>
  <c r="AC57" i="4"/>
  <c r="AB57" i="4"/>
  <c r="V57" i="4"/>
  <c r="U57" i="4"/>
  <c r="T57" i="4"/>
  <c r="S57" i="4"/>
  <c r="A57" i="4"/>
  <c r="BC56" i="4"/>
  <c r="AL56" i="4"/>
  <c r="G119" i="13" s="1"/>
  <c r="AJ56" i="4"/>
  <c r="AC56" i="4"/>
  <c r="AB56" i="4"/>
  <c r="V56" i="4"/>
  <c r="U56" i="4"/>
  <c r="T56" i="4"/>
  <c r="S56" i="4"/>
  <c r="A56" i="4"/>
  <c r="E51" i="4"/>
  <c r="E50" i="4"/>
  <c r="E49" i="4"/>
  <c r="E48" i="4"/>
  <c r="E47" i="4"/>
  <c r="E46" i="4"/>
  <c r="E45" i="4"/>
  <c r="E44" i="4"/>
  <c r="E43" i="4"/>
  <c r="E42" i="4"/>
  <c r="E41" i="4"/>
  <c r="E40" i="4"/>
  <c r="E39" i="4"/>
  <c r="E38" i="4"/>
  <c r="E37" i="4"/>
  <c r="E36" i="4"/>
  <c r="E35" i="4"/>
  <c r="E34" i="4"/>
  <c r="E33" i="4"/>
  <c r="E32" i="4"/>
  <c r="E31" i="4"/>
  <c r="E30" i="4"/>
  <c r="E29" i="4"/>
  <c r="E28" i="4"/>
  <c r="E27" i="4"/>
  <c r="E26" i="4"/>
  <c r="B26" i="4"/>
  <c r="E25" i="4"/>
  <c r="B25" i="4"/>
  <c r="E24" i="4"/>
  <c r="B24" i="4"/>
  <c r="E23" i="4"/>
  <c r="B23" i="4"/>
  <c r="E22" i="4"/>
  <c r="B22" i="4"/>
  <c r="E21" i="4"/>
  <c r="B21" i="4"/>
  <c r="E20" i="4"/>
  <c r="B20" i="4"/>
  <c r="E19" i="4"/>
  <c r="B19" i="4"/>
  <c r="E18" i="4"/>
  <c r="B18" i="4"/>
  <c r="E17" i="4"/>
  <c r="B17" i="4"/>
  <c r="E16" i="4"/>
  <c r="B16" i="4"/>
  <c r="E15" i="4"/>
  <c r="B15" i="4"/>
  <c r="E14" i="4"/>
  <c r="B14" i="4"/>
  <c r="E13" i="4"/>
  <c r="B13" i="4"/>
  <c r="E12" i="4"/>
  <c r="B12" i="4"/>
  <c r="H8" i="4"/>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73" i="3"/>
  <c r="A172" i="3"/>
  <c r="A171" i="3"/>
  <c r="A170" i="3"/>
  <c r="A169" i="3"/>
  <c r="A168" i="3"/>
  <c r="A167" i="3"/>
  <c r="A166" i="3"/>
  <c r="A165" i="3"/>
  <c r="A164"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BY115" i="3"/>
  <c r="BV115" i="3"/>
  <c r="AP115" i="3"/>
  <c r="AO115" i="3"/>
  <c r="AN115" i="3"/>
  <c r="AM115" i="3"/>
  <c r="J115" i="3"/>
  <c r="K115" i="3" s="1"/>
  <c r="G115" i="3"/>
  <c r="A115" i="3"/>
  <c r="BY114" i="3"/>
  <c r="BV114" i="3"/>
  <c r="AP114" i="3"/>
  <c r="AO114" i="3"/>
  <c r="AN114" i="3"/>
  <c r="AM114" i="3"/>
  <c r="J114" i="3"/>
  <c r="K114" i="3" s="1"/>
  <c r="G114" i="3"/>
  <c r="A114" i="3"/>
  <c r="BY113" i="3"/>
  <c r="BV113" i="3"/>
  <c r="AP113" i="3"/>
  <c r="AO113" i="3"/>
  <c r="AN113" i="3"/>
  <c r="AM113" i="3"/>
  <c r="J113" i="3"/>
  <c r="K113" i="3" s="1"/>
  <c r="G113" i="3"/>
  <c r="A113" i="3"/>
  <c r="BY112" i="3"/>
  <c r="BV112" i="3"/>
  <c r="AP112" i="3"/>
  <c r="AO112" i="3"/>
  <c r="AN112" i="3"/>
  <c r="AM112" i="3"/>
  <c r="J112" i="3"/>
  <c r="K112" i="3" s="1"/>
  <c r="G112" i="3"/>
  <c r="A112" i="3"/>
  <c r="BY111" i="3"/>
  <c r="BV111" i="3"/>
  <c r="AP111" i="3"/>
  <c r="AO111" i="3"/>
  <c r="AN111" i="3"/>
  <c r="AM111" i="3"/>
  <c r="J111" i="3"/>
  <c r="K111" i="3" s="1"/>
  <c r="G111" i="3"/>
  <c r="A111" i="3"/>
  <c r="BY110" i="3"/>
  <c r="BV110" i="3"/>
  <c r="AP110" i="3"/>
  <c r="AO110" i="3"/>
  <c r="AN110" i="3"/>
  <c r="AM110" i="3"/>
  <c r="J110" i="3"/>
  <c r="K110" i="3" s="1"/>
  <c r="G110" i="3"/>
  <c r="A110" i="3"/>
  <c r="BY109" i="3"/>
  <c r="BV109" i="3"/>
  <c r="AP109" i="3"/>
  <c r="AO109" i="3"/>
  <c r="AN109" i="3"/>
  <c r="AM109" i="3"/>
  <c r="J109" i="3"/>
  <c r="K109" i="3" s="1"/>
  <c r="G109" i="3"/>
  <c r="A109" i="3"/>
  <c r="BY108" i="3"/>
  <c r="BV108" i="3"/>
  <c r="AP108" i="3"/>
  <c r="AO108" i="3"/>
  <c r="AN108" i="3"/>
  <c r="AM108" i="3"/>
  <c r="J108" i="3"/>
  <c r="K108" i="3" s="1"/>
  <c r="G108" i="3"/>
  <c r="A108" i="3"/>
  <c r="BY107" i="3"/>
  <c r="BV107" i="3"/>
  <c r="AP107" i="3"/>
  <c r="AO107" i="3"/>
  <c r="AN107" i="3"/>
  <c r="AM107" i="3"/>
  <c r="J107" i="3"/>
  <c r="K107" i="3" s="1"/>
  <c r="G107" i="3"/>
  <c r="A107" i="3"/>
  <c r="BY106" i="3"/>
  <c r="BV106" i="3"/>
  <c r="AP106" i="3"/>
  <c r="AO106" i="3"/>
  <c r="AN106" i="3"/>
  <c r="AM106" i="3"/>
  <c r="J106" i="3"/>
  <c r="K106" i="3" s="1"/>
  <c r="G106" i="3"/>
  <c r="A106" i="3"/>
  <c r="BY105" i="3"/>
  <c r="BV105" i="3"/>
  <c r="AP105" i="3"/>
  <c r="AO105" i="3"/>
  <c r="AN105" i="3"/>
  <c r="AM105" i="3"/>
  <c r="J105" i="3"/>
  <c r="K105" i="3" s="1"/>
  <c r="G105" i="3"/>
  <c r="A105" i="3"/>
  <c r="BY104" i="3"/>
  <c r="BV104" i="3"/>
  <c r="AP104" i="3"/>
  <c r="AO104" i="3"/>
  <c r="AN104" i="3"/>
  <c r="AM104" i="3"/>
  <c r="J104" i="3"/>
  <c r="K104" i="3" s="1"/>
  <c r="G104" i="3"/>
  <c r="A104" i="3"/>
  <c r="BY103" i="3"/>
  <c r="BV103" i="3"/>
  <c r="AP103" i="3"/>
  <c r="AO103" i="3"/>
  <c r="AN103" i="3"/>
  <c r="AM103" i="3"/>
  <c r="J103" i="3"/>
  <c r="K103" i="3" s="1"/>
  <c r="G103" i="3"/>
  <c r="A103" i="3"/>
  <c r="BY102" i="3"/>
  <c r="BV102" i="3"/>
  <c r="AP102" i="3"/>
  <c r="AO102" i="3"/>
  <c r="AN102" i="3"/>
  <c r="AM102" i="3"/>
  <c r="J102" i="3"/>
  <c r="K102" i="3" s="1"/>
  <c r="G102" i="3"/>
  <c r="A102" i="3"/>
  <c r="BY101" i="3"/>
  <c r="BV101" i="3"/>
  <c r="AP101" i="3"/>
  <c r="AO101" i="3"/>
  <c r="AN101" i="3"/>
  <c r="AM101" i="3"/>
  <c r="J101" i="3"/>
  <c r="K101" i="3" s="1"/>
  <c r="G101" i="3"/>
  <c r="A101" i="3"/>
  <c r="BY100" i="3"/>
  <c r="BV100" i="3"/>
  <c r="AP100" i="3"/>
  <c r="AO100" i="3"/>
  <c r="AN100" i="3"/>
  <c r="AM100" i="3"/>
  <c r="J100" i="3"/>
  <c r="K100" i="3" s="1"/>
  <c r="G100" i="3"/>
  <c r="A100" i="3"/>
  <c r="BY99" i="3"/>
  <c r="BV99" i="3"/>
  <c r="AP99" i="3"/>
  <c r="AO99" i="3"/>
  <c r="AN99" i="3"/>
  <c r="AM99" i="3"/>
  <c r="J99" i="3"/>
  <c r="K99" i="3" s="1"/>
  <c r="G99" i="3"/>
  <c r="A99" i="3"/>
  <c r="BY98" i="3"/>
  <c r="BV98" i="3"/>
  <c r="AP98" i="3"/>
  <c r="AO98" i="3"/>
  <c r="AN98" i="3"/>
  <c r="AM98" i="3"/>
  <c r="J98" i="3"/>
  <c r="K98" i="3" s="1"/>
  <c r="G98" i="3"/>
  <c r="A98" i="3"/>
  <c r="BY97" i="3"/>
  <c r="BV97" i="3"/>
  <c r="AP97" i="3"/>
  <c r="AO97" i="3"/>
  <c r="AN97" i="3"/>
  <c r="AM97" i="3"/>
  <c r="J97" i="3"/>
  <c r="K97" i="3" s="1"/>
  <c r="G97" i="3"/>
  <c r="A97" i="3"/>
  <c r="BY96" i="3"/>
  <c r="BV96" i="3"/>
  <c r="AP96" i="3"/>
  <c r="AO96" i="3"/>
  <c r="AN96" i="3"/>
  <c r="AM96" i="3"/>
  <c r="J96" i="3"/>
  <c r="K96" i="3" s="1"/>
  <c r="G96" i="3"/>
  <c r="A96" i="3"/>
  <c r="BY95" i="3"/>
  <c r="BV95" i="3"/>
  <c r="AP95" i="3"/>
  <c r="AO95" i="3"/>
  <c r="AN95" i="3"/>
  <c r="AM95" i="3"/>
  <c r="J95" i="3"/>
  <c r="K95" i="3" s="1"/>
  <c r="G95" i="3"/>
  <c r="A95" i="3"/>
  <c r="BY94" i="3"/>
  <c r="BV94" i="3"/>
  <c r="AP94" i="3"/>
  <c r="AO94" i="3"/>
  <c r="AN94" i="3"/>
  <c r="AM94" i="3"/>
  <c r="J94" i="3"/>
  <c r="K94" i="3" s="1"/>
  <c r="G94" i="3"/>
  <c r="A94" i="3"/>
  <c r="BY93" i="3"/>
  <c r="BV93" i="3"/>
  <c r="AP93" i="3"/>
  <c r="AO93" i="3"/>
  <c r="AN93" i="3"/>
  <c r="AM93" i="3"/>
  <c r="J93" i="3"/>
  <c r="K93" i="3" s="1"/>
  <c r="G93" i="3"/>
  <c r="A93" i="3"/>
  <c r="BY92" i="3"/>
  <c r="BV92" i="3"/>
  <c r="AP92" i="3"/>
  <c r="AO92" i="3"/>
  <c r="AN92" i="3"/>
  <c r="AM92" i="3"/>
  <c r="J92" i="3"/>
  <c r="K92" i="3" s="1"/>
  <c r="G92" i="3"/>
  <c r="A92" i="3"/>
  <c r="BY91" i="3"/>
  <c r="BV91" i="3"/>
  <c r="AP91" i="3"/>
  <c r="AO91" i="3"/>
  <c r="AN91" i="3"/>
  <c r="AM91" i="3"/>
  <c r="J91" i="3"/>
  <c r="K91" i="3" s="1"/>
  <c r="G91" i="3"/>
  <c r="A91" i="3"/>
  <c r="BY90" i="3"/>
  <c r="BV90" i="3"/>
  <c r="AP90" i="3"/>
  <c r="AO90" i="3"/>
  <c r="AN90" i="3"/>
  <c r="AM90" i="3"/>
  <c r="J90" i="3"/>
  <c r="K90" i="3" s="1"/>
  <c r="G90" i="3"/>
  <c r="A90" i="3"/>
  <c r="BY89" i="3"/>
  <c r="BV89" i="3"/>
  <c r="AP89" i="3"/>
  <c r="AO89" i="3"/>
  <c r="AN89" i="3"/>
  <c r="AM89" i="3"/>
  <c r="J89" i="3"/>
  <c r="K89" i="3" s="1"/>
  <c r="G89" i="3"/>
  <c r="A89" i="3"/>
  <c r="BY88" i="3"/>
  <c r="BV88" i="3"/>
  <c r="AP88" i="3"/>
  <c r="AO88" i="3"/>
  <c r="AN88" i="3"/>
  <c r="AM88" i="3"/>
  <c r="J88" i="3"/>
  <c r="K88" i="3" s="1"/>
  <c r="G88" i="3"/>
  <c r="A88" i="3"/>
  <c r="BY87" i="3"/>
  <c r="BV87" i="3"/>
  <c r="AP87" i="3"/>
  <c r="AO87" i="3"/>
  <c r="AN87" i="3"/>
  <c r="AM87" i="3"/>
  <c r="J87" i="3"/>
  <c r="K87" i="3" s="1"/>
  <c r="G87" i="3"/>
  <c r="A87" i="3"/>
  <c r="BY86" i="3"/>
  <c r="BV86" i="3"/>
  <c r="AP86" i="3"/>
  <c r="AO86" i="3"/>
  <c r="AN86" i="3"/>
  <c r="AM86" i="3"/>
  <c r="J86" i="3"/>
  <c r="K86" i="3" s="1"/>
  <c r="G86" i="3"/>
  <c r="A86" i="3"/>
  <c r="BY85" i="3"/>
  <c r="BV85" i="3"/>
  <c r="AP85" i="3"/>
  <c r="AO85" i="3"/>
  <c r="AN85" i="3"/>
  <c r="AM85" i="3"/>
  <c r="J85" i="3"/>
  <c r="K85" i="3" s="1"/>
  <c r="G85" i="3"/>
  <c r="A85" i="3"/>
  <c r="BY84" i="3"/>
  <c r="BV84" i="3"/>
  <c r="AP84" i="3"/>
  <c r="AO84" i="3"/>
  <c r="AN84" i="3"/>
  <c r="AM84" i="3"/>
  <c r="J84" i="3"/>
  <c r="K84" i="3" s="1"/>
  <c r="G84" i="3"/>
  <c r="A84" i="3"/>
  <c r="BY83" i="3"/>
  <c r="BV83" i="3"/>
  <c r="AP83" i="3"/>
  <c r="AO83" i="3"/>
  <c r="AN83" i="3"/>
  <c r="AM83" i="3"/>
  <c r="J83" i="3"/>
  <c r="K83" i="3" s="1"/>
  <c r="G83" i="3"/>
  <c r="A83" i="3"/>
  <c r="BY82" i="3"/>
  <c r="BV82" i="3"/>
  <c r="AP82" i="3"/>
  <c r="AO82" i="3"/>
  <c r="AN82" i="3"/>
  <c r="AM82" i="3"/>
  <c r="J82" i="3"/>
  <c r="K82" i="3" s="1"/>
  <c r="G82" i="3"/>
  <c r="A82" i="3"/>
  <c r="BY81" i="3"/>
  <c r="BV81" i="3"/>
  <c r="AP81" i="3"/>
  <c r="AO81" i="3"/>
  <c r="AN81" i="3"/>
  <c r="AM81" i="3"/>
  <c r="J81" i="3"/>
  <c r="K81" i="3" s="1"/>
  <c r="G81" i="3"/>
  <c r="A81" i="3"/>
  <c r="BY80" i="3"/>
  <c r="BV80" i="3"/>
  <c r="AP80" i="3"/>
  <c r="AO80" i="3"/>
  <c r="AN80" i="3"/>
  <c r="AM80" i="3"/>
  <c r="J80" i="3"/>
  <c r="K80" i="3" s="1"/>
  <c r="G80" i="3"/>
  <c r="A80" i="3"/>
  <c r="BY79" i="3"/>
  <c r="BV79" i="3"/>
  <c r="AP79" i="3"/>
  <c r="AO79" i="3"/>
  <c r="AN79" i="3"/>
  <c r="AM79" i="3"/>
  <c r="J79" i="3"/>
  <c r="K79" i="3" s="1"/>
  <c r="G79" i="3"/>
  <c r="A79" i="3"/>
  <c r="BY78" i="3"/>
  <c r="BV78" i="3"/>
  <c r="AP78" i="3"/>
  <c r="AO78" i="3"/>
  <c r="AN78" i="3"/>
  <c r="AM78" i="3"/>
  <c r="J78" i="3"/>
  <c r="K78" i="3" s="1"/>
  <c r="G78" i="3"/>
  <c r="A78" i="3"/>
  <c r="BY77" i="3"/>
  <c r="BV77" i="3"/>
  <c r="AP77" i="3"/>
  <c r="AO77" i="3"/>
  <c r="AN77" i="3"/>
  <c r="AM77" i="3"/>
  <c r="J77" i="3"/>
  <c r="K77" i="3" s="1"/>
  <c r="G77" i="3"/>
  <c r="A77" i="3"/>
  <c r="BY76" i="3"/>
  <c r="BV76" i="3"/>
  <c r="AP76" i="3"/>
  <c r="AO76" i="3"/>
  <c r="AN76" i="3"/>
  <c r="AM76" i="3"/>
  <c r="J76" i="3"/>
  <c r="K76" i="3" s="1"/>
  <c r="G76" i="3"/>
  <c r="A76" i="3"/>
  <c r="BY75" i="3"/>
  <c r="BV75" i="3"/>
  <c r="AP75" i="3"/>
  <c r="AO75" i="3"/>
  <c r="AN75" i="3"/>
  <c r="AM75" i="3"/>
  <c r="J75" i="3"/>
  <c r="K75" i="3" s="1"/>
  <c r="G75" i="3"/>
  <c r="A75" i="3"/>
  <c r="BY74" i="3"/>
  <c r="BV74" i="3"/>
  <c r="AP74" i="3"/>
  <c r="AO74" i="3"/>
  <c r="AN74" i="3"/>
  <c r="AM74" i="3"/>
  <c r="J74" i="3"/>
  <c r="K74" i="3" s="1"/>
  <c r="G74" i="3"/>
  <c r="A74" i="3"/>
  <c r="BY73" i="3"/>
  <c r="BV73" i="3"/>
  <c r="AP73" i="3"/>
  <c r="AO73" i="3"/>
  <c r="AN73" i="3"/>
  <c r="AM73" i="3"/>
  <c r="J73" i="3"/>
  <c r="K73" i="3" s="1"/>
  <c r="G73" i="3"/>
  <c r="A73" i="3"/>
  <c r="BY72" i="3"/>
  <c r="BV72" i="3"/>
  <c r="AP72" i="3"/>
  <c r="AO72" i="3"/>
  <c r="AN72" i="3"/>
  <c r="AM72" i="3"/>
  <c r="J72" i="3"/>
  <c r="K72" i="3" s="1"/>
  <c r="G72" i="3"/>
  <c r="A72" i="3"/>
  <c r="BY71" i="3"/>
  <c r="BV71" i="3"/>
  <c r="AP71" i="3"/>
  <c r="AO71" i="3"/>
  <c r="AN71" i="3"/>
  <c r="AM71" i="3"/>
  <c r="J71" i="3"/>
  <c r="K71" i="3" s="1"/>
  <c r="G71" i="3"/>
  <c r="A71" i="3"/>
  <c r="BY70" i="3"/>
  <c r="BV70" i="3"/>
  <c r="AP70" i="3"/>
  <c r="AO70" i="3"/>
  <c r="AN70" i="3"/>
  <c r="AM70" i="3"/>
  <c r="J70" i="3"/>
  <c r="K70" i="3" s="1"/>
  <c r="G70" i="3"/>
  <c r="A70" i="3"/>
  <c r="BY69" i="3"/>
  <c r="BV69" i="3"/>
  <c r="AP69" i="3"/>
  <c r="AO69" i="3"/>
  <c r="AN69" i="3"/>
  <c r="AM69" i="3"/>
  <c r="J69" i="3"/>
  <c r="K69" i="3" s="1"/>
  <c r="G69" i="3"/>
  <c r="A69" i="3"/>
  <c r="BY68" i="3"/>
  <c r="BV68" i="3"/>
  <c r="AP68" i="3"/>
  <c r="AO68" i="3"/>
  <c r="AN68" i="3"/>
  <c r="AM68" i="3"/>
  <c r="J68" i="3"/>
  <c r="K68" i="3" s="1"/>
  <c r="G68" i="3"/>
  <c r="A68" i="3"/>
  <c r="BY67" i="3"/>
  <c r="BV67" i="3"/>
  <c r="AP67" i="3"/>
  <c r="AO67" i="3"/>
  <c r="AN67" i="3"/>
  <c r="AM67" i="3"/>
  <c r="J67" i="3"/>
  <c r="K67" i="3" s="1"/>
  <c r="G67" i="3"/>
  <c r="A67" i="3"/>
  <c r="BY66" i="3"/>
  <c r="BV66" i="3"/>
  <c r="AP66" i="3"/>
  <c r="AO66" i="3"/>
  <c r="AN66" i="3"/>
  <c r="AM66" i="3"/>
  <c r="J66" i="3"/>
  <c r="K66" i="3" s="1"/>
  <c r="G66" i="3"/>
  <c r="A66" i="3"/>
  <c r="BY65" i="3"/>
  <c r="BV65" i="3"/>
  <c r="AP65" i="3"/>
  <c r="AO65" i="3"/>
  <c r="AN65" i="3"/>
  <c r="AM65" i="3"/>
  <c r="J65" i="3"/>
  <c r="K65" i="3" s="1"/>
  <c r="G65" i="3"/>
  <c r="A65" i="3"/>
  <c r="BY64" i="3"/>
  <c r="BV64" i="3"/>
  <c r="AP64" i="3"/>
  <c r="AO64" i="3"/>
  <c r="AN64" i="3"/>
  <c r="AM64" i="3"/>
  <c r="J64" i="3"/>
  <c r="K64" i="3" s="1"/>
  <c r="G64" i="3"/>
  <c r="A64" i="3"/>
  <c r="BY63" i="3"/>
  <c r="BV63" i="3"/>
  <c r="AP63" i="3"/>
  <c r="AO63" i="3"/>
  <c r="AN63" i="3"/>
  <c r="AM63" i="3"/>
  <c r="J63" i="3"/>
  <c r="K63" i="3" s="1"/>
  <c r="G63" i="3"/>
  <c r="A63" i="3"/>
  <c r="BY62" i="3"/>
  <c r="BV62" i="3"/>
  <c r="AP62" i="3"/>
  <c r="AO62" i="3"/>
  <c r="AN62" i="3"/>
  <c r="AM62" i="3"/>
  <c r="J62" i="3"/>
  <c r="K62" i="3" s="1"/>
  <c r="G62" i="3"/>
  <c r="A62" i="3"/>
  <c r="BY61" i="3"/>
  <c r="BV61" i="3"/>
  <c r="AP61" i="3"/>
  <c r="AO61" i="3"/>
  <c r="AN61" i="3"/>
  <c r="AM61" i="3"/>
  <c r="J61" i="3"/>
  <c r="K61" i="3" s="1"/>
  <c r="G61" i="3"/>
  <c r="A61" i="3"/>
  <c r="BY60" i="3"/>
  <c r="BV60" i="3"/>
  <c r="AP60" i="3"/>
  <c r="AO60" i="3"/>
  <c r="AN60" i="3"/>
  <c r="AM60" i="3"/>
  <c r="J60" i="3"/>
  <c r="K60" i="3" s="1"/>
  <c r="G60" i="3"/>
  <c r="A60" i="3"/>
  <c r="BY59" i="3"/>
  <c r="BV59" i="3"/>
  <c r="AP59" i="3"/>
  <c r="AO59" i="3"/>
  <c r="AN59" i="3"/>
  <c r="AM59" i="3"/>
  <c r="J59" i="3"/>
  <c r="K59" i="3" s="1"/>
  <c r="G59" i="3"/>
  <c r="A59" i="3"/>
  <c r="BY58" i="3"/>
  <c r="BV58" i="3"/>
  <c r="AP58" i="3"/>
  <c r="AO58" i="3"/>
  <c r="AN58" i="3"/>
  <c r="AM58" i="3"/>
  <c r="J58" i="3"/>
  <c r="K58" i="3" s="1"/>
  <c r="G58" i="3"/>
  <c r="A58" i="3"/>
  <c r="BY57" i="3"/>
  <c r="BV57" i="3"/>
  <c r="AP57" i="3"/>
  <c r="AO57" i="3"/>
  <c r="AN57" i="3"/>
  <c r="AM57" i="3"/>
  <c r="J57" i="3"/>
  <c r="K57" i="3" s="1"/>
  <c r="G57" i="3"/>
  <c r="A57" i="3"/>
  <c r="BY56" i="3"/>
  <c r="BV56" i="3"/>
  <c r="AP56" i="3"/>
  <c r="AO56" i="3"/>
  <c r="AN56" i="3"/>
  <c r="AM56" i="3"/>
  <c r="J56" i="3"/>
  <c r="K56" i="3" s="1"/>
  <c r="G56" i="3"/>
  <c r="A56" i="3"/>
  <c r="B51" i="3"/>
  <c r="B50" i="3"/>
  <c r="B49" i="3"/>
  <c r="B48" i="3"/>
  <c r="B47" i="3"/>
  <c r="B46" i="3"/>
  <c r="B45" i="3"/>
  <c r="B44" i="3"/>
  <c r="B43" i="3"/>
  <c r="B42" i="3"/>
  <c r="B41" i="3"/>
  <c r="B40" i="3"/>
  <c r="B39" i="3"/>
  <c r="B38" i="3"/>
  <c r="B37" i="3"/>
  <c r="B36" i="3"/>
  <c r="B35" i="3"/>
  <c r="B34" i="3"/>
  <c r="B33" i="3"/>
  <c r="B32" i="3"/>
  <c r="B31" i="3"/>
  <c r="B30" i="3"/>
  <c r="B29" i="3"/>
  <c r="B28" i="3"/>
  <c r="B27" i="3"/>
  <c r="B26" i="3"/>
  <c r="B25" i="3"/>
  <c r="B24" i="3"/>
  <c r="B23" i="3"/>
  <c r="B22" i="3"/>
  <c r="H21" i="3"/>
  <c r="E21" i="3"/>
  <c r="B21" i="3"/>
  <c r="H20" i="3"/>
  <c r="E20" i="3"/>
  <c r="B20" i="3"/>
  <c r="H19" i="3"/>
  <c r="E19" i="3"/>
  <c r="B19" i="3"/>
  <c r="H18" i="3"/>
  <c r="E18" i="3"/>
  <c r="B18" i="3"/>
  <c r="H17" i="3"/>
  <c r="E17" i="3"/>
  <c r="B17" i="3"/>
  <c r="H16" i="3"/>
  <c r="E16" i="3"/>
  <c r="B16" i="3"/>
  <c r="H15" i="3"/>
  <c r="E15" i="3"/>
  <c r="B15" i="3"/>
  <c r="H14" i="3"/>
  <c r="E14" i="3"/>
  <c r="B14" i="3"/>
  <c r="H13" i="3"/>
  <c r="B13" i="3"/>
  <c r="H12" i="3"/>
  <c r="B12" i="3"/>
  <c r="J8" i="3"/>
  <c r="I2" i="3"/>
  <c r="F498" i="2"/>
  <c r="E498" i="2"/>
  <c r="D498" i="2"/>
  <c r="C498" i="2"/>
  <c r="B498" i="2"/>
  <c r="F497" i="2"/>
  <c r="E497" i="2"/>
  <c r="D497" i="2"/>
  <c r="C497" i="2"/>
  <c r="B497" i="2"/>
  <c r="F496" i="2"/>
  <c r="E496" i="2"/>
  <c r="D496" i="2"/>
  <c r="C496" i="2"/>
  <c r="B496" i="2"/>
  <c r="F495" i="2"/>
  <c r="E495" i="2"/>
  <c r="D495" i="2"/>
  <c r="C495" i="2"/>
  <c r="B495" i="2"/>
  <c r="F494" i="2"/>
  <c r="E494" i="2"/>
  <c r="D494" i="2"/>
  <c r="C494" i="2"/>
  <c r="B494" i="2"/>
  <c r="F493" i="2"/>
  <c r="E493" i="2"/>
  <c r="D493" i="2"/>
  <c r="C493" i="2"/>
  <c r="B493" i="2"/>
  <c r="F492" i="2"/>
  <c r="E492" i="2"/>
  <c r="D492" i="2"/>
  <c r="C492" i="2"/>
  <c r="B492" i="2"/>
  <c r="F491" i="2"/>
  <c r="E491" i="2"/>
  <c r="D491" i="2"/>
  <c r="C491" i="2"/>
  <c r="B491" i="2"/>
  <c r="F490" i="2"/>
  <c r="E490" i="2"/>
  <c r="D490" i="2"/>
  <c r="C490" i="2"/>
  <c r="B490" i="2"/>
  <c r="F489" i="2"/>
  <c r="E489" i="2"/>
  <c r="D489" i="2"/>
  <c r="C489" i="2"/>
  <c r="B489" i="2"/>
  <c r="F488" i="2"/>
  <c r="E488" i="2"/>
  <c r="D488" i="2"/>
  <c r="C488" i="2"/>
  <c r="B488" i="2"/>
  <c r="F487" i="2"/>
  <c r="E487" i="2"/>
  <c r="D487" i="2"/>
  <c r="C487" i="2"/>
  <c r="B487" i="2"/>
  <c r="F486" i="2"/>
  <c r="E486" i="2"/>
  <c r="D486" i="2"/>
  <c r="C486" i="2"/>
  <c r="B486" i="2"/>
  <c r="F485" i="2"/>
  <c r="E485" i="2"/>
  <c r="D485" i="2"/>
  <c r="C485" i="2"/>
  <c r="B485" i="2"/>
  <c r="F484" i="2"/>
  <c r="E484" i="2"/>
  <c r="D484" i="2"/>
  <c r="C484" i="2"/>
  <c r="B484" i="2"/>
  <c r="F483" i="2"/>
  <c r="E483" i="2"/>
  <c r="D483" i="2"/>
  <c r="C483" i="2"/>
  <c r="B483" i="2"/>
  <c r="B478" i="2"/>
  <c r="B477" i="2"/>
  <c r="B476" i="2"/>
  <c r="B475" i="2"/>
  <c r="B474" i="2"/>
  <c r="B473" i="2"/>
  <c r="A469" i="2"/>
  <c r="A468" i="2"/>
  <c r="A467" i="2"/>
  <c r="A466" i="2"/>
  <c r="A465" i="2"/>
  <c r="A464" i="2"/>
  <c r="A463" i="2"/>
  <c r="A462" i="2"/>
  <c r="A461" i="2"/>
  <c r="A460" i="2"/>
  <c r="A459" i="2"/>
  <c r="A458" i="2"/>
  <c r="A457" i="2"/>
  <c r="A456" i="2"/>
  <c r="A455" i="2"/>
  <c r="A454" i="2"/>
  <c r="A453" i="2"/>
  <c r="A452" i="2"/>
  <c r="A451" i="2"/>
  <c r="A450" i="2"/>
  <c r="A449" i="2"/>
  <c r="A448" i="2"/>
  <c r="A447" i="2"/>
  <c r="A446" i="2"/>
  <c r="A445" i="2"/>
  <c r="A444" i="2"/>
  <c r="A443" i="2"/>
  <c r="A442" i="2"/>
  <c r="A441" i="2"/>
  <c r="A440" i="2"/>
  <c r="A439" i="2"/>
  <c r="A438" i="2"/>
  <c r="A437" i="2"/>
  <c r="A436" i="2"/>
  <c r="A435" i="2"/>
  <c r="A434" i="2"/>
  <c r="A433" i="2"/>
  <c r="A432" i="2"/>
  <c r="A431" i="2"/>
  <c r="A430" i="2"/>
  <c r="A429" i="2"/>
  <c r="A428" i="2"/>
  <c r="A427" i="2"/>
  <c r="A426" i="2"/>
  <c r="A425" i="2"/>
  <c r="A424" i="2"/>
  <c r="A423" i="2"/>
  <c r="A422" i="2"/>
  <c r="A421" i="2"/>
  <c r="A420" i="2"/>
  <c r="A419" i="2"/>
  <c r="A418" i="2"/>
  <c r="A417" i="2"/>
  <c r="A416" i="2"/>
  <c r="A415" i="2"/>
  <c r="A414" i="2"/>
  <c r="A413" i="2"/>
  <c r="A412" i="2"/>
  <c r="A411" i="2"/>
  <c r="A410" i="2"/>
  <c r="A409" i="2"/>
  <c r="A408" i="2"/>
  <c r="A407" i="2"/>
  <c r="A406" i="2"/>
  <c r="A405" i="2"/>
  <c r="A404" i="2"/>
  <c r="A403" i="2"/>
  <c r="A402" i="2"/>
  <c r="A401" i="2"/>
  <c r="A400" i="2"/>
  <c r="A399" i="2"/>
  <c r="A398" i="2"/>
  <c r="A397" i="2"/>
  <c r="A396" i="2"/>
  <c r="A395" i="2"/>
  <c r="A394" i="2"/>
  <c r="A393" i="2"/>
  <c r="A392" i="2"/>
  <c r="A391" i="2"/>
  <c r="A390" i="2"/>
  <c r="A389" i="2"/>
  <c r="A388" i="2"/>
  <c r="A387" i="2"/>
  <c r="A386" i="2"/>
  <c r="A385" i="2"/>
  <c r="A384" i="2"/>
  <c r="A383" i="2"/>
  <c r="A382" i="2"/>
  <c r="A381" i="2"/>
  <c r="A380" i="2"/>
  <c r="A379" i="2"/>
  <c r="A378" i="2"/>
  <c r="A377" i="2"/>
  <c r="A376" i="2"/>
  <c r="A375" i="2"/>
  <c r="A374" i="2"/>
  <c r="A373" i="2"/>
  <c r="A372" i="2"/>
  <c r="A371" i="2"/>
  <c r="A370" i="2"/>
  <c r="A369" i="2"/>
  <c r="A368" i="2"/>
  <c r="A367" i="2"/>
  <c r="A366" i="2"/>
  <c r="A365" i="2"/>
  <c r="A364" i="2"/>
  <c r="A363" i="2"/>
  <c r="A362" i="2"/>
  <c r="A361" i="2"/>
  <c r="A360" i="2"/>
  <c r="A359" i="2"/>
  <c r="A358" i="2"/>
  <c r="A357" i="2"/>
  <c r="A356" i="2"/>
  <c r="A355" i="2"/>
  <c r="A354" i="2"/>
  <c r="A353" i="2"/>
  <c r="A352" i="2"/>
  <c r="A351" i="2"/>
  <c r="A350" i="2"/>
  <c r="A349" i="2"/>
  <c r="A348" i="2"/>
  <c r="A347" i="2"/>
  <c r="A346" i="2"/>
  <c r="A345" i="2"/>
  <c r="A344" i="2"/>
  <c r="A343" i="2"/>
  <c r="A342" i="2"/>
  <c r="A341" i="2"/>
  <c r="A340" i="2"/>
  <c r="A339" i="2"/>
  <c r="A338" i="2"/>
  <c r="A337" i="2"/>
  <c r="A336" i="2"/>
  <c r="A335" i="2"/>
  <c r="A334" i="2"/>
  <c r="A333" i="2"/>
  <c r="A332" i="2"/>
  <c r="A331" i="2"/>
  <c r="A330" i="2"/>
  <c r="A329" i="2"/>
  <c r="A328" i="2"/>
  <c r="A327" i="2"/>
  <c r="A326" i="2"/>
  <c r="A325" i="2"/>
  <c r="A324" i="2"/>
  <c r="A323" i="2"/>
  <c r="A322" i="2"/>
  <c r="A321" i="2"/>
  <c r="A320" i="2"/>
  <c r="A319" i="2"/>
  <c r="A318" i="2"/>
  <c r="A317" i="2"/>
  <c r="A316" i="2"/>
  <c r="A315" i="2"/>
  <c r="A314" i="2"/>
  <c r="A313" i="2"/>
  <c r="A312" i="2"/>
  <c r="A311" i="2"/>
  <c r="A310" i="2"/>
  <c r="A309" i="2"/>
  <c r="A308" i="2"/>
  <c r="A307" i="2"/>
  <c r="A306" i="2"/>
  <c r="A305" i="2"/>
  <c r="A304" i="2"/>
  <c r="A303" i="2"/>
  <c r="A302" i="2"/>
  <c r="A301" i="2"/>
  <c r="A300" i="2"/>
  <c r="A299" i="2"/>
  <c r="A298" i="2"/>
  <c r="A297" i="2"/>
  <c r="A296" i="2"/>
  <c r="A295" i="2"/>
  <c r="A294" i="2"/>
  <c r="A293" i="2"/>
  <c r="A292" i="2"/>
  <c r="A291" i="2"/>
  <c r="A290" i="2"/>
  <c r="A289" i="2"/>
  <c r="A288" i="2"/>
  <c r="A287" i="2"/>
  <c r="A286" i="2"/>
  <c r="A285" i="2"/>
  <c r="A284" i="2"/>
  <c r="A283" i="2"/>
  <c r="A282" i="2"/>
  <c r="A281" i="2"/>
  <c r="A280" i="2"/>
  <c r="A279" i="2"/>
  <c r="A278" i="2"/>
  <c r="A277" i="2"/>
  <c r="A276" i="2"/>
  <c r="A275" i="2"/>
  <c r="A274" i="2"/>
  <c r="A273" i="2"/>
  <c r="A272" i="2"/>
  <c r="A271" i="2"/>
  <c r="A270" i="2"/>
  <c r="E145" i="2"/>
  <c r="D145" i="2"/>
  <c r="C145" i="2"/>
  <c r="B145" i="2"/>
  <c r="E144" i="2"/>
  <c r="D144" i="2"/>
  <c r="C144" i="2"/>
  <c r="B144" i="2"/>
  <c r="E143" i="2"/>
  <c r="D143" i="2"/>
  <c r="C143" i="2"/>
  <c r="B143" i="2"/>
  <c r="D138" i="2"/>
  <c r="C138" i="2"/>
  <c r="B138" i="2"/>
  <c r="D137" i="2"/>
  <c r="C137" i="2"/>
  <c r="B137" i="2"/>
  <c r="D136" i="2"/>
  <c r="C136" i="2"/>
  <c r="B136" i="2"/>
  <c r="D135" i="2"/>
  <c r="C135" i="2"/>
  <c r="B135" i="2"/>
  <c r="D134" i="2"/>
  <c r="C134" i="2"/>
  <c r="B134" i="2"/>
  <c r="D133" i="2"/>
  <c r="C133" i="2"/>
  <c r="B133" i="2"/>
  <c r="D132" i="2"/>
  <c r="C132" i="2"/>
  <c r="B132" i="2"/>
  <c r="D131" i="2"/>
  <c r="C131" i="2"/>
  <c r="B131" i="2"/>
  <c r="D130" i="2"/>
  <c r="C130" i="2"/>
  <c r="B130" i="2"/>
  <c r="D129" i="2"/>
  <c r="C129" i="2"/>
  <c r="B129" i="2"/>
  <c r="D128" i="2"/>
  <c r="C128" i="2"/>
  <c r="B128" i="2"/>
  <c r="D127" i="2"/>
  <c r="C127" i="2"/>
  <c r="B127" i="2"/>
  <c r="C73" i="2"/>
  <c r="C72" i="2"/>
  <c r="C71" i="2"/>
  <c r="C70" i="2"/>
  <c r="S27" i="2"/>
  <c r="R27" i="2"/>
  <c r="Q27" i="2"/>
  <c r="D113" i="14" s="1"/>
  <c r="P27" i="2"/>
  <c r="C113" i="14" s="1"/>
  <c r="O27" i="2"/>
  <c r="B113" i="14" s="1"/>
  <c r="S26" i="2"/>
  <c r="R26" i="2"/>
  <c r="Q26" i="2"/>
  <c r="D112" i="14" s="1"/>
  <c r="P26" i="2"/>
  <c r="C112" i="14" s="1"/>
  <c r="O26" i="2"/>
  <c r="B112" i="14" s="1"/>
  <c r="S25" i="2"/>
  <c r="R25" i="2"/>
  <c r="Q25" i="2"/>
  <c r="D111" i="14" s="1"/>
  <c r="P25" i="2"/>
  <c r="C111" i="14" s="1"/>
  <c r="O25" i="2"/>
  <c r="B111" i="14" s="1"/>
  <c r="S24" i="2"/>
  <c r="R24" i="2"/>
  <c r="Q24" i="2"/>
  <c r="D110" i="14" s="1"/>
  <c r="P24" i="2"/>
  <c r="C110" i="14" s="1"/>
  <c r="O24" i="2"/>
  <c r="B110" i="14" s="1"/>
  <c r="S23" i="2"/>
  <c r="R23" i="2"/>
  <c r="Q23" i="2"/>
  <c r="D109" i="14" s="1"/>
  <c r="P23" i="2"/>
  <c r="C109" i="14" s="1"/>
  <c r="O23" i="2"/>
  <c r="B109" i="14" s="1"/>
  <c r="S22" i="2"/>
  <c r="R22" i="2"/>
  <c r="Q22" i="2"/>
  <c r="D108" i="14" s="1"/>
  <c r="P22" i="2"/>
  <c r="C108" i="14" s="1"/>
  <c r="O22" i="2"/>
  <c r="B108" i="14" s="1"/>
  <c r="S21" i="2"/>
  <c r="R21" i="2"/>
  <c r="Q21" i="2"/>
  <c r="D107" i="14" s="1"/>
  <c r="P21" i="2"/>
  <c r="C107" i="14" s="1"/>
  <c r="O21" i="2"/>
  <c r="B107" i="14" s="1"/>
  <c r="S20" i="2"/>
  <c r="R20" i="2"/>
  <c r="Q20" i="2"/>
  <c r="D106" i="14" s="1"/>
  <c r="P20" i="2"/>
  <c r="C106" i="14" s="1"/>
  <c r="O20" i="2"/>
  <c r="B106" i="14" s="1"/>
  <c r="S19" i="2"/>
  <c r="R19" i="2"/>
  <c r="Q19" i="2"/>
  <c r="D105" i="14" s="1"/>
  <c r="P19" i="2"/>
  <c r="C105" i="14" s="1"/>
  <c r="O19" i="2"/>
  <c r="B105" i="14" s="1"/>
  <c r="S18" i="2"/>
  <c r="R18" i="2"/>
  <c r="Q18" i="2"/>
  <c r="D104" i="14" s="1"/>
  <c r="P18" i="2"/>
  <c r="C104" i="14" s="1"/>
  <c r="O18" i="2"/>
  <c r="B104" i="14" s="1"/>
  <c r="S17" i="2"/>
  <c r="R17" i="2"/>
  <c r="Q17" i="2"/>
  <c r="D103" i="14" s="1"/>
  <c r="P17" i="2"/>
  <c r="C103" i="14" s="1"/>
  <c r="O17" i="2"/>
  <c r="B103" i="14" s="1"/>
  <c r="S16" i="2"/>
  <c r="R16" i="2"/>
  <c r="Q16" i="2"/>
  <c r="D102" i="14" s="1"/>
  <c r="P16" i="2"/>
  <c r="C102" i="14" s="1"/>
  <c r="O16" i="2"/>
  <c r="B102" i="14" s="1"/>
  <c r="S15" i="2"/>
  <c r="R15" i="2"/>
  <c r="Q15" i="2"/>
  <c r="D101" i="14" s="1"/>
  <c r="P15" i="2"/>
  <c r="C101" i="14" s="1"/>
  <c r="O15" i="2"/>
  <c r="B101" i="14" s="1"/>
  <c r="S14" i="2"/>
  <c r="R14" i="2"/>
  <c r="Q14" i="2"/>
  <c r="D100" i="14" s="1"/>
  <c r="P14" i="2"/>
  <c r="C100" i="14" s="1"/>
  <c r="O14" i="2"/>
  <c r="B100" i="14" s="1"/>
  <c r="S13" i="2"/>
  <c r="R13" i="2"/>
  <c r="Q13" i="2"/>
  <c r="D99" i="14" s="1"/>
  <c r="P13" i="2"/>
  <c r="C99" i="14" s="1"/>
  <c r="O13" i="2"/>
  <c r="B99" i="14" s="1"/>
  <c r="S12" i="2"/>
  <c r="R12" i="2"/>
  <c r="Q12" i="2"/>
  <c r="D98" i="14" s="1"/>
  <c r="P12" i="2"/>
  <c r="C98" i="14" s="1"/>
  <c r="O12" i="2"/>
  <c r="B98" i="14" s="1"/>
  <c r="O8" i="2"/>
  <c r="O7" i="2"/>
  <c r="O6" i="2"/>
  <c r="M6" i="2"/>
  <c r="O5" i="2"/>
  <c r="M5" i="2"/>
  <c r="O4" i="2"/>
  <c r="M4" i="2"/>
  <c r="O3" i="2"/>
  <c r="M3" i="2"/>
  <c r="O2" i="2"/>
  <c r="M2" i="2"/>
  <c r="B748" i="1"/>
  <c r="B747" i="1"/>
  <c r="B746" i="1"/>
  <c r="B745" i="1"/>
  <c r="B744" i="1"/>
  <c r="B743" i="1"/>
  <c r="B742" i="1"/>
  <c r="B741" i="1"/>
  <c r="B740" i="1"/>
  <c r="B739" i="1"/>
  <c r="B121" i="14"/>
  <c r="B120" i="14"/>
  <c r="B119" i="14"/>
  <c r="B116" i="14"/>
  <c r="B115" i="14"/>
  <c r="I94" i="14"/>
  <c r="G94" i="14"/>
  <c r="E94" i="14"/>
  <c r="C94" i="14"/>
  <c r="A94" i="14"/>
  <c r="BE13" i="14"/>
  <c r="BE12" i="14"/>
  <c r="BE11" i="14"/>
  <c r="AX11" i="14"/>
  <c r="N11" i="14"/>
  <c r="BE10" i="14"/>
  <c r="AX10" i="14"/>
  <c r="BE9" i="14"/>
  <c r="AX9" i="14"/>
  <c r="BE8" i="14"/>
  <c r="AX8" i="14"/>
  <c r="BE7" i="14"/>
  <c r="AX7" i="14"/>
  <c r="BO6" i="14"/>
  <c r="BI6" i="14"/>
  <c r="BE6" i="14"/>
  <c r="AX6" i="14"/>
  <c r="BO5" i="14"/>
  <c r="BI5" i="14"/>
  <c r="BE5" i="14"/>
  <c r="AX5" i="14"/>
  <c r="BO4" i="14"/>
  <c r="BI4" i="14"/>
  <c r="BE4" i="14"/>
  <c r="AX4" i="14"/>
  <c r="BO3" i="14"/>
  <c r="BL3" i="14"/>
  <c r="BI3" i="14"/>
  <c r="BE3" i="14"/>
  <c r="AX3" i="14"/>
  <c r="AY3" i="14"/>
  <c r="BP3" i="14"/>
  <c r="BM3" i="14"/>
  <c r="BJ3" i="14"/>
  <c r="BG3" i="14"/>
  <c r="BF3" i="14"/>
  <c r="B8" i="11" l="1"/>
  <c r="AU5" i="14"/>
  <c r="AG7" i="14"/>
  <c r="BG8" i="14" s="1"/>
  <c r="BB6" i="14"/>
  <c r="AJ4" i="14"/>
  <c r="BJ5" i="14" s="1"/>
  <c r="AU8" i="14"/>
  <c r="V11" i="14"/>
  <c r="B16" i="14" s="1"/>
  <c r="J8" i="12"/>
  <c r="J248" i="13" s="1"/>
  <c r="AF5" i="14"/>
  <c r="BF6" i="14" s="1"/>
  <c r="AG10" i="14"/>
  <c r="BG11" i="14" s="1"/>
  <c r="BB11" i="14"/>
  <c r="AV5" i="14"/>
  <c r="AF3" i="14"/>
  <c r="BF4" i="14" s="1"/>
  <c r="AG6" i="14"/>
  <c r="BG7" i="14" s="1"/>
  <c r="AG9" i="14"/>
  <c r="BG10" i="14" s="1"/>
  <c r="BB13" i="14"/>
  <c r="AU3" i="14"/>
  <c r="BB4" i="14"/>
  <c r="AW6" i="14"/>
  <c r="BA12" i="14"/>
  <c r="R11" i="14"/>
  <c r="AE37" i="14" s="1"/>
  <c r="AF10" i="14"/>
  <c r="BF11" i="14" s="1"/>
  <c r="R54" i="14"/>
  <c r="AB38" i="14" s="1"/>
  <c r="AG12" i="14"/>
  <c r="BG13" i="14" s="1"/>
  <c r="F8" i="4"/>
  <c r="AV9" i="14"/>
  <c r="B57" i="14"/>
  <c r="AB39" i="14" s="1"/>
  <c r="AW7" i="14"/>
  <c r="AS6" i="14"/>
  <c r="AY7" i="14" s="1"/>
  <c r="AW10" i="14"/>
  <c r="AS8" i="14"/>
  <c r="AY9" i="14" s="1"/>
  <c r="H8" i="3"/>
  <c r="AS4" i="14"/>
  <c r="AY5" i="14" s="1"/>
  <c r="BA3" i="14"/>
  <c r="AV4" i="14"/>
  <c r="AS10" i="14"/>
  <c r="AY11" i="14" s="1"/>
  <c r="AV11" i="14"/>
  <c r="AW8" i="14"/>
  <c r="N16" i="14"/>
  <c r="R16" i="14"/>
  <c r="AJ3" i="14"/>
  <c r="BJ4" i="14" s="1"/>
  <c r="AG5" i="14"/>
  <c r="BG6" i="14" s="1"/>
  <c r="AV6" i="14"/>
  <c r="AS7" i="14"/>
  <c r="AY8" i="14" s="1"/>
  <c r="BB7" i="14"/>
  <c r="BB10" i="14"/>
  <c r="BB12" i="14"/>
  <c r="V16" i="14"/>
  <c r="AS3" i="14"/>
  <c r="AY4" i="14" s="1"/>
  <c r="AG4" i="14"/>
  <c r="BG5" i="14" s="1"/>
  <c r="AW4" i="14"/>
  <c r="AJ5" i="14"/>
  <c r="BJ6" i="14" s="1"/>
  <c r="BB5" i="14"/>
  <c r="AF6" i="14"/>
  <c r="BF7" i="14" s="1"/>
  <c r="AV7" i="14"/>
  <c r="BA8" i="14"/>
  <c r="BA9" i="14"/>
  <c r="AV10" i="14"/>
  <c r="D8" i="3"/>
  <c r="A8" i="4"/>
  <c r="E34" i="13" s="1"/>
  <c r="C29" i="9"/>
  <c r="AG3" i="14"/>
  <c r="BG4" i="14" s="1"/>
  <c r="AV3" i="14"/>
  <c r="BB3" i="14"/>
  <c r="AF8" i="14"/>
  <c r="BF9" i="14" s="1"/>
  <c r="AV8" i="14"/>
  <c r="BB8" i="14"/>
  <c r="AU9" i="14"/>
  <c r="BB9" i="14"/>
  <c r="J11" i="14"/>
  <c r="AF11" i="14"/>
  <c r="BF12" i="14" s="1"/>
  <c r="AF12" i="14"/>
  <c r="BF13" i="14" s="1"/>
  <c r="E8" i="4"/>
  <c r="AS11" i="14"/>
  <c r="K16" i="9"/>
  <c r="G8" i="9"/>
  <c r="J59" i="13" s="1"/>
  <c r="AW3" i="14"/>
  <c r="AF4" i="14"/>
  <c r="BF5" i="14" s="1"/>
  <c r="AU4" i="14"/>
  <c r="BA4" i="14"/>
  <c r="AP5" i="14"/>
  <c r="BP6" i="14" s="1"/>
  <c r="BA5" i="14"/>
  <c r="AU6" i="14"/>
  <c r="BA6" i="14"/>
  <c r="BC6" i="14" s="1"/>
  <c r="AU7" i="14"/>
  <c r="BA7" i="14"/>
  <c r="AG8" i="14"/>
  <c r="BG9" i="14" s="1"/>
  <c r="AU10" i="14"/>
  <c r="BA10" i="14"/>
  <c r="AG11" i="14"/>
  <c r="BG12" i="14" s="1"/>
  <c r="BA11" i="14"/>
  <c r="BC11" i="14" s="1"/>
  <c r="BA13" i="14"/>
  <c r="BC13" i="14" s="1"/>
  <c r="B53" i="10"/>
  <c r="AF7" i="14"/>
  <c r="BF8" i="14" s="1"/>
  <c r="AF9" i="14"/>
  <c r="BF10" i="14" s="1"/>
  <c r="AU11" i="14"/>
  <c r="J57" i="14"/>
  <c r="AB40" i="14" s="1"/>
  <c r="AT4" i="14"/>
  <c r="AT8" i="14"/>
  <c r="B8" i="5"/>
  <c r="K12" i="9"/>
  <c r="K13" i="9"/>
  <c r="K14" i="9"/>
  <c r="K15" i="9"/>
  <c r="B45" i="10"/>
  <c r="B51" i="10"/>
  <c r="B112" i="10"/>
  <c r="AT3" i="14"/>
  <c r="F8" i="5"/>
  <c r="C34" i="9"/>
  <c r="E8" i="9"/>
  <c r="B8" i="9"/>
  <c r="C8" i="9" s="1"/>
  <c r="F8" i="9"/>
  <c r="J58" i="13" s="1"/>
  <c r="B108" i="10"/>
  <c r="A8" i="11"/>
  <c r="AT6" i="14"/>
  <c r="I8" i="3"/>
  <c r="E13" i="3"/>
  <c r="B110" i="10"/>
  <c r="AT5" i="14"/>
  <c r="AT9" i="14"/>
  <c r="F11" i="14"/>
  <c r="AT11" i="14"/>
  <c r="J16" i="14"/>
  <c r="D8" i="4"/>
  <c r="J8" i="4"/>
  <c r="G8" i="4"/>
  <c r="C31" i="9"/>
  <c r="B47" i="10"/>
  <c r="B104" i="10"/>
  <c r="K8" i="12"/>
  <c r="J249" i="13" s="1"/>
  <c r="AT7" i="14"/>
  <c r="K8" i="3"/>
  <c r="A8" i="8"/>
  <c r="G8" i="8"/>
  <c r="B8" i="8"/>
  <c r="F8" i="8" s="1"/>
  <c r="J276" i="13" s="1"/>
  <c r="C33" i="9"/>
  <c r="C8" i="10"/>
  <c r="B49" i="10"/>
  <c r="B106" i="10"/>
  <c r="B114" i="10"/>
  <c r="C114" i="10"/>
  <c r="D8" i="12"/>
  <c r="AP3" i="14"/>
  <c r="BP4" i="14" s="1"/>
  <c r="AP4" i="14"/>
  <c r="BP5" i="14" s="1"/>
  <c r="AS5" i="14"/>
  <c r="AY6" i="14" s="1"/>
  <c r="AW5" i="14"/>
  <c r="AS9" i="14"/>
  <c r="AY10" i="14" s="1"/>
  <c r="AW9" i="14"/>
  <c r="AT10" i="14"/>
  <c r="B11" i="14"/>
  <c r="AW11" i="14"/>
  <c r="O2" i="3"/>
  <c r="L8" i="3"/>
  <c r="B8" i="4"/>
  <c r="C8" i="5"/>
  <c r="C27" i="9"/>
  <c r="J286" i="13"/>
  <c r="K19" i="10"/>
  <c r="B54" i="10"/>
  <c r="B115" i="10"/>
  <c r="K8" i="11"/>
  <c r="J221" i="13" s="1"/>
  <c r="K12" i="11"/>
  <c r="K13" i="11"/>
  <c r="H8" i="12"/>
  <c r="J246" i="13" s="1"/>
  <c r="B8" i="3"/>
  <c r="F8" i="3"/>
  <c r="E12" i="3"/>
  <c r="D8" i="5"/>
  <c r="H8" i="8"/>
  <c r="E24" i="8"/>
  <c r="H24" i="8" s="1"/>
  <c r="T72" i="8"/>
  <c r="T74" i="8"/>
  <c r="T76" i="8"/>
  <c r="T78" i="8"/>
  <c r="T80" i="8"/>
  <c r="T82" i="8"/>
  <c r="T84" i="8"/>
  <c r="T86" i="8"/>
  <c r="T88" i="8"/>
  <c r="T90" i="8"/>
  <c r="T92" i="8"/>
  <c r="T94" i="8"/>
  <c r="T96" i="8"/>
  <c r="T98" i="8"/>
  <c r="T100" i="8"/>
  <c r="T102" i="8"/>
  <c r="T104" i="8"/>
  <c r="T106" i="8"/>
  <c r="T108" i="8"/>
  <c r="T110" i="8"/>
  <c r="C25" i="9"/>
  <c r="B27" i="9"/>
  <c r="B29" i="9"/>
  <c r="B31" i="9"/>
  <c r="B33" i="9"/>
  <c r="J57" i="13"/>
  <c r="B8" i="10"/>
  <c r="G8" i="10"/>
  <c r="K12" i="10"/>
  <c r="K13" i="10"/>
  <c r="K14" i="10"/>
  <c r="K15" i="10"/>
  <c r="K16" i="10"/>
  <c r="K17" i="10"/>
  <c r="K18" i="10"/>
  <c r="C46" i="10"/>
  <c r="C48" i="10"/>
  <c r="C50" i="10"/>
  <c r="C52" i="10"/>
  <c r="C54" i="10"/>
  <c r="C105" i="10"/>
  <c r="C107" i="10"/>
  <c r="C109" i="10"/>
  <c r="C111" i="10"/>
  <c r="C113" i="10"/>
  <c r="C115" i="10"/>
  <c r="G8" i="12"/>
  <c r="J245" i="13" s="1"/>
  <c r="C8" i="3"/>
  <c r="G8" i="3"/>
  <c r="C8" i="4"/>
  <c r="A8" i="5"/>
  <c r="E8" i="5"/>
  <c r="T71" i="8"/>
  <c r="T73" i="8"/>
  <c r="T75" i="8"/>
  <c r="T77" i="8"/>
  <c r="T79" i="8"/>
  <c r="T81" i="8"/>
  <c r="T83" i="8"/>
  <c r="T85" i="8"/>
  <c r="T87" i="8"/>
  <c r="T89" i="8"/>
  <c r="T91" i="8"/>
  <c r="T93" i="8"/>
  <c r="T95" i="8"/>
  <c r="T97" i="8"/>
  <c r="T99" i="8"/>
  <c r="T101" i="8"/>
  <c r="T103" i="8"/>
  <c r="T105" i="8"/>
  <c r="T107" i="8"/>
  <c r="T109" i="8"/>
  <c r="B26" i="9"/>
  <c r="B28" i="9"/>
  <c r="B30" i="9"/>
  <c r="B32" i="9"/>
  <c r="B34" i="9"/>
  <c r="K20" i="10"/>
  <c r="C45" i="10"/>
  <c r="C47" i="10"/>
  <c r="C49" i="10"/>
  <c r="C51" i="10"/>
  <c r="C53" i="10"/>
  <c r="C104" i="10"/>
  <c r="C106" i="10"/>
  <c r="C108" i="10"/>
  <c r="C110" i="10"/>
  <c r="C112" i="10"/>
  <c r="A8" i="12"/>
  <c r="J239" i="13" s="1"/>
  <c r="E8" i="12"/>
  <c r="A8" i="3"/>
  <c r="E35" i="13" s="1"/>
  <c r="E8" i="3"/>
  <c r="B25" i="9"/>
  <c r="C26" i="9"/>
  <c r="C28" i="9"/>
  <c r="C30" i="9"/>
  <c r="C32" i="9"/>
  <c r="A8" i="10"/>
  <c r="H8" i="10" s="1"/>
  <c r="B46" i="10"/>
  <c r="B48" i="10"/>
  <c r="B50" i="10"/>
  <c r="B52" i="10"/>
  <c r="B105" i="10"/>
  <c r="B107" i="10"/>
  <c r="B109" i="10"/>
  <c r="B111" i="10"/>
  <c r="B113" i="10"/>
  <c r="F8" i="12"/>
  <c r="J244" i="13" s="1"/>
  <c r="AE36" i="14"/>
  <c r="C206" i="13"/>
  <c r="B206" i="13"/>
  <c r="J202" i="13"/>
  <c r="J201" i="13"/>
  <c r="J200" i="13"/>
  <c r="J199" i="13"/>
  <c r="J198" i="13"/>
  <c r="J197" i="13"/>
  <c r="J203" i="13" s="1"/>
  <c r="J14" i="13"/>
  <c r="BX56" i="3"/>
  <c r="BW56" i="3"/>
  <c r="BX57" i="3"/>
  <c r="BW57" i="3"/>
  <c r="BX58" i="3"/>
  <c r="BW58" i="3"/>
  <c r="BX59" i="3"/>
  <c r="BW59" i="3"/>
  <c r="BX60" i="3"/>
  <c r="BW60" i="3"/>
  <c r="BX61" i="3"/>
  <c r="BW61" i="3"/>
  <c r="BX62" i="3"/>
  <c r="BW62" i="3"/>
  <c r="BX63" i="3"/>
  <c r="BW63" i="3"/>
  <c r="BX64" i="3"/>
  <c r="BW64" i="3"/>
  <c r="BX65" i="3"/>
  <c r="BW65" i="3"/>
  <c r="BX66" i="3"/>
  <c r="BW66" i="3"/>
  <c r="BX67" i="3"/>
  <c r="BW67" i="3"/>
  <c r="BX68" i="3"/>
  <c r="BW68" i="3"/>
  <c r="BX69" i="3"/>
  <c r="BW69" i="3"/>
  <c r="BX70" i="3"/>
  <c r="BW70" i="3"/>
  <c r="BX71" i="3"/>
  <c r="BW71" i="3"/>
  <c r="BX72" i="3"/>
  <c r="BW72" i="3"/>
  <c r="BX73" i="3"/>
  <c r="BW73" i="3"/>
  <c r="BX74" i="3"/>
  <c r="BW74" i="3"/>
  <c r="BX75" i="3"/>
  <c r="BW75" i="3"/>
  <c r="BX76" i="3"/>
  <c r="BW76" i="3"/>
  <c r="BX77" i="3"/>
  <c r="BW77" i="3"/>
  <c r="BX78" i="3"/>
  <c r="BW78" i="3"/>
  <c r="BX79" i="3"/>
  <c r="BW79" i="3"/>
  <c r="BX80" i="3"/>
  <c r="BW80" i="3"/>
  <c r="BX81" i="3"/>
  <c r="BW81" i="3"/>
  <c r="BX82" i="3"/>
  <c r="BW82" i="3"/>
  <c r="BX83" i="3"/>
  <c r="BW83" i="3"/>
  <c r="BX84" i="3"/>
  <c r="BW84" i="3"/>
  <c r="BX85" i="3"/>
  <c r="BW85" i="3"/>
  <c r="BX86" i="3"/>
  <c r="BW86" i="3"/>
  <c r="BX87" i="3"/>
  <c r="BW87" i="3"/>
  <c r="BX88" i="3"/>
  <c r="BW88" i="3"/>
  <c r="BX89" i="3"/>
  <c r="BW89" i="3"/>
  <c r="BX90" i="3"/>
  <c r="BW90" i="3"/>
  <c r="BX91" i="3"/>
  <c r="BW91" i="3"/>
  <c r="BX92" i="3"/>
  <c r="BW92" i="3"/>
  <c r="BX93" i="3"/>
  <c r="BW93" i="3"/>
  <c r="BX94" i="3"/>
  <c r="BW94" i="3"/>
  <c r="BX95" i="3"/>
  <c r="BW95" i="3"/>
  <c r="BX96" i="3"/>
  <c r="BW96" i="3"/>
  <c r="BX97" i="3"/>
  <c r="BW97" i="3"/>
  <c r="BX98" i="3"/>
  <c r="BW98" i="3"/>
  <c r="BX99" i="3"/>
  <c r="BW99" i="3"/>
  <c r="BX100" i="3"/>
  <c r="BW100" i="3"/>
  <c r="BX101" i="3"/>
  <c r="BW101" i="3"/>
  <c r="BX102" i="3"/>
  <c r="BW102" i="3"/>
  <c r="BX103" i="3"/>
  <c r="BW103" i="3"/>
  <c r="BX104" i="3"/>
  <c r="BW104" i="3"/>
  <c r="BX105" i="3"/>
  <c r="BW105" i="3"/>
  <c r="BX106" i="3"/>
  <c r="BW106" i="3"/>
  <c r="BX107" i="3"/>
  <c r="BW107" i="3"/>
  <c r="BX108" i="3"/>
  <c r="BW108" i="3"/>
  <c r="BX109" i="3"/>
  <c r="BW109" i="3"/>
  <c r="BX110" i="3"/>
  <c r="BW110" i="3"/>
  <c r="BX111" i="3"/>
  <c r="BW111" i="3"/>
  <c r="BX112" i="3"/>
  <c r="BW112" i="3"/>
  <c r="BX113" i="3"/>
  <c r="BW113" i="3"/>
  <c r="BX114" i="3"/>
  <c r="BW114" i="3"/>
  <c r="BX115" i="3"/>
  <c r="BW115" i="3"/>
  <c r="J281" i="13"/>
  <c r="F181" i="13"/>
  <c r="F180" i="13"/>
  <c r="F179" i="13"/>
  <c r="F178" i="13"/>
  <c r="F174" i="13"/>
  <c r="F173" i="13"/>
  <c r="F171" i="13"/>
  <c r="F169" i="13"/>
  <c r="F168" i="13"/>
  <c r="F167" i="13"/>
  <c r="F166" i="13"/>
  <c r="F164" i="13"/>
  <c r="F163" i="13"/>
  <c r="F162" i="13"/>
  <c r="F161" i="13"/>
  <c r="A119" i="13"/>
  <c r="J12" i="13"/>
  <c r="J11" i="13"/>
  <c r="A12" i="12"/>
  <c r="D138" i="11"/>
  <c r="D136" i="11"/>
  <c r="D134" i="11"/>
  <c r="D132" i="11"/>
  <c r="D130" i="11"/>
  <c r="D128" i="11"/>
  <c r="D126" i="11"/>
  <c r="D124" i="11"/>
  <c r="D122" i="11"/>
  <c r="D120" i="11"/>
  <c r="D118" i="11"/>
  <c r="D116" i="11"/>
  <c r="D114" i="11"/>
  <c r="D110" i="11"/>
  <c r="D108" i="11"/>
  <c r="D106" i="11"/>
  <c r="D104" i="11"/>
  <c r="D102" i="11"/>
  <c r="D100" i="11"/>
  <c r="D98" i="11"/>
  <c r="D96" i="11"/>
  <c r="D94" i="11"/>
  <c r="D92" i="11"/>
  <c r="D90" i="11"/>
  <c r="D88" i="11"/>
  <c r="D86" i="11"/>
  <c r="D84" i="11"/>
  <c r="D82" i="11"/>
  <c r="D80" i="11"/>
  <c r="H119" i="10"/>
  <c r="G119" i="10"/>
  <c r="F256" i="13" s="1"/>
  <c r="F119" i="10"/>
  <c r="A58" i="10"/>
  <c r="A135" i="9"/>
  <c r="K88" i="9"/>
  <c r="J88" i="9"/>
  <c r="I88" i="9"/>
  <c r="K87" i="9"/>
  <c r="J87" i="9"/>
  <c r="I87" i="9"/>
  <c r="K86" i="9"/>
  <c r="J86" i="9"/>
  <c r="I86" i="9"/>
  <c r="K85" i="9"/>
  <c r="J85" i="9"/>
  <c r="I85" i="9"/>
  <c r="K84" i="9"/>
  <c r="J84" i="9"/>
  <c r="I84" i="9"/>
  <c r="K83" i="9"/>
  <c r="J83" i="9"/>
  <c r="I83" i="9"/>
  <c r="K82" i="9"/>
  <c r="J82" i="9"/>
  <c r="I82" i="9"/>
  <c r="K81" i="9"/>
  <c r="J81" i="9"/>
  <c r="I81" i="9"/>
  <c r="K80" i="9"/>
  <c r="J80" i="9"/>
  <c r="I80" i="9"/>
  <c r="K79" i="9"/>
  <c r="J79" i="9"/>
  <c r="I79" i="9"/>
  <c r="K78" i="9"/>
  <c r="J78" i="9"/>
  <c r="I78" i="9"/>
  <c r="K77" i="9"/>
  <c r="J77" i="9"/>
  <c r="I77" i="9"/>
  <c r="K76" i="9"/>
  <c r="J76" i="9"/>
  <c r="I76" i="9"/>
  <c r="K75" i="9"/>
  <c r="J75" i="9"/>
  <c r="I75" i="9"/>
  <c r="K74" i="9"/>
  <c r="J74" i="9"/>
  <c r="I74" i="9"/>
  <c r="K73" i="9"/>
  <c r="J73" i="9"/>
  <c r="I73" i="9"/>
  <c r="K72" i="9"/>
  <c r="J72" i="9"/>
  <c r="I72" i="9"/>
  <c r="K71" i="9"/>
  <c r="J71" i="9"/>
  <c r="I71" i="9"/>
  <c r="K70" i="9"/>
  <c r="J70" i="9"/>
  <c r="I70" i="9"/>
  <c r="K69" i="9"/>
  <c r="J69" i="9"/>
  <c r="I69" i="9"/>
  <c r="K68" i="9"/>
  <c r="J68" i="9"/>
  <c r="I68" i="9"/>
  <c r="K67" i="9"/>
  <c r="J67" i="9"/>
  <c r="I67" i="9"/>
  <c r="K66" i="9"/>
  <c r="J66" i="9"/>
  <c r="I66" i="9"/>
  <c r="K65" i="9"/>
  <c r="J65" i="9"/>
  <c r="I65" i="9"/>
  <c r="K64" i="9"/>
  <c r="J64" i="9"/>
  <c r="I64" i="9"/>
  <c r="K63" i="9"/>
  <c r="J63" i="9"/>
  <c r="I63" i="9"/>
  <c r="K62" i="9"/>
  <c r="J62" i="9"/>
  <c r="I62" i="9"/>
  <c r="K61" i="9"/>
  <c r="J61" i="9"/>
  <c r="I61" i="9"/>
  <c r="K60" i="9"/>
  <c r="J60" i="9"/>
  <c r="I60" i="9"/>
  <c r="K59" i="9"/>
  <c r="J59" i="9"/>
  <c r="I59" i="9"/>
  <c r="K58" i="9"/>
  <c r="J58" i="9"/>
  <c r="I58" i="9"/>
  <c r="K57" i="9"/>
  <c r="J57" i="9"/>
  <c r="I57" i="9"/>
  <c r="K56" i="9"/>
  <c r="J56" i="9"/>
  <c r="I56" i="9"/>
  <c r="K55" i="9"/>
  <c r="J55" i="9"/>
  <c r="I55" i="9"/>
  <c r="K54" i="9"/>
  <c r="J54" i="9"/>
  <c r="I54" i="9"/>
  <c r="K53" i="9"/>
  <c r="J53" i="9"/>
  <c r="I53" i="9"/>
  <c r="K52" i="9"/>
  <c r="J52" i="9"/>
  <c r="I52" i="9"/>
  <c r="K51" i="9"/>
  <c r="J51" i="9"/>
  <c r="I51" i="9"/>
  <c r="K50" i="9"/>
  <c r="J50" i="9"/>
  <c r="I50" i="9"/>
  <c r="K49" i="9"/>
  <c r="J49" i="9"/>
  <c r="I49" i="9"/>
  <c r="K48" i="9"/>
  <c r="J48" i="9"/>
  <c r="I48" i="9"/>
  <c r="K47" i="9"/>
  <c r="J47" i="9"/>
  <c r="I47" i="9"/>
  <c r="K46" i="9"/>
  <c r="J46" i="9"/>
  <c r="I46" i="9"/>
  <c r="K45" i="9"/>
  <c r="J45" i="9"/>
  <c r="I45" i="9"/>
  <c r="K44" i="9"/>
  <c r="J44" i="9"/>
  <c r="I44" i="9"/>
  <c r="K43" i="9"/>
  <c r="J43" i="9"/>
  <c r="I43" i="9"/>
  <c r="K42" i="9"/>
  <c r="J42" i="9"/>
  <c r="I42" i="9"/>
  <c r="K41" i="9"/>
  <c r="J41" i="9"/>
  <c r="I41" i="9"/>
  <c r="K40" i="9"/>
  <c r="J40" i="9"/>
  <c r="I40" i="9"/>
  <c r="K39" i="9"/>
  <c r="J39" i="9"/>
  <c r="I39" i="9"/>
  <c r="A114" i="8"/>
  <c r="K67" i="8"/>
  <c r="J67" i="8"/>
  <c r="I67" i="8"/>
  <c r="K66" i="8"/>
  <c r="J66" i="8"/>
  <c r="I66" i="8"/>
  <c r="K65" i="8"/>
  <c r="J65" i="8"/>
  <c r="I65" i="8"/>
  <c r="K64" i="8"/>
  <c r="J64" i="8"/>
  <c r="I64" i="8"/>
  <c r="K63" i="8"/>
  <c r="J63" i="8"/>
  <c r="I63" i="8"/>
  <c r="K62" i="8"/>
  <c r="J62" i="8"/>
  <c r="I62" i="8"/>
  <c r="K61" i="8"/>
  <c r="J61" i="8"/>
  <c r="I61" i="8"/>
  <c r="K60" i="8"/>
  <c r="J60" i="8"/>
  <c r="I60" i="8"/>
  <c r="K59" i="8"/>
  <c r="J59" i="8"/>
  <c r="I59" i="8"/>
  <c r="K58" i="8"/>
  <c r="J58" i="8"/>
  <c r="I58" i="8"/>
  <c r="K57" i="8"/>
  <c r="J57" i="8"/>
  <c r="I57" i="8"/>
  <c r="K56" i="8"/>
  <c r="J56" i="8"/>
  <c r="I56" i="8"/>
  <c r="K55" i="8"/>
  <c r="J55" i="8"/>
  <c r="I55" i="8"/>
  <c r="K54" i="8"/>
  <c r="J54" i="8"/>
  <c r="I54" i="8"/>
  <c r="K53" i="8"/>
  <c r="J53" i="8"/>
  <c r="I53" i="8"/>
  <c r="K52" i="8"/>
  <c r="J52" i="8"/>
  <c r="I52" i="8"/>
  <c r="K51" i="8"/>
  <c r="J51" i="8"/>
  <c r="I51" i="8"/>
  <c r="K50" i="8"/>
  <c r="J50" i="8"/>
  <c r="I50" i="8"/>
  <c r="K49" i="8"/>
  <c r="J49" i="8"/>
  <c r="I49" i="8"/>
  <c r="K48" i="8"/>
  <c r="J48" i="8"/>
  <c r="I48" i="8"/>
  <c r="K47" i="8"/>
  <c r="J47" i="8"/>
  <c r="I47" i="8"/>
  <c r="K46" i="8"/>
  <c r="J46" i="8"/>
  <c r="I46" i="8"/>
  <c r="K45" i="8"/>
  <c r="J45" i="8"/>
  <c r="I45" i="8"/>
  <c r="K44" i="8"/>
  <c r="J44" i="8"/>
  <c r="I44" i="8"/>
  <c r="K43" i="8"/>
  <c r="J43" i="8"/>
  <c r="I43" i="8"/>
  <c r="K42" i="8"/>
  <c r="J42" i="8"/>
  <c r="I42" i="8"/>
  <c r="K41" i="8"/>
  <c r="J41" i="8"/>
  <c r="I41" i="8"/>
  <c r="K40" i="8"/>
  <c r="J40" i="8"/>
  <c r="I40" i="8"/>
  <c r="K39" i="8"/>
  <c r="J39" i="8"/>
  <c r="I39" i="8"/>
  <c r="K38" i="8"/>
  <c r="J38" i="8"/>
  <c r="I38" i="8"/>
  <c r="K37" i="8"/>
  <c r="J37" i="8"/>
  <c r="I37" i="8"/>
  <c r="K36" i="8"/>
  <c r="J36" i="8"/>
  <c r="I36" i="8"/>
  <c r="K35" i="8"/>
  <c r="J35" i="8"/>
  <c r="I35" i="8"/>
  <c r="K34" i="8"/>
  <c r="J34" i="8"/>
  <c r="I34" i="8"/>
  <c r="K33" i="8"/>
  <c r="J33" i="8"/>
  <c r="I33" i="8"/>
  <c r="K32" i="8"/>
  <c r="J32" i="8"/>
  <c r="I32" i="8"/>
  <c r="K31" i="8"/>
  <c r="J31" i="8"/>
  <c r="I31" i="8"/>
  <c r="K30" i="8"/>
  <c r="J30" i="8"/>
  <c r="I30" i="8"/>
  <c r="K29" i="8"/>
  <c r="J29" i="8"/>
  <c r="I29" i="8"/>
  <c r="K28" i="8"/>
  <c r="J28" i="8"/>
  <c r="I28" i="8"/>
  <c r="C199" i="6"/>
  <c r="C198" i="6"/>
  <c r="C197" i="6"/>
  <c r="C196" i="6"/>
  <c r="C195" i="6"/>
  <c r="C194" i="6"/>
  <c r="C193" i="6"/>
  <c r="C192" i="6"/>
  <c r="C191" i="6"/>
  <c r="C190" i="6"/>
  <c r="C189" i="6"/>
  <c r="C188" i="6"/>
  <c r="C187" i="6"/>
  <c r="C186" i="6"/>
  <c r="C185" i="6"/>
  <c r="C184" i="6"/>
  <c r="C183" i="6"/>
  <c r="C182" i="6"/>
  <c r="C181" i="6"/>
  <c r="C180" i="6"/>
  <c r="C179" i="6"/>
  <c r="C178" i="6"/>
  <c r="C177" i="6"/>
  <c r="C176" i="6"/>
  <c r="C175" i="6"/>
  <c r="C174" i="6"/>
  <c r="C173" i="6"/>
  <c r="C172" i="6"/>
  <c r="C171" i="6"/>
  <c r="C170" i="6"/>
  <c r="F105" i="5"/>
  <c r="E105" i="5"/>
  <c r="D105" i="5"/>
  <c r="F104" i="5"/>
  <c r="E104" i="5"/>
  <c r="D104" i="5"/>
  <c r="F103" i="5"/>
  <c r="E103" i="5"/>
  <c r="D103" i="5"/>
  <c r="F102" i="5"/>
  <c r="E102" i="5"/>
  <c r="D102" i="5"/>
  <c r="F101" i="5"/>
  <c r="E101" i="5"/>
  <c r="D101" i="5"/>
  <c r="F100" i="5"/>
  <c r="E100" i="5"/>
  <c r="D100" i="5"/>
  <c r="F99" i="5"/>
  <c r="E99" i="5"/>
  <c r="D99" i="5"/>
  <c r="F98" i="5"/>
  <c r="E98" i="5"/>
  <c r="D98" i="5"/>
  <c r="F97" i="5"/>
  <c r="E97" i="5"/>
  <c r="D97" i="5"/>
  <c r="F96" i="5"/>
  <c r="E96" i="5"/>
  <c r="D96" i="5"/>
  <c r="F95" i="5"/>
  <c r="E95" i="5"/>
  <c r="D95" i="5"/>
  <c r="F94" i="5"/>
  <c r="E94" i="5"/>
  <c r="D94" i="5"/>
  <c r="F93" i="5"/>
  <c r="E93" i="5"/>
  <c r="D93" i="5"/>
  <c r="F92" i="5"/>
  <c r="E92" i="5"/>
  <c r="D92" i="5"/>
  <c r="F91" i="5"/>
  <c r="E91" i="5"/>
  <c r="D91" i="5"/>
  <c r="F90" i="5"/>
  <c r="E90" i="5"/>
  <c r="D90" i="5"/>
  <c r="F89" i="5"/>
  <c r="E89" i="5"/>
  <c r="D89" i="5"/>
  <c r="F88" i="5"/>
  <c r="E88" i="5"/>
  <c r="D88" i="5"/>
  <c r="F87" i="5"/>
  <c r="E87" i="5"/>
  <c r="D87" i="5"/>
  <c r="F86" i="5"/>
  <c r="E86" i="5"/>
  <c r="D86" i="5"/>
  <c r="F85" i="5"/>
  <c r="E85" i="5"/>
  <c r="D85" i="5"/>
  <c r="F84" i="5"/>
  <c r="E84" i="5"/>
  <c r="D84" i="5"/>
  <c r="F83" i="5"/>
  <c r="E83" i="5"/>
  <c r="D83" i="5"/>
  <c r="F82" i="5"/>
  <c r="E82" i="5"/>
  <c r="D82" i="5"/>
  <c r="F81" i="5"/>
  <c r="E81" i="5"/>
  <c r="D81" i="5"/>
  <c r="F80" i="5"/>
  <c r="E80" i="5"/>
  <c r="D80" i="5"/>
  <c r="F79" i="5"/>
  <c r="E79" i="5"/>
  <c r="D79" i="5"/>
  <c r="F78" i="5"/>
  <c r="E78" i="5"/>
  <c r="D78" i="5"/>
  <c r="F77" i="5"/>
  <c r="E77" i="5"/>
  <c r="D77" i="5"/>
  <c r="F76" i="5"/>
  <c r="E76" i="5"/>
  <c r="D76" i="5"/>
  <c r="F75" i="5"/>
  <c r="E75" i="5"/>
  <c r="D75" i="5"/>
  <c r="F74" i="5"/>
  <c r="E74" i="5"/>
  <c r="D74" i="5"/>
  <c r="F73" i="5"/>
  <c r="E73" i="5"/>
  <c r="D73" i="5"/>
  <c r="F72" i="5"/>
  <c r="E72" i="5"/>
  <c r="D72" i="5"/>
  <c r="F71" i="5"/>
  <c r="E71" i="5"/>
  <c r="D71" i="5"/>
  <c r="F70" i="5"/>
  <c r="E70" i="5"/>
  <c r="D70" i="5"/>
  <c r="F69" i="5"/>
  <c r="E69" i="5"/>
  <c r="D69" i="5"/>
  <c r="F68" i="5"/>
  <c r="E68" i="5"/>
  <c r="D68" i="5"/>
  <c r="F67" i="5"/>
  <c r="E67" i="5"/>
  <c r="D67" i="5"/>
  <c r="F66" i="5"/>
  <c r="E66" i="5"/>
  <c r="D66" i="5"/>
  <c r="F65" i="5"/>
  <c r="E65" i="5"/>
  <c r="D65" i="5"/>
  <c r="F64" i="5"/>
  <c r="E64" i="5"/>
  <c r="D64" i="5"/>
  <c r="F63" i="5"/>
  <c r="E63" i="5"/>
  <c r="D63" i="5"/>
  <c r="F62" i="5"/>
  <c r="E62" i="5"/>
  <c r="D62" i="5"/>
  <c r="F61" i="5"/>
  <c r="E61" i="5"/>
  <c r="D61" i="5"/>
  <c r="F60" i="5"/>
  <c r="E60" i="5"/>
  <c r="D60" i="5"/>
  <c r="F59" i="5"/>
  <c r="E59" i="5"/>
  <c r="D59" i="5"/>
  <c r="F58" i="5"/>
  <c r="E58" i="5"/>
  <c r="D58" i="5"/>
  <c r="F57" i="5"/>
  <c r="E57" i="5"/>
  <c r="D57" i="5"/>
  <c r="F56" i="5"/>
  <c r="E56" i="5"/>
  <c r="C253" i="13" s="1"/>
  <c r="D56" i="5"/>
  <c r="BG56" i="4"/>
  <c r="BF56" i="4"/>
  <c r="BE56" i="4"/>
  <c r="AW56" i="4"/>
  <c r="AV56" i="4"/>
  <c r="AU56" i="4"/>
  <c r="F177" i="13" s="1"/>
  <c r="AT56" i="4"/>
  <c r="F176" i="13" s="1"/>
  <c r="AS56" i="4"/>
  <c r="F175" i="13" s="1"/>
  <c r="AH56" i="4"/>
  <c r="I120" i="13"/>
  <c r="A120" i="13"/>
  <c r="A13" i="12"/>
  <c r="A59" i="10"/>
  <c r="A136" i="9"/>
  <c r="A115" i="8"/>
  <c r="BH57" i="4"/>
  <c r="BG57" i="4"/>
  <c r="BF57" i="4"/>
  <c r="BE57" i="4"/>
  <c r="AW57" i="4"/>
  <c r="AV57" i="4"/>
  <c r="AU57" i="4"/>
  <c r="AT57" i="4"/>
  <c r="AS57" i="4"/>
  <c r="AH57" i="4"/>
  <c r="AK57" i="4" s="1"/>
  <c r="I121" i="13"/>
  <c r="A121" i="13"/>
  <c r="A14" i="12"/>
  <c r="A60" i="10"/>
  <c r="A137" i="9"/>
  <c r="A116" i="8"/>
  <c r="BH58" i="4"/>
  <c r="BG58" i="4"/>
  <c r="BF58" i="4"/>
  <c r="BE58" i="4"/>
  <c r="AW58" i="4"/>
  <c r="AV58" i="4"/>
  <c r="AU58" i="4"/>
  <c r="AT58" i="4"/>
  <c r="AS58" i="4"/>
  <c r="AH58" i="4"/>
  <c r="AK58" i="4" s="1"/>
  <c r="I122" i="13"/>
  <c r="A122" i="13"/>
  <c r="A15" i="12"/>
  <c r="A61" i="10"/>
  <c r="A138" i="9"/>
  <c r="A117" i="8"/>
  <c r="BH59" i="4"/>
  <c r="BG59" i="4"/>
  <c r="BF59" i="4"/>
  <c r="BE59" i="4"/>
  <c r="AW59" i="4"/>
  <c r="AV59" i="4"/>
  <c r="AU59" i="4"/>
  <c r="AT59" i="4"/>
  <c r="AS59" i="4"/>
  <c r="AH59" i="4"/>
  <c r="AK59" i="4" s="1"/>
  <c r="I123" i="13"/>
  <c r="A123" i="13"/>
  <c r="A16" i="12"/>
  <c r="A62" i="10"/>
  <c r="A139" i="9"/>
  <c r="A118" i="8"/>
  <c r="BH60" i="4"/>
  <c r="BG60" i="4"/>
  <c r="BF60" i="4"/>
  <c r="BE60" i="4"/>
  <c r="AW60" i="4"/>
  <c r="AV60" i="4"/>
  <c r="AU60" i="4"/>
  <c r="AT60" i="4"/>
  <c r="AS60" i="4"/>
  <c r="AH60" i="4"/>
  <c r="AK60" i="4" s="1"/>
  <c r="I124" i="13"/>
  <c r="A124" i="13"/>
  <c r="A17" i="12"/>
  <c r="A63" i="10"/>
  <c r="A140" i="9"/>
  <c r="A119" i="8"/>
  <c r="BH61" i="4"/>
  <c r="BG61" i="4"/>
  <c r="BF61" i="4"/>
  <c r="BE61" i="4"/>
  <c r="AW61" i="4"/>
  <c r="AV61" i="4"/>
  <c r="AU61" i="4"/>
  <c r="AT61" i="4"/>
  <c r="AS61" i="4"/>
  <c r="AH61" i="4"/>
  <c r="AK61" i="4" s="1"/>
  <c r="I125" i="13"/>
  <c r="A125" i="13"/>
  <c r="A18" i="12"/>
  <c r="A64" i="10"/>
  <c r="A141" i="9"/>
  <c r="A120" i="8"/>
  <c r="BH62" i="4"/>
  <c r="BG62" i="4"/>
  <c r="BF62" i="4"/>
  <c r="BE62" i="4"/>
  <c r="AW62" i="4"/>
  <c r="AV62" i="4"/>
  <c r="AU62" i="4"/>
  <c r="AT62" i="4"/>
  <c r="AS62" i="4"/>
  <c r="AH62" i="4"/>
  <c r="AK62" i="4" s="1"/>
  <c r="I126" i="13"/>
  <c r="A126" i="13"/>
  <c r="A19" i="12"/>
  <c r="A65" i="10"/>
  <c r="A142" i="9"/>
  <c r="A121" i="8"/>
  <c r="BH63" i="4"/>
  <c r="BG63" i="4"/>
  <c r="BF63" i="4"/>
  <c r="BE63" i="4"/>
  <c r="AW63" i="4"/>
  <c r="AV63" i="4"/>
  <c r="AU63" i="4"/>
  <c r="AT63" i="4"/>
  <c r="AS63" i="4"/>
  <c r="AH63" i="4"/>
  <c r="AK63" i="4" s="1"/>
  <c r="I127" i="13"/>
  <c r="A127" i="13"/>
  <c r="A20" i="12"/>
  <c r="A66" i="10"/>
  <c r="A143" i="9"/>
  <c r="A122" i="8"/>
  <c r="BH64" i="4"/>
  <c r="BG64" i="4"/>
  <c r="BF64" i="4"/>
  <c r="BE64" i="4"/>
  <c r="AW64" i="4"/>
  <c r="AV64" i="4"/>
  <c r="AU64" i="4"/>
  <c r="AT64" i="4"/>
  <c r="AS64" i="4"/>
  <c r="AH64" i="4"/>
  <c r="AK64" i="4" s="1"/>
  <c r="I128" i="13"/>
  <c r="A128" i="13"/>
  <c r="A21" i="12"/>
  <c r="A67" i="10"/>
  <c r="A144" i="9"/>
  <c r="A123" i="8"/>
  <c r="BH65" i="4"/>
  <c r="BG65" i="4"/>
  <c r="BF65" i="4"/>
  <c r="BE65" i="4"/>
  <c r="AW65" i="4"/>
  <c r="AV65" i="4"/>
  <c r="AU65" i="4"/>
  <c r="AT65" i="4"/>
  <c r="AS65" i="4"/>
  <c r="AH65" i="4"/>
  <c r="AK65" i="4" s="1"/>
  <c r="I129" i="13"/>
  <c r="A129" i="13"/>
  <c r="A22" i="12"/>
  <c r="A68" i="10"/>
  <c r="A145" i="9"/>
  <c r="A124" i="8"/>
  <c r="BH66" i="4"/>
  <c r="BG66" i="4"/>
  <c r="BF66" i="4"/>
  <c r="BE66" i="4"/>
  <c r="AW66" i="4"/>
  <c r="AV66" i="4"/>
  <c r="AU66" i="4"/>
  <c r="AT66" i="4"/>
  <c r="AS66" i="4"/>
  <c r="AH66" i="4"/>
  <c r="AK66" i="4" s="1"/>
  <c r="I130" i="13"/>
  <c r="A130" i="13"/>
  <c r="A23" i="12"/>
  <c r="A69" i="10"/>
  <c r="A146" i="9"/>
  <c r="A125" i="8"/>
  <c r="BH67" i="4"/>
  <c r="BG67" i="4"/>
  <c r="BF67" i="4"/>
  <c r="BE67" i="4"/>
  <c r="AW67" i="4"/>
  <c r="AV67" i="4"/>
  <c r="AU67" i="4"/>
  <c r="AT67" i="4"/>
  <c r="AS67" i="4"/>
  <c r="AH67" i="4"/>
  <c r="AK67" i="4" s="1"/>
  <c r="I131" i="13"/>
  <c r="A131" i="13"/>
  <c r="A24" i="12"/>
  <c r="A70" i="10"/>
  <c r="A147" i="9"/>
  <c r="A126" i="8"/>
  <c r="BH68" i="4"/>
  <c r="BG68" i="4"/>
  <c r="BF68" i="4"/>
  <c r="BE68" i="4"/>
  <c r="AW68" i="4"/>
  <c r="AV68" i="4"/>
  <c r="AU68" i="4"/>
  <c r="AT68" i="4"/>
  <c r="AS68" i="4"/>
  <c r="AH68" i="4"/>
  <c r="AK68" i="4" s="1"/>
  <c r="I132" i="13"/>
  <c r="A132" i="13"/>
  <c r="A25" i="12"/>
  <c r="A71" i="10"/>
  <c r="A148" i="9"/>
  <c r="A127" i="8"/>
  <c r="BH69" i="4"/>
  <c r="BG69" i="4"/>
  <c r="BF69" i="4"/>
  <c r="BE69" i="4"/>
  <c r="AW69" i="4"/>
  <c r="AV69" i="4"/>
  <c r="AU69" i="4"/>
  <c r="AT69" i="4"/>
  <c r="AS69" i="4"/>
  <c r="AH69" i="4"/>
  <c r="AK69" i="4" s="1"/>
  <c r="I133" i="13"/>
  <c r="A133" i="13"/>
  <c r="A26" i="12"/>
  <c r="A72" i="10"/>
  <c r="A149" i="9"/>
  <c r="A128" i="8"/>
  <c r="BH70" i="4"/>
  <c r="BG70" i="4"/>
  <c r="BF70" i="4"/>
  <c r="BE70" i="4"/>
  <c r="AW70" i="4"/>
  <c r="AV70" i="4"/>
  <c r="AU70" i="4"/>
  <c r="AT70" i="4"/>
  <c r="AS70" i="4"/>
  <c r="AH70" i="4"/>
  <c r="AK70" i="4" s="1"/>
  <c r="I134" i="13"/>
  <c r="A134" i="13"/>
  <c r="A27" i="12"/>
  <c r="A73" i="10"/>
  <c r="A150" i="9"/>
  <c r="A129" i="8"/>
  <c r="BH71" i="4"/>
  <c r="BG71" i="4"/>
  <c r="BF71" i="4"/>
  <c r="BE71" i="4"/>
  <c r="AW71" i="4"/>
  <c r="AV71" i="4"/>
  <c r="AU71" i="4"/>
  <c r="AT71" i="4"/>
  <c r="AS71" i="4"/>
  <c r="AH71" i="4"/>
  <c r="AK71" i="4" s="1"/>
  <c r="I135" i="13"/>
  <c r="A135" i="13"/>
  <c r="A28" i="12"/>
  <c r="A74" i="10"/>
  <c r="A151" i="9"/>
  <c r="A130" i="8"/>
  <c r="BH72" i="4"/>
  <c r="BG72" i="4"/>
  <c r="BF72" i="4"/>
  <c r="BE72" i="4"/>
  <c r="AW72" i="4"/>
  <c r="AV72" i="4"/>
  <c r="AU72" i="4"/>
  <c r="AT72" i="4"/>
  <c r="AS72" i="4"/>
  <c r="AH72" i="4"/>
  <c r="AK72" i="4" s="1"/>
  <c r="I136" i="13"/>
  <c r="A136" i="13"/>
  <c r="A29" i="12"/>
  <c r="A75" i="10"/>
  <c r="A152" i="9"/>
  <c r="A131" i="8"/>
  <c r="BH73" i="4"/>
  <c r="BG73" i="4"/>
  <c r="BF73" i="4"/>
  <c r="BE73" i="4"/>
  <c r="AW73" i="4"/>
  <c r="AV73" i="4"/>
  <c r="AU73" i="4"/>
  <c r="AT73" i="4"/>
  <c r="AS73" i="4"/>
  <c r="AH73" i="4"/>
  <c r="AK73" i="4" s="1"/>
  <c r="I137" i="13"/>
  <c r="A137" i="13"/>
  <c r="A30" i="12"/>
  <c r="A76" i="10"/>
  <c r="A153" i="9"/>
  <c r="A132" i="8"/>
  <c r="BH74" i="4"/>
  <c r="BG74" i="4"/>
  <c r="BF74" i="4"/>
  <c r="BE74" i="4"/>
  <c r="AW74" i="4"/>
  <c r="AV74" i="4"/>
  <c r="AU74" i="4"/>
  <c r="AT74" i="4"/>
  <c r="AS74" i="4"/>
  <c r="AH74" i="4"/>
  <c r="AK74" i="4" s="1"/>
  <c r="I138" i="13"/>
  <c r="A138" i="13"/>
  <c r="A31" i="12"/>
  <c r="A77" i="10"/>
  <c r="A154" i="9"/>
  <c r="A133" i="8"/>
  <c r="BH75" i="4"/>
  <c r="BG75" i="4"/>
  <c r="BF75" i="4"/>
  <c r="BE75" i="4"/>
  <c r="AW75" i="4"/>
  <c r="AV75" i="4"/>
  <c r="AU75" i="4"/>
  <c r="AT75" i="4"/>
  <c r="AS75" i="4"/>
  <c r="AH75" i="4"/>
  <c r="AK75" i="4" s="1"/>
  <c r="I139" i="13"/>
  <c r="A139" i="13"/>
  <c r="A32" i="12"/>
  <c r="A155" i="9"/>
  <c r="A134" i="8"/>
  <c r="BH76" i="4"/>
  <c r="BG76" i="4"/>
  <c r="BF76" i="4"/>
  <c r="BE76" i="4"/>
  <c r="AW76" i="4"/>
  <c r="AV76" i="4"/>
  <c r="AU76" i="4"/>
  <c r="AT76" i="4"/>
  <c r="AS76" i="4"/>
  <c r="AH76" i="4"/>
  <c r="AK76" i="4" s="1"/>
  <c r="I140" i="13"/>
  <c r="A140" i="13"/>
  <c r="A33" i="12"/>
  <c r="A156" i="9"/>
  <c r="A135" i="8"/>
  <c r="BH77" i="4"/>
  <c r="BG77" i="4"/>
  <c r="BF77" i="4"/>
  <c r="BE77" i="4"/>
  <c r="AW77" i="4"/>
  <c r="AV77" i="4"/>
  <c r="AU77" i="4"/>
  <c r="AT77" i="4"/>
  <c r="AS77" i="4"/>
  <c r="AH77" i="4"/>
  <c r="AK77" i="4" s="1"/>
  <c r="I141" i="13"/>
  <c r="A141" i="13"/>
  <c r="A34" i="12"/>
  <c r="A157" i="9"/>
  <c r="A136" i="8"/>
  <c r="BH78" i="4"/>
  <c r="BG78" i="4"/>
  <c r="BF78" i="4"/>
  <c r="BE78" i="4"/>
  <c r="AW78" i="4"/>
  <c r="AV78" i="4"/>
  <c r="AU78" i="4"/>
  <c r="AT78" i="4"/>
  <c r="AS78" i="4"/>
  <c r="AH78" i="4"/>
  <c r="AK78" i="4" s="1"/>
  <c r="I142" i="13"/>
  <c r="A142" i="13"/>
  <c r="A35" i="12"/>
  <c r="A158" i="9"/>
  <c r="A137" i="8"/>
  <c r="BH79" i="4"/>
  <c r="BG79" i="4"/>
  <c r="BF79" i="4"/>
  <c r="BE79" i="4"/>
  <c r="AW79" i="4"/>
  <c r="AV79" i="4"/>
  <c r="AU79" i="4"/>
  <c r="AT79" i="4"/>
  <c r="AS79" i="4"/>
  <c r="AH79" i="4"/>
  <c r="AK79" i="4" s="1"/>
  <c r="I143" i="13"/>
  <c r="A143" i="13"/>
  <c r="A36" i="12"/>
  <c r="A159" i="9"/>
  <c r="A138" i="8"/>
  <c r="BH80" i="4"/>
  <c r="BG80" i="4"/>
  <c r="BF80" i="4"/>
  <c r="BE80" i="4"/>
  <c r="AW80" i="4"/>
  <c r="AV80" i="4"/>
  <c r="AU80" i="4"/>
  <c r="AT80" i="4"/>
  <c r="AS80" i="4"/>
  <c r="AH80" i="4"/>
  <c r="AK80" i="4" s="1"/>
  <c r="I144" i="13"/>
  <c r="A144" i="13"/>
  <c r="A37" i="12"/>
  <c r="A160" i="9"/>
  <c r="A139" i="8"/>
  <c r="BH81" i="4"/>
  <c r="BG81" i="4"/>
  <c r="BF81" i="4"/>
  <c r="BE81" i="4"/>
  <c r="AW81" i="4"/>
  <c r="AV81" i="4"/>
  <c r="AU81" i="4"/>
  <c r="AT81" i="4"/>
  <c r="AS81" i="4"/>
  <c r="AH81" i="4"/>
  <c r="AK81" i="4" s="1"/>
  <c r="I145" i="13"/>
  <c r="A145" i="13"/>
  <c r="A38" i="12"/>
  <c r="A161" i="9"/>
  <c r="A140" i="8"/>
  <c r="BH82" i="4"/>
  <c r="BG82" i="4"/>
  <c r="BF82" i="4"/>
  <c r="BE82" i="4"/>
  <c r="AW82" i="4"/>
  <c r="AV82" i="4"/>
  <c r="AU82" i="4"/>
  <c r="AT82" i="4"/>
  <c r="AS82" i="4"/>
  <c r="AH82" i="4"/>
  <c r="AK82" i="4" s="1"/>
  <c r="I146" i="13"/>
  <c r="A146" i="13"/>
  <c r="A39" i="12"/>
  <c r="A162" i="9"/>
  <c r="A141" i="8"/>
  <c r="BH83" i="4"/>
  <c r="BG83" i="4"/>
  <c r="BF83" i="4"/>
  <c r="BE83" i="4"/>
  <c r="AW83" i="4"/>
  <c r="AV83" i="4"/>
  <c r="AU83" i="4"/>
  <c r="AT83" i="4"/>
  <c r="AS83" i="4"/>
  <c r="AH83" i="4"/>
  <c r="AK83" i="4" s="1"/>
  <c r="I147" i="13"/>
  <c r="A147" i="13"/>
  <c r="A40" i="12"/>
  <c r="A163" i="9"/>
  <c r="A142" i="8"/>
  <c r="BH84" i="4"/>
  <c r="BG84" i="4"/>
  <c r="BF84" i="4"/>
  <c r="BE84" i="4"/>
  <c r="AW84" i="4"/>
  <c r="AV84" i="4"/>
  <c r="AU84" i="4"/>
  <c r="AT84" i="4"/>
  <c r="AS84" i="4"/>
  <c r="AH84" i="4"/>
  <c r="AK84" i="4" s="1"/>
  <c r="I148" i="13"/>
  <c r="A148" i="13"/>
  <c r="A41" i="12"/>
  <c r="A164" i="9"/>
  <c r="A143" i="8"/>
  <c r="BH85" i="4"/>
  <c r="BG85" i="4"/>
  <c r="BF85" i="4"/>
  <c r="BE85" i="4"/>
  <c r="AW85" i="4"/>
  <c r="AV85" i="4"/>
  <c r="AU85" i="4"/>
  <c r="AT85" i="4"/>
  <c r="AS85" i="4"/>
  <c r="AH85" i="4"/>
  <c r="AK85" i="4" s="1"/>
  <c r="I149" i="13"/>
  <c r="A149" i="13"/>
  <c r="A42" i="12"/>
  <c r="A165" i="9"/>
  <c r="A144" i="8"/>
  <c r="BH86" i="4"/>
  <c r="BG86" i="4"/>
  <c r="BF86" i="4"/>
  <c r="BE86" i="4"/>
  <c r="AW86" i="4"/>
  <c r="AV86" i="4"/>
  <c r="AU86" i="4"/>
  <c r="AT86" i="4"/>
  <c r="AS86" i="4"/>
  <c r="AH86" i="4"/>
  <c r="AK86" i="4" s="1"/>
  <c r="I150" i="13"/>
  <c r="A150" i="13"/>
  <c r="A43" i="12"/>
  <c r="A166" i="9"/>
  <c r="A145" i="8"/>
  <c r="BH87" i="4"/>
  <c r="BG87" i="4"/>
  <c r="BF87" i="4"/>
  <c r="BE87" i="4"/>
  <c r="AW87" i="4"/>
  <c r="AV87" i="4"/>
  <c r="AU87" i="4"/>
  <c r="AT87" i="4"/>
  <c r="AS87" i="4"/>
  <c r="AH87" i="4"/>
  <c r="AK87" i="4" s="1"/>
  <c r="I151" i="13"/>
  <c r="A151" i="13"/>
  <c r="A44" i="12"/>
  <c r="A167" i="9"/>
  <c r="A146" i="8"/>
  <c r="BH88" i="4"/>
  <c r="BG88" i="4"/>
  <c r="BF88" i="4"/>
  <c r="BE88" i="4"/>
  <c r="AW88" i="4"/>
  <c r="AV88" i="4"/>
  <c r="AU88" i="4"/>
  <c r="AT88" i="4"/>
  <c r="AS88" i="4"/>
  <c r="AH88" i="4"/>
  <c r="AK88" i="4" s="1"/>
  <c r="I152" i="13"/>
  <c r="A152" i="13"/>
  <c r="A45" i="12"/>
  <c r="A168" i="9"/>
  <c r="A147" i="8"/>
  <c r="BH89" i="4"/>
  <c r="BG89" i="4"/>
  <c r="BF89" i="4"/>
  <c r="BE89" i="4"/>
  <c r="AW89" i="4"/>
  <c r="AV89" i="4"/>
  <c r="AU89" i="4"/>
  <c r="AT89" i="4"/>
  <c r="AS89" i="4"/>
  <c r="AH89" i="4"/>
  <c r="AK89" i="4" s="1"/>
  <c r="I153" i="13"/>
  <c r="A153" i="13"/>
  <c r="A46" i="12"/>
  <c r="A169" i="9"/>
  <c r="A148" i="8"/>
  <c r="BH90" i="4"/>
  <c r="BG90" i="4"/>
  <c r="BF90" i="4"/>
  <c r="BE90" i="4"/>
  <c r="AW90" i="4"/>
  <c r="AV90" i="4"/>
  <c r="AU90" i="4"/>
  <c r="AT90" i="4"/>
  <c r="AS90" i="4"/>
  <c r="AH90" i="4"/>
  <c r="AK90" i="4" s="1"/>
  <c r="I154" i="13"/>
  <c r="A154" i="13"/>
  <c r="A47" i="12"/>
  <c r="A170" i="9"/>
  <c r="A149" i="8"/>
  <c r="BH91" i="4"/>
  <c r="BG91" i="4"/>
  <c r="BF91" i="4"/>
  <c r="BE91" i="4"/>
  <c r="AW91" i="4"/>
  <c r="AV91" i="4"/>
  <c r="AU91" i="4"/>
  <c r="AT91" i="4"/>
  <c r="AS91" i="4"/>
  <c r="AH91" i="4"/>
  <c r="AK91" i="4" s="1"/>
  <c r="I155" i="13"/>
  <c r="A155" i="13"/>
  <c r="A48" i="12"/>
  <c r="A171" i="9"/>
  <c r="A150" i="8"/>
  <c r="BH92" i="4"/>
  <c r="BG92" i="4"/>
  <c r="BF92" i="4"/>
  <c r="BE92" i="4"/>
  <c r="AW92" i="4"/>
  <c r="AV92" i="4"/>
  <c r="AU92" i="4"/>
  <c r="AT92" i="4"/>
  <c r="AS92" i="4"/>
  <c r="AH92" i="4"/>
  <c r="AK92" i="4" s="1"/>
  <c r="I156" i="13"/>
  <c r="A156" i="13"/>
  <c r="A49" i="12"/>
  <c r="A172" i="9"/>
  <c r="A151" i="8"/>
  <c r="BH93" i="4"/>
  <c r="BG93" i="4"/>
  <c r="BF93" i="4"/>
  <c r="BE93" i="4"/>
  <c r="AW93" i="4"/>
  <c r="AV93" i="4"/>
  <c r="AU93" i="4"/>
  <c r="AT93" i="4"/>
  <c r="AS93" i="4"/>
  <c r="AH93" i="4"/>
  <c r="AK93" i="4" s="1"/>
  <c r="I157" i="13"/>
  <c r="A157" i="13"/>
  <c r="A50" i="12"/>
  <c r="A173" i="9"/>
  <c r="A152" i="8"/>
  <c r="BH94" i="4"/>
  <c r="BG94" i="4"/>
  <c r="BF94" i="4"/>
  <c r="BE94" i="4"/>
  <c r="AW94" i="4"/>
  <c r="AV94" i="4"/>
  <c r="AU94" i="4"/>
  <c r="AT94" i="4"/>
  <c r="AS94" i="4"/>
  <c r="AH94" i="4"/>
  <c r="AK94" i="4" s="1"/>
  <c r="I158" i="13"/>
  <c r="A158" i="13"/>
  <c r="A51" i="12"/>
  <c r="A174" i="9"/>
  <c r="A153" i="8"/>
  <c r="BH95" i="4"/>
  <c r="BG95" i="4"/>
  <c r="BF95" i="4"/>
  <c r="BE95" i="4"/>
  <c r="AW95" i="4"/>
  <c r="AV95" i="4"/>
  <c r="AU95" i="4"/>
  <c r="AT95" i="4"/>
  <c r="AS95" i="4"/>
  <c r="AH95" i="4"/>
  <c r="AK95" i="4" s="1"/>
  <c r="J285" i="13"/>
  <c r="J190" i="13"/>
  <c r="J189" i="13"/>
  <c r="J188" i="13"/>
  <c r="J187" i="13"/>
  <c r="J186" i="13"/>
  <c r="J185" i="13"/>
  <c r="J13" i="13"/>
  <c r="D171" i="11"/>
  <c r="D169" i="11"/>
  <c r="D167" i="11"/>
  <c r="D165" i="11"/>
  <c r="D163" i="11"/>
  <c r="D161" i="11"/>
  <c r="D159" i="11"/>
  <c r="D157" i="11"/>
  <c r="D155" i="11"/>
  <c r="D153" i="11"/>
  <c r="D151" i="11"/>
  <c r="D149" i="11"/>
  <c r="D147" i="11"/>
  <c r="D143" i="11"/>
  <c r="D141" i="11"/>
  <c r="D139" i="11"/>
  <c r="D137" i="11"/>
  <c r="D135" i="11"/>
  <c r="D133" i="11"/>
  <c r="D131" i="11"/>
  <c r="D129" i="11"/>
  <c r="D127" i="11"/>
  <c r="D125" i="11"/>
  <c r="D123" i="11"/>
  <c r="D121" i="11"/>
  <c r="D119" i="11"/>
  <c r="D117" i="11"/>
  <c r="D115" i="11"/>
  <c r="D113" i="11"/>
  <c r="J119" i="10"/>
  <c r="M88" i="9"/>
  <c r="M87" i="9"/>
  <c r="M86" i="9"/>
  <c r="M85" i="9"/>
  <c r="M84" i="9"/>
  <c r="M83" i="9"/>
  <c r="M82" i="9"/>
  <c r="M81" i="9"/>
  <c r="M80" i="9"/>
  <c r="M79" i="9"/>
  <c r="M78" i="9"/>
  <c r="M77" i="9"/>
  <c r="M76" i="9"/>
  <c r="M75" i="9"/>
  <c r="M74" i="9"/>
  <c r="M73" i="9"/>
  <c r="M72" i="9"/>
  <c r="M71" i="9"/>
  <c r="M70" i="9"/>
  <c r="M69" i="9"/>
  <c r="M68" i="9"/>
  <c r="M67" i="9"/>
  <c r="M66" i="9"/>
  <c r="M65" i="9"/>
  <c r="M64" i="9"/>
  <c r="M63" i="9"/>
  <c r="M62" i="9"/>
  <c r="M61" i="9"/>
  <c r="M60" i="9"/>
  <c r="M59" i="9"/>
  <c r="M58" i="9"/>
  <c r="M57" i="9"/>
  <c r="M56" i="9"/>
  <c r="M55" i="9"/>
  <c r="M54" i="9"/>
  <c r="M53" i="9"/>
  <c r="M52" i="9"/>
  <c r="M51" i="9"/>
  <c r="M50" i="9"/>
  <c r="M49" i="9"/>
  <c r="M48" i="9"/>
  <c r="M47" i="9"/>
  <c r="M46" i="9"/>
  <c r="M45" i="9"/>
  <c r="M44" i="9"/>
  <c r="M43" i="9"/>
  <c r="M42" i="9"/>
  <c r="M41" i="9"/>
  <c r="M40" i="9"/>
  <c r="M39" i="9"/>
  <c r="M67" i="8"/>
  <c r="M66" i="8"/>
  <c r="M65" i="8"/>
  <c r="M64" i="8"/>
  <c r="M63" i="8"/>
  <c r="M62" i="8"/>
  <c r="M61" i="8"/>
  <c r="M60" i="8"/>
  <c r="M59" i="8"/>
  <c r="M58" i="8"/>
  <c r="M57" i="8"/>
  <c r="M56" i="8"/>
  <c r="M55" i="8"/>
  <c r="M54" i="8"/>
  <c r="M53" i="8"/>
  <c r="M52" i="8"/>
  <c r="M51" i="8"/>
  <c r="M50" i="8"/>
  <c r="M49" i="8"/>
  <c r="M48" i="8"/>
  <c r="M47" i="8"/>
  <c r="M46" i="8"/>
  <c r="M45" i="8"/>
  <c r="M44" i="8"/>
  <c r="M43" i="8"/>
  <c r="M42" i="8"/>
  <c r="M41" i="8"/>
  <c r="M40" i="8"/>
  <c r="M39" i="8"/>
  <c r="M38" i="8"/>
  <c r="M37" i="8"/>
  <c r="M36" i="8"/>
  <c r="M35" i="8"/>
  <c r="M34" i="8"/>
  <c r="M33" i="8"/>
  <c r="M32" i="8"/>
  <c r="M31" i="8"/>
  <c r="M30" i="8"/>
  <c r="M29" i="8"/>
  <c r="M28" i="8"/>
  <c r="CM56" i="5"/>
  <c r="CL56" i="5"/>
  <c r="CK56" i="5"/>
  <c r="AV56" i="5"/>
  <c r="BV56" i="5" s="1"/>
  <c r="CM57" i="5"/>
  <c r="CL57" i="5"/>
  <c r="CK57" i="5"/>
  <c r="AV57" i="5"/>
  <c r="BV57" i="5" s="1"/>
  <c r="CM58" i="5"/>
  <c r="CL58" i="5"/>
  <c r="CK58" i="5"/>
  <c r="AV58" i="5"/>
  <c r="BV58" i="5" s="1"/>
  <c r="CM59" i="5"/>
  <c r="CL59" i="5"/>
  <c r="CK59" i="5"/>
  <c r="AV59" i="5"/>
  <c r="BV59" i="5" s="1"/>
  <c r="CM60" i="5"/>
  <c r="CL60" i="5"/>
  <c r="CK60" i="5"/>
  <c r="AV60" i="5"/>
  <c r="BV60" i="5" s="1"/>
  <c r="CM61" i="5"/>
  <c r="CL61" i="5"/>
  <c r="CK61" i="5"/>
  <c r="AV61" i="5"/>
  <c r="BV61" i="5" s="1"/>
  <c r="CM62" i="5"/>
  <c r="CL62" i="5"/>
  <c r="CK62" i="5"/>
  <c r="AV62" i="5"/>
  <c r="BV62" i="5" s="1"/>
  <c r="CM63" i="5"/>
  <c r="CL63" i="5"/>
  <c r="CK63" i="5"/>
  <c r="AV63" i="5"/>
  <c r="BV63" i="5" s="1"/>
  <c r="CM64" i="5"/>
  <c r="CL64" i="5"/>
  <c r="CK64" i="5"/>
  <c r="AV64" i="5"/>
  <c r="BV64" i="5" s="1"/>
  <c r="CM65" i="5"/>
  <c r="CL65" i="5"/>
  <c r="CK65" i="5"/>
  <c r="AV65" i="5"/>
  <c r="BV65" i="5" s="1"/>
  <c r="CM66" i="5"/>
  <c r="CL66" i="5"/>
  <c r="CK66" i="5"/>
  <c r="AV66" i="5"/>
  <c r="BV66" i="5" s="1"/>
  <c r="CM67" i="5"/>
  <c r="CL67" i="5"/>
  <c r="CK67" i="5"/>
  <c r="AV67" i="5"/>
  <c r="BV67" i="5" s="1"/>
  <c r="CM68" i="5"/>
  <c r="CL68" i="5"/>
  <c r="CK68" i="5"/>
  <c r="AV68" i="5"/>
  <c r="BV68" i="5" s="1"/>
  <c r="CM69" i="5"/>
  <c r="CL69" i="5"/>
  <c r="CK69" i="5"/>
  <c r="AV69" i="5"/>
  <c r="BV69" i="5" s="1"/>
  <c r="CM70" i="5"/>
  <c r="CL70" i="5"/>
  <c r="CK70" i="5"/>
  <c r="AV70" i="5"/>
  <c r="BV70" i="5" s="1"/>
  <c r="CM71" i="5"/>
  <c r="CL71" i="5"/>
  <c r="CK71" i="5"/>
  <c r="AV71" i="5"/>
  <c r="BV71" i="5" s="1"/>
  <c r="CM72" i="5"/>
  <c r="CL72" i="5"/>
  <c r="CK72" i="5"/>
  <c r="AV72" i="5"/>
  <c r="BV72" i="5" s="1"/>
  <c r="CM73" i="5"/>
  <c r="CL73" i="5"/>
  <c r="CK73" i="5"/>
  <c r="AV73" i="5"/>
  <c r="BV73" i="5" s="1"/>
  <c r="CM74" i="5"/>
  <c r="CL74" i="5"/>
  <c r="CK74" i="5"/>
  <c r="AV74" i="5"/>
  <c r="BV74" i="5" s="1"/>
  <c r="CM75" i="5"/>
  <c r="CL75" i="5"/>
  <c r="CK75" i="5"/>
  <c r="AV75" i="5"/>
  <c r="BV75" i="5" s="1"/>
  <c r="CM76" i="5"/>
  <c r="CL76" i="5"/>
  <c r="CK76" i="5"/>
  <c r="AV76" i="5"/>
  <c r="BV76" i="5" s="1"/>
  <c r="CM77" i="5"/>
  <c r="CL77" i="5"/>
  <c r="CK77" i="5"/>
  <c r="AV77" i="5"/>
  <c r="BV77" i="5" s="1"/>
  <c r="CM78" i="5"/>
  <c r="CL78" i="5"/>
  <c r="CK78" i="5"/>
  <c r="AV78" i="5"/>
  <c r="BV78" i="5" s="1"/>
  <c r="CM79" i="5"/>
  <c r="CL79" i="5"/>
  <c r="CK79" i="5"/>
  <c r="AV79" i="5"/>
  <c r="BV79" i="5" s="1"/>
  <c r="CM80" i="5"/>
  <c r="CL80" i="5"/>
  <c r="CK80" i="5"/>
  <c r="AV80" i="5"/>
  <c r="BV80" i="5" s="1"/>
  <c r="CM81" i="5"/>
  <c r="CL81" i="5"/>
  <c r="CK81" i="5"/>
  <c r="AV81" i="5"/>
  <c r="BV81" i="5" s="1"/>
  <c r="CM82" i="5"/>
  <c r="CL82" i="5"/>
  <c r="CK82" i="5"/>
  <c r="AV82" i="5"/>
  <c r="BV82" i="5" s="1"/>
  <c r="CM83" i="5"/>
  <c r="CL83" i="5"/>
  <c r="CK83" i="5"/>
  <c r="AV83" i="5"/>
  <c r="BV83" i="5" s="1"/>
  <c r="CM84" i="5"/>
  <c r="CL84" i="5"/>
  <c r="CK84" i="5"/>
  <c r="AV84" i="5"/>
  <c r="BV84" i="5" s="1"/>
  <c r="CM85" i="5"/>
  <c r="CL85" i="5"/>
  <c r="CK85" i="5"/>
  <c r="AV85" i="5"/>
  <c r="BV85" i="5" s="1"/>
  <c r="CM86" i="5"/>
  <c r="CL86" i="5"/>
  <c r="CK86" i="5"/>
  <c r="AV86" i="5"/>
  <c r="BV86" i="5" s="1"/>
  <c r="CM87" i="5"/>
  <c r="CL87" i="5"/>
  <c r="CK87" i="5"/>
  <c r="AV87" i="5"/>
  <c r="BV87" i="5" s="1"/>
  <c r="CM88" i="5"/>
  <c r="CL88" i="5"/>
  <c r="CK88" i="5"/>
  <c r="AV88" i="5"/>
  <c r="BV88" i="5" s="1"/>
  <c r="CM89" i="5"/>
  <c r="CL89" i="5"/>
  <c r="CK89" i="5"/>
  <c r="AV89" i="5"/>
  <c r="BV89" i="5" s="1"/>
  <c r="CM90" i="5"/>
  <c r="CL90" i="5"/>
  <c r="CK90" i="5"/>
  <c r="AV90" i="5"/>
  <c r="BV90" i="5" s="1"/>
  <c r="CM91" i="5"/>
  <c r="CL91" i="5"/>
  <c r="CK91" i="5"/>
  <c r="AV91" i="5"/>
  <c r="BV91" i="5" s="1"/>
  <c r="CM92" i="5"/>
  <c r="CL92" i="5"/>
  <c r="CK92" i="5"/>
  <c r="AV92" i="5"/>
  <c r="BV92" i="5" s="1"/>
  <c r="CM93" i="5"/>
  <c r="CL93" i="5"/>
  <c r="CK93" i="5"/>
  <c r="AV93" i="5"/>
  <c r="BV93" i="5" s="1"/>
  <c r="CM94" i="5"/>
  <c r="CL94" i="5"/>
  <c r="CK94" i="5"/>
  <c r="AV94" i="5"/>
  <c r="BV94" i="5" s="1"/>
  <c r="CM95" i="5"/>
  <c r="CL95" i="5"/>
  <c r="CK95" i="5"/>
  <c r="AV95" i="5"/>
  <c r="BV95" i="5" s="1"/>
  <c r="CM96" i="5"/>
  <c r="CL96" i="5"/>
  <c r="CK96" i="5"/>
  <c r="AV96" i="5"/>
  <c r="BV96" i="5" s="1"/>
  <c r="CM97" i="5"/>
  <c r="CL97" i="5"/>
  <c r="CK97" i="5"/>
  <c r="AV97" i="5"/>
  <c r="BV97" i="5" s="1"/>
  <c r="CM98" i="5"/>
  <c r="CL98" i="5"/>
  <c r="CK98" i="5"/>
  <c r="AV98" i="5"/>
  <c r="BV98" i="5" s="1"/>
  <c r="CM99" i="5"/>
  <c r="CL99" i="5"/>
  <c r="CK99" i="5"/>
  <c r="AV99" i="5"/>
  <c r="BV99" i="5" s="1"/>
  <c r="CM100" i="5"/>
  <c r="CL100" i="5"/>
  <c r="CK100" i="5"/>
  <c r="AV100" i="5"/>
  <c r="BV100" i="5" s="1"/>
  <c r="CM101" i="5"/>
  <c r="CL101" i="5"/>
  <c r="CK101" i="5"/>
  <c r="AV101" i="5"/>
  <c r="BV101" i="5" s="1"/>
  <c r="CM102" i="5"/>
  <c r="CL102" i="5"/>
  <c r="CK102" i="5"/>
  <c r="AV102" i="5"/>
  <c r="BV102" i="5" s="1"/>
  <c r="CM103" i="5"/>
  <c r="CL103" i="5"/>
  <c r="CK103" i="5"/>
  <c r="AV103" i="5"/>
  <c r="BV103" i="5" s="1"/>
  <c r="CM104" i="5"/>
  <c r="CL104" i="5"/>
  <c r="CK104" i="5"/>
  <c r="AV104" i="5"/>
  <c r="BV104" i="5" s="1"/>
  <c r="CM105" i="5"/>
  <c r="CL105" i="5"/>
  <c r="CK105" i="5"/>
  <c r="AV105" i="5"/>
  <c r="BV105" i="5" s="1"/>
  <c r="C246" i="5"/>
  <c r="B246" i="5"/>
  <c r="C247" i="5"/>
  <c r="B247" i="5"/>
  <c r="C248" i="5"/>
  <c r="B248" i="5"/>
  <c r="C249" i="5"/>
  <c r="B249" i="5"/>
  <c r="C250" i="5"/>
  <c r="B250" i="5"/>
  <c r="C251" i="5"/>
  <c r="B251" i="5"/>
  <c r="C252" i="5"/>
  <c r="B252" i="5"/>
  <c r="C253" i="5"/>
  <c r="B253" i="5"/>
  <c r="C254" i="5"/>
  <c r="B254" i="5"/>
  <c r="C255" i="5"/>
  <c r="B255" i="5"/>
  <c r="C256" i="5"/>
  <c r="B256" i="5"/>
  <c r="C257" i="5"/>
  <c r="B257" i="5"/>
  <c r="C258" i="5"/>
  <c r="B258" i="5"/>
  <c r="C259" i="5"/>
  <c r="B259" i="5"/>
  <c r="C260" i="5"/>
  <c r="B260" i="5"/>
  <c r="C261" i="5"/>
  <c r="B261" i="5"/>
  <c r="C262" i="5"/>
  <c r="B262" i="5"/>
  <c r="C263" i="5"/>
  <c r="B263" i="5"/>
  <c r="C264" i="5"/>
  <c r="B264" i="5"/>
  <c r="C265" i="5"/>
  <c r="B265" i="5"/>
  <c r="C266" i="5"/>
  <c r="B266" i="5"/>
  <c r="C267" i="5"/>
  <c r="B267" i="5"/>
  <c r="C268" i="5"/>
  <c r="B268" i="5"/>
  <c r="C269" i="5"/>
  <c r="B269" i="5"/>
  <c r="C270" i="5"/>
  <c r="B270" i="5"/>
  <c r="C271" i="5"/>
  <c r="B271" i="5"/>
  <c r="C272" i="5"/>
  <c r="B272" i="5"/>
  <c r="C273" i="5"/>
  <c r="B273" i="5"/>
  <c r="C274" i="5"/>
  <c r="B274" i="5"/>
  <c r="C275" i="5"/>
  <c r="B275" i="5"/>
  <c r="C276" i="5"/>
  <c r="B276" i="5"/>
  <c r="C277" i="5"/>
  <c r="B277" i="5"/>
  <c r="C278" i="5"/>
  <c r="B278" i="5"/>
  <c r="C279" i="5"/>
  <c r="B279" i="5"/>
  <c r="C280" i="5"/>
  <c r="B280" i="5"/>
  <c r="C281" i="5"/>
  <c r="B281" i="5"/>
  <c r="C282" i="5"/>
  <c r="B282" i="5"/>
  <c r="C283" i="5"/>
  <c r="B283" i="5"/>
  <c r="C284" i="5"/>
  <c r="B284" i="5"/>
  <c r="C285" i="5"/>
  <c r="B285" i="5"/>
  <c r="J227" i="13"/>
  <c r="E36" i="13"/>
  <c r="J16" i="13"/>
  <c r="J288" i="13"/>
  <c r="J235" i="13"/>
  <c r="BE56" i="6"/>
  <c r="BD56" i="6"/>
  <c r="BC56" i="6"/>
  <c r="BB56" i="6"/>
  <c r="BA56" i="6"/>
  <c r="AY56" i="6"/>
  <c r="AX56" i="6"/>
  <c r="AW56" i="6"/>
  <c r="AV56" i="6"/>
  <c r="AU56" i="6"/>
  <c r="AT56" i="6"/>
  <c r="B131" i="6"/>
  <c r="B130" i="6"/>
  <c r="B129" i="6"/>
  <c r="B128" i="6"/>
  <c r="B127" i="6"/>
  <c r="B126" i="6"/>
  <c r="B125" i="6"/>
  <c r="B124" i="6"/>
  <c r="B123" i="6"/>
  <c r="B122" i="6"/>
  <c r="B121" i="6"/>
  <c r="B120" i="6"/>
  <c r="BE57" i="6"/>
  <c r="BD57" i="6"/>
  <c r="BC57" i="6"/>
  <c r="BB57" i="6"/>
  <c r="BA57" i="6"/>
  <c r="AY57" i="6"/>
  <c r="AX57" i="6"/>
  <c r="AW57" i="6"/>
  <c r="AV57" i="6"/>
  <c r="AU57" i="6"/>
  <c r="AT57" i="6"/>
  <c r="BE58" i="6"/>
  <c r="BD58" i="6"/>
  <c r="BC58" i="6"/>
  <c r="BB58" i="6"/>
  <c r="BA58" i="6"/>
  <c r="AY58" i="6"/>
  <c r="AX58" i="6"/>
  <c r="AW58" i="6"/>
  <c r="AV58" i="6"/>
  <c r="AU58" i="6"/>
  <c r="AT58" i="6"/>
  <c r="BE59" i="6"/>
  <c r="BD59" i="6"/>
  <c r="BC59" i="6"/>
  <c r="BB59" i="6"/>
  <c r="BA59" i="6"/>
  <c r="AY59" i="6"/>
  <c r="AX59" i="6"/>
  <c r="AW59" i="6"/>
  <c r="AV59" i="6"/>
  <c r="AU59" i="6"/>
  <c r="AT59" i="6"/>
  <c r="BE60" i="6"/>
  <c r="BD60" i="6"/>
  <c r="BC60" i="6"/>
  <c r="BB60" i="6"/>
  <c r="BA60" i="6"/>
  <c r="AY60" i="6"/>
  <c r="AX60" i="6"/>
  <c r="AW60" i="6"/>
  <c r="AV60" i="6"/>
  <c r="AU60" i="6"/>
  <c r="AT60" i="6"/>
  <c r="BE61" i="6"/>
  <c r="BD61" i="6"/>
  <c r="BC61" i="6"/>
  <c r="BB61" i="6"/>
  <c r="BA61" i="6"/>
  <c r="AY61" i="6"/>
  <c r="AX61" i="6"/>
  <c r="AW61" i="6"/>
  <c r="AV61" i="6"/>
  <c r="AU61" i="6"/>
  <c r="AT61" i="6"/>
  <c r="BE62" i="6"/>
  <c r="BD62" i="6"/>
  <c r="BC62" i="6"/>
  <c r="BB62" i="6"/>
  <c r="BA62" i="6"/>
  <c r="AY62" i="6"/>
  <c r="AX62" i="6"/>
  <c r="AW62" i="6"/>
  <c r="AV62" i="6"/>
  <c r="AU62" i="6"/>
  <c r="AT62" i="6"/>
  <c r="BE63" i="6"/>
  <c r="BD63" i="6"/>
  <c r="BC63" i="6"/>
  <c r="BB63" i="6"/>
  <c r="BA63" i="6"/>
  <c r="AY63" i="6"/>
  <c r="AX63" i="6"/>
  <c r="AW63" i="6"/>
  <c r="AV63" i="6"/>
  <c r="AU63" i="6"/>
  <c r="AT63" i="6"/>
  <c r="BE64" i="6"/>
  <c r="BD64" i="6"/>
  <c r="BC64" i="6"/>
  <c r="BB64" i="6"/>
  <c r="BA64" i="6"/>
  <c r="AY64" i="6"/>
  <c r="AX64" i="6"/>
  <c r="AW64" i="6"/>
  <c r="AV64" i="6"/>
  <c r="AU64" i="6"/>
  <c r="AT64" i="6"/>
  <c r="BE65" i="6"/>
  <c r="BD65" i="6"/>
  <c r="BC65" i="6"/>
  <c r="BB65" i="6"/>
  <c r="BA65" i="6"/>
  <c r="AY65" i="6"/>
  <c r="AX65" i="6"/>
  <c r="AW65" i="6"/>
  <c r="AV65" i="6"/>
  <c r="AU65" i="6"/>
  <c r="AT65" i="6"/>
  <c r="BE66" i="6"/>
  <c r="BD66" i="6"/>
  <c r="BC66" i="6"/>
  <c r="BB66" i="6"/>
  <c r="BA66" i="6"/>
  <c r="AY66" i="6"/>
  <c r="AX66" i="6"/>
  <c r="AW66" i="6"/>
  <c r="AV66" i="6"/>
  <c r="AU66" i="6"/>
  <c r="AT66" i="6"/>
  <c r="BE67" i="6"/>
  <c r="BD67" i="6"/>
  <c r="BC67" i="6"/>
  <c r="BB67" i="6"/>
  <c r="BA67" i="6"/>
  <c r="AY67" i="6"/>
  <c r="AX67" i="6"/>
  <c r="AW67" i="6"/>
  <c r="AV67" i="6"/>
  <c r="AU67" i="6"/>
  <c r="AT67" i="6"/>
  <c r="BE68" i="6"/>
  <c r="BD68" i="6"/>
  <c r="BC68" i="6"/>
  <c r="BB68" i="6"/>
  <c r="BA68" i="6"/>
  <c r="AY68" i="6"/>
  <c r="AX68" i="6"/>
  <c r="AW68" i="6"/>
  <c r="AV68" i="6"/>
  <c r="AU68" i="6"/>
  <c r="AT68" i="6"/>
  <c r="BE69" i="6"/>
  <c r="BD69" i="6"/>
  <c r="BC69" i="6"/>
  <c r="BB69" i="6"/>
  <c r="BA69" i="6"/>
  <c r="AY69" i="6"/>
  <c r="AX69" i="6"/>
  <c r="AW69" i="6"/>
  <c r="AV69" i="6"/>
  <c r="AU69" i="6"/>
  <c r="AT69" i="6"/>
  <c r="BE70" i="6"/>
  <c r="BD70" i="6"/>
  <c r="BC70" i="6"/>
  <c r="BB70" i="6"/>
  <c r="BA70" i="6"/>
  <c r="AY70" i="6"/>
  <c r="AX70" i="6"/>
  <c r="AW70" i="6"/>
  <c r="AV70" i="6"/>
  <c r="AU70" i="6"/>
  <c r="AT70" i="6"/>
  <c r="BE71" i="6"/>
  <c r="BD71" i="6"/>
  <c r="BC71" i="6"/>
  <c r="BB71" i="6"/>
  <c r="BA71" i="6"/>
  <c r="AY71" i="6"/>
  <c r="AX71" i="6"/>
  <c r="AW71" i="6"/>
  <c r="AV71" i="6"/>
  <c r="AU71" i="6"/>
  <c r="AT71" i="6"/>
  <c r="BE72" i="6"/>
  <c r="BD72" i="6"/>
  <c r="BC72" i="6"/>
  <c r="BB72" i="6"/>
  <c r="BA72" i="6"/>
  <c r="AY72" i="6"/>
  <c r="AX72" i="6"/>
  <c r="AW72" i="6"/>
  <c r="AV72" i="6"/>
  <c r="AU72" i="6"/>
  <c r="AT72" i="6"/>
  <c r="BE73" i="6"/>
  <c r="BD73" i="6"/>
  <c r="BC73" i="6"/>
  <c r="BB73" i="6"/>
  <c r="BA73" i="6"/>
  <c r="AY73" i="6"/>
  <c r="AX73" i="6"/>
  <c r="AW73" i="6"/>
  <c r="AV73" i="6"/>
  <c r="AU73" i="6"/>
  <c r="AT73" i="6"/>
  <c r="BE74" i="6"/>
  <c r="BD74" i="6"/>
  <c r="BC74" i="6"/>
  <c r="BB74" i="6"/>
  <c r="BA74" i="6"/>
  <c r="AY74" i="6"/>
  <c r="AX74" i="6"/>
  <c r="AW74" i="6"/>
  <c r="AV74" i="6"/>
  <c r="AU74" i="6"/>
  <c r="AT74" i="6"/>
  <c r="BE75" i="6"/>
  <c r="BD75" i="6"/>
  <c r="BC75" i="6"/>
  <c r="BB75" i="6"/>
  <c r="BA75" i="6"/>
  <c r="AY75" i="6"/>
  <c r="AX75" i="6"/>
  <c r="AW75" i="6"/>
  <c r="AV75" i="6"/>
  <c r="AU75" i="6"/>
  <c r="AT75" i="6"/>
  <c r="BE76" i="6"/>
  <c r="BD76" i="6"/>
  <c r="BC76" i="6"/>
  <c r="BB76" i="6"/>
  <c r="BA76" i="6"/>
  <c r="AY76" i="6"/>
  <c r="AX76" i="6"/>
  <c r="AW76" i="6"/>
  <c r="AV76" i="6"/>
  <c r="AU76" i="6"/>
  <c r="AT76" i="6"/>
  <c r="BE77" i="6"/>
  <c r="BD77" i="6"/>
  <c r="BC77" i="6"/>
  <c r="BB77" i="6"/>
  <c r="BA77" i="6"/>
  <c r="AY77" i="6"/>
  <c r="AX77" i="6"/>
  <c r="AW77" i="6"/>
  <c r="AV77" i="6"/>
  <c r="AU77" i="6"/>
  <c r="AT77" i="6"/>
  <c r="BE78" i="6"/>
  <c r="BD78" i="6"/>
  <c r="BC78" i="6"/>
  <c r="BB78" i="6"/>
  <c r="BA78" i="6"/>
  <c r="AY78" i="6"/>
  <c r="AX78" i="6"/>
  <c r="AW78" i="6"/>
  <c r="AV78" i="6"/>
  <c r="AU78" i="6"/>
  <c r="AT78" i="6"/>
  <c r="BE79" i="6"/>
  <c r="BD79" i="6"/>
  <c r="BC79" i="6"/>
  <c r="BB79" i="6"/>
  <c r="BA79" i="6"/>
  <c r="AY79" i="6"/>
  <c r="AX79" i="6"/>
  <c r="AW79" i="6"/>
  <c r="AV79" i="6"/>
  <c r="AU79" i="6"/>
  <c r="AT79" i="6"/>
  <c r="BE80" i="6"/>
  <c r="BD80" i="6"/>
  <c r="BC80" i="6"/>
  <c r="BB80" i="6"/>
  <c r="BA80" i="6"/>
  <c r="AY80" i="6"/>
  <c r="AX80" i="6"/>
  <c r="AW80" i="6"/>
  <c r="AV80" i="6"/>
  <c r="AU80" i="6"/>
  <c r="AT80" i="6"/>
  <c r="BE81" i="6"/>
  <c r="BD81" i="6"/>
  <c r="BC81" i="6"/>
  <c r="BB81" i="6"/>
  <c r="BA81" i="6"/>
  <c r="AY81" i="6"/>
  <c r="AX81" i="6"/>
  <c r="AW81" i="6"/>
  <c r="AV81" i="6"/>
  <c r="AU81" i="6"/>
  <c r="AT81" i="6"/>
  <c r="BE82" i="6"/>
  <c r="BD82" i="6"/>
  <c r="BC82" i="6"/>
  <c r="BB82" i="6"/>
  <c r="BA82" i="6"/>
  <c r="AY82" i="6"/>
  <c r="AX82" i="6"/>
  <c r="AW82" i="6"/>
  <c r="AV82" i="6"/>
  <c r="AU82" i="6"/>
  <c r="AT82" i="6"/>
  <c r="BE83" i="6"/>
  <c r="BD83" i="6"/>
  <c r="BC83" i="6"/>
  <c r="BB83" i="6"/>
  <c r="BA83" i="6"/>
  <c r="AY83" i="6"/>
  <c r="AX83" i="6"/>
  <c r="AW83" i="6"/>
  <c r="AV83" i="6"/>
  <c r="AU83" i="6"/>
  <c r="AT83" i="6"/>
  <c r="BE84" i="6"/>
  <c r="BD84" i="6"/>
  <c r="BC84" i="6"/>
  <c r="BB84" i="6"/>
  <c r="BA84" i="6"/>
  <c r="AY84" i="6"/>
  <c r="AX84" i="6"/>
  <c r="AW84" i="6"/>
  <c r="AV84" i="6"/>
  <c r="AU84" i="6"/>
  <c r="AT84" i="6"/>
  <c r="BE85" i="6"/>
  <c r="BD85" i="6"/>
  <c r="BC85" i="6"/>
  <c r="BB85" i="6"/>
  <c r="BA85" i="6"/>
  <c r="AY85" i="6"/>
  <c r="AX85" i="6"/>
  <c r="AW85" i="6"/>
  <c r="AV85" i="6"/>
  <c r="AU85" i="6"/>
  <c r="AT85" i="6"/>
  <c r="BE86" i="6"/>
  <c r="BD86" i="6"/>
  <c r="BC86" i="6"/>
  <c r="BB86" i="6"/>
  <c r="BA86" i="6"/>
  <c r="AY86" i="6"/>
  <c r="AX86" i="6"/>
  <c r="AW86" i="6"/>
  <c r="AV86" i="6"/>
  <c r="AU86" i="6"/>
  <c r="AT86" i="6"/>
  <c r="BE87" i="6"/>
  <c r="BD87" i="6"/>
  <c r="BC87" i="6"/>
  <c r="BB87" i="6"/>
  <c r="BA87" i="6"/>
  <c r="AY87" i="6"/>
  <c r="AX87" i="6"/>
  <c r="AW87" i="6"/>
  <c r="AV87" i="6"/>
  <c r="AU87" i="6"/>
  <c r="AT87" i="6"/>
  <c r="BE88" i="6"/>
  <c r="BD88" i="6"/>
  <c r="BC88" i="6"/>
  <c r="BB88" i="6"/>
  <c r="BA88" i="6"/>
  <c r="AY88" i="6"/>
  <c r="AX88" i="6"/>
  <c r="AW88" i="6"/>
  <c r="AV88" i="6"/>
  <c r="AU88" i="6"/>
  <c r="AT88" i="6"/>
  <c r="BE89" i="6"/>
  <c r="BD89" i="6"/>
  <c r="BC89" i="6"/>
  <c r="BB89" i="6"/>
  <c r="BA89" i="6"/>
  <c r="AY89" i="6"/>
  <c r="AX89" i="6"/>
  <c r="AW89" i="6"/>
  <c r="AV89" i="6"/>
  <c r="AU89" i="6"/>
  <c r="AT89" i="6"/>
  <c r="BE90" i="6"/>
  <c r="BD90" i="6"/>
  <c r="BC90" i="6"/>
  <c r="BB90" i="6"/>
  <c r="BA90" i="6"/>
  <c r="AY90" i="6"/>
  <c r="AX90" i="6"/>
  <c r="AW90" i="6"/>
  <c r="AV90" i="6"/>
  <c r="AU90" i="6"/>
  <c r="AT90" i="6"/>
  <c r="BE91" i="6"/>
  <c r="BD91" i="6"/>
  <c r="BC91" i="6"/>
  <c r="BB91" i="6"/>
  <c r="BA91" i="6"/>
  <c r="AY91" i="6"/>
  <c r="AX91" i="6"/>
  <c r="AW91" i="6"/>
  <c r="AV91" i="6"/>
  <c r="AU91" i="6"/>
  <c r="AT91" i="6"/>
  <c r="BE92" i="6"/>
  <c r="BD92" i="6"/>
  <c r="BC92" i="6"/>
  <c r="BB92" i="6"/>
  <c r="BA92" i="6"/>
  <c r="AY92" i="6"/>
  <c r="AX92" i="6"/>
  <c r="AW92" i="6"/>
  <c r="AV92" i="6"/>
  <c r="AU92" i="6"/>
  <c r="AT92" i="6"/>
  <c r="BE93" i="6"/>
  <c r="BD93" i="6"/>
  <c r="BC93" i="6"/>
  <c r="BB93" i="6"/>
  <c r="BA93" i="6"/>
  <c r="AY93" i="6"/>
  <c r="AX93" i="6"/>
  <c r="AW93" i="6"/>
  <c r="AV93" i="6"/>
  <c r="AU93" i="6"/>
  <c r="AT93" i="6"/>
  <c r="BE94" i="6"/>
  <c r="BD94" i="6"/>
  <c r="BC94" i="6"/>
  <c r="BB94" i="6"/>
  <c r="BA94" i="6"/>
  <c r="AY94" i="6"/>
  <c r="AX94" i="6"/>
  <c r="AW94" i="6"/>
  <c r="AV94" i="6"/>
  <c r="AU94" i="6"/>
  <c r="AT94" i="6"/>
  <c r="BE95" i="6"/>
  <c r="BD95" i="6"/>
  <c r="BC95" i="6"/>
  <c r="BB95" i="6"/>
  <c r="BA95" i="6"/>
  <c r="AY95" i="6"/>
  <c r="AX95" i="6"/>
  <c r="AW95" i="6"/>
  <c r="AV95" i="6"/>
  <c r="AU95" i="6"/>
  <c r="AT95" i="6"/>
  <c r="BE96" i="6"/>
  <c r="BD96" i="6"/>
  <c r="BC96" i="6"/>
  <c r="BB96" i="6"/>
  <c r="BA96" i="6"/>
  <c r="AY96" i="6"/>
  <c r="AX96" i="6"/>
  <c r="AW96" i="6"/>
  <c r="AV96" i="6"/>
  <c r="AU96" i="6"/>
  <c r="AT96" i="6"/>
  <c r="BE97" i="6"/>
  <c r="BD97" i="6"/>
  <c r="BC97" i="6"/>
  <c r="BB97" i="6"/>
  <c r="BA97" i="6"/>
  <c r="AY97" i="6"/>
  <c r="AX97" i="6"/>
  <c r="AW97" i="6"/>
  <c r="AV97" i="6"/>
  <c r="AU97" i="6"/>
  <c r="AT97" i="6"/>
  <c r="BE98" i="6"/>
  <c r="BD98" i="6"/>
  <c r="BC98" i="6"/>
  <c r="BB98" i="6"/>
  <c r="BA98" i="6"/>
  <c r="AY98" i="6"/>
  <c r="AX98" i="6"/>
  <c r="AW98" i="6"/>
  <c r="AV98" i="6"/>
  <c r="AU98" i="6"/>
  <c r="AT98" i="6"/>
  <c r="BE99" i="6"/>
  <c r="BD99" i="6"/>
  <c r="BC99" i="6"/>
  <c r="BB99" i="6"/>
  <c r="BA99" i="6"/>
  <c r="AY99" i="6"/>
  <c r="AX99" i="6"/>
  <c r="AW99" i="6"/>
  <c r="AV99" i="6"/>
  <c r="AU99" i="6"/>
  <c r="AT99" i="6"/>
  <c r="BE100" i="6"/>
  <c r="BD100" i="6"/>
  <c r="BC100" i="6"/>
  <c r="BB100" i="6"/>
  <c r="BA100" i="6"/>
  <c r="AY100" i="6"/>
  <c r="AX100" i="6"/>
  <c r="AW100" i="6"/>
  <c r="AV100" i="6"/>
  <c r="AU100" i="6"/>
  <c r="AT100" i="6"/>
  <c r="BE101" i="6"/>
  <c r="BD101" i="6"/>
  <c r="BC101" i="6"/>
  <c r="BB101" i="6"/>
  <c r="BA101" i="6"/>
  <c r="AY101" i="6"/>
  <c r="AX101" i="6"/>
  <c r="AW101" i="6"/>
  <c r="AV101" i="6"/>
  <c r="AU101" i="6"/>
  <c r="AT101" i="6"/>
  <c r="BE102" i="6"/>
  <c r="BD102" i="6"/>
  <c r="BC102" i="6"/>
  <c r="BB102" i="6"/>
  <c r="BA102" i="6"/>
  <c r="AY102" i="6"/>
  <c r="AX102" i="6"/>
  <c r="AW102" i="6"/>
  <c r="AV102" i="6"/>
  <c r="AU102" i="6"/>
  <c r="AT102" i="6"/>
  <c r="BE103" i="6"/>
  <c r="BD103" i="6"/>
  <c r="BC103" i="6"/>
  <c r="BB103" i="6"/>
  <c r="BA103" i="6"/>
  <c r="AY103" i="6"/>
  <c r="AX103" i="6"/>
  <c r="AW103" i="6"/>
  <c r="AV103" i="6"/>
  <c r="AU103" i="6"/>
  <c r="AT103" i="6"/>
  <c r="BE104" i="6"/>
  <c r="BD104" i="6"/>
  <c r="BC104" i="6"/>
  <c r="BB104" i="6"/>
  <c r="BA104" i="6"/>
  <c r="AY104" i="6"/>
  <c r="AX104" i="6"/>
  <c r="AW104" i="6"/>
  <c r="AV104" i="6"/>
  <c r="AU104" i="6"/>
  <c r="AT104" i="6"/>
  <c r="BE105" i="6"/>
  <c r="BD105" i="6"/>
  <c r="BC105" i="6"/>
  <c r="BB105" i="6"/>
  <c r="BA105" i="6"/>
  <c r="AY105" i="6"/>
  <c r="AX105" i="6"/>
  <c r="AW105" i="6"/>
  <c r="AV105" i="6"/>
  <c r="AU105" i="6"/>
  <c r="AT105" i="6"/>
  <c r="BE106" i="6"/>
  <c r="BD106" i="6"/>
  <c r="BC106" i="6"/>
  <c r="BB106" i="6"/>
  <c r="BA106" i="6"/>
  <c r="AY106" i="6"/>
  <c r="AX106" i="6"/>
  <c r="AW106" i="6"/>
  <c r="AV106" i="6"/>
  <c r="AU106" i="6"/>
  <c r="AT106" i="6"/>
  <c r="BE107" i="6"/>
  <c r="BD107" i="6"/>
  <c r="BC107" i="6"/>
  <c r="BB107" i="6"/>
  <c r="BA107" i="6"/>
  <c r="AY107" i="6"/>
  <c r="AX107" i="6"/>
  <c r="AW107" i="6"/>
  <c r="AV107" i="6"/>
  <c r="AU107" i="6"/>
  <c r="AT107" i="6"/>
  <c r="BE108" i="6"/>
  <c r="BD108" i="6"/>
  <c r="BC108" i="6"/>
  <c r="BB108" i="6"/>
  <c r="BA108" i="6"/>
  <c r="AY108" i="6"/>
  <c r="AX108" i="6"/>
  <c r="AW108" i="6"/>
  <c r="AV108" i="6"/>
  <c r="AU108" i="6"/>
  <c r="AT108" i="6"/>
  <c r="BE109" i="6"/>
  <c r="BD109" i="6"/>
  <c r="BC109" i="6"/>
  <c r="BB109" i="6"/>
  <c r="BA109" i="6"/>
  <c r="AY109" i="6"/>
  <c r="AX109" i="6"/>
  <c r="AW109" i="6"/>
  <c r="AV109" i="6"/>
  <c r="AU109" i="6"/>
  <c r="AT109" i="6"/>
  <c r="BE110" i="6"/>
  <c r="BD110" i="6"/>
  <c r="BC110" i="6"/>
  <c r="BB110" i="6"/>
  <c r="BA110" i="6"/>
  <c r="AY110" i="6"/>
  <c r="AX110" i="6"/>
  <c r="AW110" i="6"/>
  <c r="AV110" i="6"/>
  <c r="AU110" i="6"/>
  <c r="AT110" i="6"/>
  <c r="BE111" i="6"/>
  <c r="BD111" i="6"/>
  <c r="BC111" i="6"/>
  <c r="BB111" i="6"/>
  <c r="BA111" i="6"/>
  <c r="AY111" i="6"/>
  <c r="AX111" i="6"/>
  <c r="AW111" i="6"/>
  <c r="AV111" i="6"/>
  <c r="AU111" i="6"/>
  <c r="AT111" i="6"/>
  <c r="BE112" i="6"/>
  <c r="BD112" i="6"/>
  <c r="BC112" i="6"/>
  <c r="BB112" i="6"/>
  <c r="BA112" i="6"/>
  <c r="AY112" i="6"/>
  <c r="AX112" i="6"/>
  <c r="AW112" i="6"/>
  <c r="AV112" i="6"/>
  <c r="AU112" i="6"/>
  <c r="AT112" i="6"/>
  <c r="BE113" i="6"/>
  <c r="BD113" i="6"/>
  <c r="BC113" i="6"/>
  <c r="BB113" i="6"/>
  <c r="BA113" i="6"/>
  <c r="AY113" i="6"/>
  <c r="AX113" i="6"/>
  <c r="AW113" i="6"/>
  <c r="AV113" i="6"/>
  <c r="AU113" i="6"/>
  <c r="AT113" i="6"/>
  <c r="BE114" i="6"/>
  <c r="BD114" i="6"/>
  <c r="BC114" i="6"/>
  <c r="BB114" i="6"/>
  <c r="BA114" i="6"/>
  <c r="AY114" i="6"/>
  <c r="AX114" i="6"/>
  <c r="AW114" i="6"/>
  <c r="AV114" i="6"/>
  <c r="AU114" i="6"/>
  <c r="AT114" i="6"/>
  <c r="BE115" i="6"/>
  <c r="BD115" i="6"/>
  <c r="BC115" i="6"/>
  <c r="BB115" i="6"/>
  <c r="BA115" i="6"/>
  <c r="AY115" i="6"/>
  <c r="AX115" i="6"/>
  <c r="AW115" i="6"/>
  <c r="AV115" i="6"/>
  <c r="AU115" i="6"/>
  <c r="AT115" i="6"/>
  <c r="E37" i="13"/>
  <c r="J17" i="13"/>
  <c r="J8" i="7"/>
  <c r="J275" i="13" s="1"/>
  <c r="J44" i="13"/>
  <c r="J18" i="13"/>
  <c r="F115" i="13"/>
  <c r="F114" i="13"/>
  <c r="F113" i="13"/>
  <c r="F112" i="13"/>
  <c r="F111" i="13"/>
  <c r="F110" i="13"/>
  <c r="F109" i="13"/>
  <c r="A82" i="13"/>
  <c r="A81" i="10"/>
  <c r="A92" i="9"/>
  <c r="G88" i="9"/>
  <c r="F88" i="9"/>
  <c r="E88" i="9"/>
  <c r="G87" i="9"/>
  <c r="F87" i="9"/>
  <c r="E87" i="9"/>
  <c r="G86" i="9"/>
  <c r="F86" i="9"/>
  <c r="E86" i="9"/>
  <c r="G85" i="9"/>
  <c r="F85" i="9"/>
  <c r="E85" i="9"/>
  <c r="G84" i="9"/>
  <c r="F84" i="9"/>
  <c r="E84" i="9"/>
  <c r="G83" i="9"/>
  <c r="F83" i="9"/>
  <c r="E83" i="9"/>
  <c r="G82" i="9"/>
  <c r="F82" i="9"/>
  <c r="E82" i="9"/>
  <c r="G81" i="9"/>
  <c r="F81" i="9"/>
  <c r="E81" i="9"/>
  <c r="G80" i="9"/>
  <c r="F80" i="9"/>
  <c r="E80" i="9"/>
  <c r="G79" i="9"/>
  <c r="F79" i="9"/>
  <c r="E79" i="9"/>
  <c r="G78" i="9"/>
  <c r="F78" i="9"/>
  <c r="E78" i="9"/>
  <c r="G77" i="9"/>
  <c r="F77" i="9"/>
  <c r="E77" i="9"/>
  <c r="G76" i="9"/>
  <c r="F76" i="9"/>
  <c r="E76" i="9"/>
  <c r="G75" i="9"/>
  <c r="F75" i="9"/>
  <c r="E75" i="9"/>
  <c r="G74" i="9"/>
  <c r="F74" i="9"/>
  <c r="E74" i="9"/>
  <c r="G73" i="9"/>
  <c r="F73" i="9"/>
  <c r="E73" i="9"/>
  <c r="G72" i="9"/>
  <c r="F72" i="9"/>
  <c r="E72" i="9"/>
  <c r="G71" i="9"/>
  <c r="F71" i="9"/>
  <c r="E71" i="9"/>
  <c r="G70" i="9"/>
  <c r="F70" i="9"/>
  <c r="E70" i="9"/>
  <c r="G69" i="9"/>
  <c r="F69" i="9"/>
  <c r="E69" i="9"/>
  <c r="G68" i="9"/>
  <c r="F68" i="9"/>
  <c r="E68" i="9"/>
  <c r="G67" i="9"/>
  <c r="F67" i="9"/>
  <c r="E67" i="9"/>
  <c r="G66" i="9"/>
  <c r="F66" i="9"/>
  <c r="E66" i="9"/>
  <c r="G65" i="9"/>
  <c r="F65" i="9"/>
  <c r="E65" i="9"/>
  <c r="G64" i="9"/>
  <c r="F64" i="9"/>
  <c r="E64" i="9"/>
  <c r="G63" i="9"/>
  <c r="F63" i="9"/>
  <c r="E63" i="9"/>
  <c r="G62" i="9"/>
  <c r="F62" i="9"/>
  <c r="E62" i="9"/>
  <c r="G61" i="9"/>
  <c r="F61" i="9"/>
  <c r="E61" i="9"/>
  <c r="G60" i="9"/>
  <c r="F60" i="9"/>
  <c r="E60" i="9"/>
  <c r="G59" i="9"/>
  <c r="F59" i="9"/>
  <c r="E59" i="9"/>
  <c r="G58" i="9"/>
  <c r="F58" i="9"/>
  <c r="E58" i="9"/>
  <c r="G57" i="9"/>
  <c r="F57" i="9"/>
  <c r="E57" i="9"/>
  <c r="G56" i="9"/>
  <c r="F56" i="9"/>
  <c r="E56" i="9"/>
  <c r="G55" i="9"/>
  <c r="F55" i="9"/>
  <c r="E55" i="9"/>
  <c r="G54" i="9"/>
  <c r="F54" i="9"/>
  <c r="E54" i="9"/>
  <c r="G53" i="9"/>
  <c r="F53" i="9"/>
  <c r="E53" i="9"/>
  <c r="G52" i="9"/>
  <c r="F52" i="9"/>
  <c r="E52" i="9"/>
  <c r="G51" i="9"/>
  <c r="F51" i="9"/>
  <c r="E51" i="9"/>
  <c r="G50" i="9"/>
  <c r="F50" i="9"/>
  <c r="E50" i="9"/>
  <c r="G49" i="9"/>
  <c r="F49" i="9"/>
  <c r="E49" i="9"/>
  <c r="G48" i="9"/>
  <c r="F48" i="9"/>
  <c r="E48" i="9"/>
  <c r="G47" i="9"/>
  <c r="F47" i="9"/>
  <c r="E47" i="9"/>
  <c r="G46" i="9"/>
  <c r="F46" i="9"/>
  <c r="E46" i="9"/>
  <c r="G45" i="9"/>
  <c r="F45" i="9"/>
  <c r="E45" i="9"/>
  <c r="G44" i="9"/>
  <c r="F44" i="9"/>
  <c r="E44" i="9"/>
  <c r="G43" i="9"/>
  <c r="F43" i="9"/>
  <c r="E43" i="9"/>
  <c r="G42" i="9"/>
  <c r="F42" i="9"/>
  <c r="E42" i="9"/>
  <c r="G41" i="9"/>
  <c r="F41" i="9"/>
  <c r="E41" i="9"/>
  <c r="G40" i="9"/>
  <c r="F40" i="9"/>
  <c r="E40" i="9"/>
  <c r="G39" i="9"/>
  <c r="F39" i="9"/>
  <c r="E39" i="9"/>
  <c r="A233" i="8"/>
  <c r="O67" i="8"/>
  <c r="O66" i="8"/>
  <c r="O65" i="8"/>
  <c r="O64" i="8"/>
  <c r="O63" i="8"/>
  <c r="O62" i="8"/>
  <c r="O61" i="8"/>
  <c r="O60" i="8"/>
  <c r="O59" i="8"/>
  <c r="O58" i="8"/>
  <c r="O57" i="8"/>
  <c r="O56" i="8"/>
  <c r="O55" i="8"/>
  <c r="O54" i="8"/>
  <c r="O53" i="8"/>
  <c r="O52" i="8"/>
  <c r="O51" i="8"/>
  <c r="O50" i="8"/>
  <c r="O49" i="8"/>
  <c r="O48" i="8"/>
  <c r="O47" i="8"/>
  <c r="O46" i="8"/>
  <c r="O45" i="8"/>
  <c r="O44" i="8"/>
  <c r="O43" i="8"/>
  <c r="O42" i="8"/>
  <c r="O41" i="8"/>
  <c r="O40" i="8"/>
  <c r="O39" i="8"/>
  <c r="O38" i="8"/>
  <c r="O37" i="8"/>
  <c r="O36" i="8"/>
  <c r="O35" i="8"/>
  <c r="O34" i="8"/>
  <c r="O33" i="8"/>
  <c r="O32" i="8"/>
  <c r="O31" i="8"/>
  <c r="O30" i="8"/>
  <c r="O29" i="8"/>
  <c r="O28" i="8"/>
  <c r="F165" i="13" s="1"/>
  <c r="AV56" i="7"/>
  <c r="AS56" i="7"/>
  <c r="AR56" i="7"/>
  <c r="AQ56" i="7"/>
  <c r="AO56" i="7"/>
  <c r="G82" i="13" s="1"/>
  <c r="AN56" i="7"/>
  <c r="AM56" i="7"/>
  <c r="E82" i="13" s="1"/>
  <c r="AL56" i="7"/>
  <c r="AK56" i="7"/>
  <c r="AJ56" i="7"/>
  <c r="AI56" i="7"/>
  <c r="H83" i="13"/>
  <c r="A83" i="13"/>
  <c r="A82" i="10"/>
  <c r="A93" i="9"/>
  <c r="A234" i="8"/>
  <c r="AV57" i="7"/>
  <c r="AS57" i="7"/>
  <c r="AR57" i="7"/>
  <c r="AQ57" i="7"/>
  <c r="AO57" i="7"/>
  <c r="G83" i="13" s="1"/>
  <c r="AN57" i="7"/>
  <c r="AM57" i="7"/>
  <c r="E83" i="13" s="1"/>
  <c r="AL57" i="7"/>
  <c r="AK57" i="7"/>
  <c r="AJ57" i="7"/>
  <c r="AI57" i="7"/>
  <c r="H84" i="13"/>
  <c r="A84" i="13"/>
  <c r="A83" i="10"/>
  <c r="A94" i="9"/>
  <c r="A235" i="8"/>
  <c r="AV58" i="7"/>
  <c r="AS58" i="7"/>
  <c r="AR58" i="7"/>
  <c r="AQ58" i="7"/>
  <c r="AO58" i="7"/>
  <c r="G84" i="13" s="1"/>
  <c r="AN58" i="7"/>
  <c r="AM58" i="7"/>
  <c r="E84" i="13" s="1"/>
  <c r="AL58" i="7"/>
  <c r="AK58" i="7"/>
  <c r="AJ58" i="7"/>
  <c r="AI58" i="7"/>
  <c r="H85" i="13"/>
  <c r="A85" i="13"/>
  <c r="A84" i="10"/>
  <c r="A95" i="9"/>
  <c r="A236" i="8"/>
  <c r="AV59" i="7"/>
  <c r="AS59" i="7"/>
  <c r="AR59" i="7"/>
  <c r="AQ59" i="7"/>
  <c r="AO59" i="7"/>
  <c r="G85" i="13" s="1"/>
  <c r="AN59" i="7"/>
  <c r="AM59" i="7"/>
  <c r="E85" i="13" s="1"/>
  <c r="AL59" i="7"/>
  <c r="AK59" i="7"/>
  <c r="AJ59" i="7"/>
  <c r="AI59" i="7"/>
  <c r="H86" i="13"/>
  <c r="A86" i="13"/>
  <c r="A85" i="10"/>
  <c r="A96" i="9"/>
  <c r="A237" i="8"/>
  <c r="AV60" i="7"/>
  <c r="AS60" i="7"/>
  <c r="AR60" i="7"/>
  <c r="AQ60" i="7"/>
  <c r="AO60" i="7"/>
  <c r="G86" i="13" s="1"/>
  <c r="AN60" i="7"/>
  <c r="AM60" i="7"/>
  <c r="E86" i="13" s="1"/>
  <c r="AL60" i="7"/>
  <c r="AK60" i="7"/>
  <c r="AJ60" i="7"/>
  <c r="AI60" i="7"/>
  <c r="H87" i="13"/>
  <c r="A87" i="13"/>
  <c r="A86" i="10"/>
  <c r="A97" i="9"/>
  <c r="A238" i="8"/>
  <c r="AV61" i="7"/>
  <c r="AS61" i="7"/>
  <c r="AR61" i="7"/>
  <c r="AQ61" i="7"/>
  <c r="AO61" i="7"/>
  <c r="G87" i="13" s="1"/>
  <c r="AN61" i="7"/>
  <c r="AM61" i="7"/>
  <c r="E87" i="13" s="1"/>
  <c r="AL61" i="7"/>
  <c r="AK61" i="7"/>
  <c r="AJ61" i="7"/>
  <c r="AI61" i="7"/>
  <c r="H88" i="13"/>
  <c r="A88" i="13"/>
  <c r="A87" i="10"/>
  <c r="A98" i="9"/>
  <c r="A239" i="8"/>
  <c r="AV62" i="7"/>
  <c r="AS62" i="7"/>
  <c r="AR62" i="7"/>
  <c r="AQ62" i="7"/>
  <c r="AO62" i="7"/>
  <c r="G88" i="13" s="1"/>
  <c r="AN62" i="7"/>
  <c r="AM62" i="7"/>
  <c r="E88" i="13" s="1"/>
  <c r="AL62" i="7"/>
  <c r="AK62" i="7"/>
  <c r="AJ62" i="7"/>
  <c r="AI62" i="7"/>
  <c r="H89" i="13"/>
  <c r="A89" i="13"/>
  <c r="A88" i="10"/>
  <c r="A99" i="9"/>
  <c r="A240" i="8"/>
  <c r="AV63" i="7"/>
  <c r="AS63" i="7"/>
  <c r="AR63" i="7"/>
  <c r="AQ63" i="7"/>
  <c r="AO63" i="7"/>
  <c r="G89" i="13" s="1"/>
  <c r="AN63" i="7"/>
  <c r="AM63" i="7"/>
  <c r="E89" i="13" s="1"/>
  <c r="AL63" i="7"/>
  <c r="AK63" i="7"/>
  <c r="AJ63" i="7"/>
  <c r="AI63" i="7"/>
  <c r="H90" i="13"/>
  <c r="A90" i="13"/>
  <c r="A89" i="10"/>
  <c r="A100" i="9"/>
  <c r="A241" i="8"/>
  <c r="AV64" i="7"/>
  <c r="AS64" i="7"/>
  <c r="AR64" i="7"/>
  <c r="AQ64" i="7"/>
  <c r="AO64" i="7"/>
  <c r="G90" i="13" s="1"/>
  <c r="AN64" i="7"/>
  <c r="AM64" i="7"/>
  <c r="E90" i="13" s="1"/>
  <c r="AL64" i="7"/>
  <c r="AK64" i="7"/>
  <c r="AJ64" i="7"/>
  <c r="AI64" i="7"/>
  <c r="H91" i="13"/>
  <c r="A91" i="13"/>
  <c r="A90" i="10"/>
  <c r="A101" i="9"/>
  <c r="A242" i="8"/>
  <c r="AV65" i="7"/>
  <c r="AS65" i="7"/>
  <c r="AR65" i="7"/>
  <c r="AQ65" i="7"/>
  <c r="AO65" i="7"/>
  <c r="G91" i="13" s="1"/>
  <c r="AN65" i="7"/>
  <c r="AM65" i="7"/>
  <c r="E91" i="13" s="1"/>
  <c r="AL65" i="7"/>
  <c r="AK65" i="7"/>
  <c r="AJ65" i="7"/>
  <c r="AI65" i="7"/>
  <c r="H92" i="13"/>
  <c r="A92" i="13"/>
  <c r="A91" i="10"/>
  <c r="A102" i="9"/>
  <c r="A243" i="8"/>
  <c r="AV66" i="7"/>
  <c r="AS66" i="7"/>
  <c r="AR66" i="7"/>
  <c r="AQ66" i="7"/>
  <c r="AO66" i="7"/>
  <c r="G92" i="13" s="1"/>
  <c r="AN66" i="7"/>
  <c r="AM66" i="7"/>
  <c r="E92" i="13" s="1"/>
  <c r="AL66" i="7"/>
  <c r="AK66" i="7"/>
  <c r="AJ66" i="7"/>
  <c r="AI66" i="7"/>
  <c r="H93" i="13"/>
  <c r="A93" i="13"/>
  <c r="A92" i="10"/>
  <c r="A103" i="9"/>
  <c r="A244" i="8"/>
  <c r="AV67" i="7"/>
  <c r="AS67" i="7"/>
  <c r="AR67" i="7"/>
  <c r="AQ67" i="7"/>
  <c r="AO67" i="7"/>
  <c r="G93" i="13" s="1"/>
  <c r="AN67" i="7"/>
  <c r="AM67" i="7"/>
  <c r="E93" i="13" s="1"/>
  <c r="AL67" i="7"/>
  <c r="AK67" i="7"/>
  <c r="AJ67" i="7"/>
  <c r="AI67" i="7"/>
  <c r="H94" i="13"/>
  <c r="A94" i="13"/>
  <c r="A93" i="10"/>
  <c r="A104" i="9"/>
  <c r="A245" i="8"/>
  <c r="AV68" i="7"/>
  <c r="AS68" i="7"/>
  <c r="AR68" i="7"/>
  <c r="AQ68" i="7"/>
  <c r="AO68" i="7"/>
  <c r="G94" i="13" s="1"/>
  <c r="AN68" i="7"/>
  <c r="AM68" i="7"/>
  <c r="E94" i="13" s="1"/>
  <c r="AL68" i="7"/>
  <c r="AK68" i="7"/>
  <c r="AJ68" i="7"/>
  <c r="AI68" i="7"/>
  <c r="H95" i="13"/>
  <c r="A95" i="13"/>
  <c r="A94" i="10"/>
  <c r="A105" i="9"/>
  <c r="A246" i="8"/>
  <c r="AV69" i="7"/>
  <c r="AS69" i="7"/>
  <c r="AR69" i="7"/>
  <c r="AQ69" i="7"/>
  <c r="AO69" i="7"/>
  <c r="G95" i="13" s="1"/>
  <c r="AN69" i="7"/>
  <c r="AM69" i="7"/>
  <c r="E95" i="13" s="1"/>
  <c r="AL69" i="7"/>
  <c r="AK69" i="7"/>
  <c r="AJ69" i="7"/>
  <c r="AI69" i="7"/>
  <c r="H96" i="13"/>
  <c r="A96" i="13"/>
  <c r="A95" i="10"/>
  <c r="A106" i="9"/>
  <c r="A247" i="8"/>
  <c r="AV70" i="7"/>
  <c r="AS70" i="7"/>
  <c r="AR70" i="7"/>
  <c r="AQ70" i="7"/>
  <c r="AO70" i="7"/>
  <c r="G96" i="13" s="1"/>
  <c r="AN70" i="7"/>
  <c r="AM70" i="7"/>
  <c r="E96" i="13" s="1"/>
  <c r="AL70" i="7"/>
  <c r="AK70" i="7"/>
  <c r="AJ70" i="7"/>
  <c r="AI70" i="7"/>
  <c r="H97" i="13"/>
  <c r="A97" i="13"/>
  <c r="A96" i="10"/>
  <c r="A107" i="9"/>
  <c r="A248" i="8"/>
  <c r="AV71" i="7"/>
  <c r="AS71" i="7"/>
  <c r="AR71" i="7"/>
  <c r="AQ71" i="7"/>
  <c r="AO71" i="7"/>
  <c r="G97" i="13" s="1"/>
  <c r="AN71" i="7"/>
  <c r="AM71" i="7"/>
  <c r="E97" i="13" s="1"/>
  <c r="AL71" i="7"/>
  <c r="AK71" i="7"/>
  <c r="AJ71" i="7"/>
  <c r="AI71" i="7"/>
  <c r="H98" i="13"/>
  <c r="A98" i="13"/>
  <c r="A97" i="10"/>
  <c r="A108" i="9"/>
  <c r="A249" i="8"/>
  <c r="AV72" i="7"/>
  <c r="AS72" i="7"/>
  <c r="AR72" i="7"/>
  <c r="AQ72" i="7"/>
  <c r="AO72" i="7"/>
  <c r="G98" i="13" s="1"/>
  <c r="AN72" i="7"/>
  <c r="AM72" i="7"/>
  <c r="E98" i="13" s="1"/>
  <c r="AL72" i="7"/>
  <c r="AK72" i="7"/>
  <c r="AJ72" i="7"/>
  <c r="AI72" i="7"/>
  <c r="H99" i="13"/>
  <c r="A99" i="13"/>
  <c r="A98" i="10"/>
  <c r="A109" i="9"/>
  <c r="A250" i="8"/>
  <c r="AV73" i="7"/>
  <c r="AS73" i="7"/>
  <c r="AR73" i="7"/>
  <c r="AQ73" i="7"/>
  <c r="AO73" i="7"/>
  <c r="G99" i="13" s="1"/>
  <c r="AN73" i="7"/>
  <c r="AM73" i="7"/>
  <c r="E99" i="13" s="1"/>
  <c r="AL73" i="7"/>
  <c r="AK73" i="7"/>
  <c r="AJ73" i="7"/>
  <c r="AI73" i="7"/>
  <c r="H100" i="13"/>
  <c r="A100" i="13"/>
  <c r="A99" i="10"/>
  <c r="A110" i="9"/>
  <c r="A251" i="8"/>
  <c r="AV74" i="7"/>
  <c r="AS74" i="7"/>
  <c r="AR74" i="7"/>
  <c r="AQ74" i="7"/>
  <c r="AO74" i="7"/>
  <c r="G100" i="13" s="1"/>
  <c r="AN74" i="7"/>
  <c r="AM74" i="7"/>
  <c r="E100" i="13" s="1"/>
  <c r="AL74" i="7"/>
  <c r="AK74" i="7"/>
  <c r="AJ74" i="7"/>
  <c r="AI74" i="7"/>
  <c r="H101" i="13"/>
  <c r="A101" i="13"/>
  <c r="A100" i="10"/>
  <c r="A111" i="9"/>
  <c r="A252" i="8"/>
  <c r="AV75" i="7"/>
  <c r="AS75" i="7"/>
  <c r="AR75" i="7"/>
  <c r="AQ75" i="7"/>
  <c r="AO75" i="7"/>
  <c r="G101" i="13" s="1"/>
  <c r="AN75" i="7"/>
  <c r="AM75" i="7"/>
  <c r="E101" i="13" s="1"/>
  <c r="AL75" i="7"/>
  <c r="AK75" i="7"/>
  <c r="AJ75" i="7"/>
  <c r="AI75" i="7"/>
  <c r="H102" i="13"/>
  <c r="A102" i="13"/>
  <c r="A112" i="9"/>
  <c r="A253" i="8"/>
  <c r="AV76" i="7"/>
  <c r="AS76" i="7"/>
  <c r="AR76" i="7"/>
  <c r="AQ76" i="7"/>
  <c r="AO76" i="7"/>
  <c r="G102" i="13" s="1"/>
  <c r="AN76" i="7"/>
  <c r="AM76" i="7"/>
  <c r="E102" i="13" s="1"/>
  <c r="AL76" i="7"/>
  <c r="AK76" i="7"/>
  <c r="AJ76" i="7"/>
  <c r="AI76" i="7"/>
  <c r="H103" i="13"/>
  <c r="A103" i="13"/>
  <c r="A113" i="9"/>
  <c r="A254" i="8"/>
  <c r="AV77" i="7"/>
  <c r="AS77" i="7"/>
  <c r="AR77" i="7"/>
  <c r="AQ77" i="7"/>
  <c r="AO77" i="7"/>
  <c r="G103" i="13" s="1"/>
  <c r="AN77" i="7"/>
  <c r="AM77" i="7"/>
  <c r="E103" i="13" s="1"/>
  <c r="AL77" i="7"/>
  <c r="AK77" i="7"/>
  <c r="AJ77" i="7"/>
  <c r="AI77" i="7"/>
  <c r="H104" i="13"/>
  <c r="A104" i="13"/>
  <c r="A114" i="9"/>
  <c r="A255" i="8"/>
  <c r="AV78" i="7"/>
  <c r="AS78" i="7"/>
  <c r="AR78" i="7"/>
  <c r="AQ78" i="7"/>
  <c r="AO78" i="7"/>
  <c r="G104" i="13" s="1"/>
  <c r="AN78" i="7"/>
  <c r="AM78" i="7"/>
  <c r="E104" i="13" s="1"/>
  <c r="AL78" i="7"/>
  <c r="AK78" i="7"/>
  <c r="AJ78" i="7"/>
  <c r="AI78" i="7"/>
  <c r="H105" i="13"/>
  <c r="A105" i="13"/>
  <c r="A115" i="9"/>
  <c r="A256" i="8"/>
  <c r="AV79" i="7"/>
  <c r="AS79" i="7"/>
  <c r="AR79" i="7"/>
  <c r="AQ79" i="7"/>
  <c r="AO79" i="7"/>
  <c r="G105" i="13" s="1"/>
  <c r="AN79" i="7"/>
  <c r="AM79" i="7"/>
  <c r="E105" i="13" s="1"/>
  <c r="AL79" i="7"/>
  <c r="AK79" i="7"/>
  <c r="AJ79" i="7"/>
  <c r="AI79" i="7"/>
  <c r="H106" i="13"/>
  <c r="A106" i="13"/>
  <c r="A116" i="9"/>
  <c r="A257" i="8"/>
  <c r="AV80" i="7"/>
  <c r="AS80" i="7"/>
  <c r="AR80" i="7"/>
  <c r="AQ80" i="7"/>
  <c r="AO80" i="7"/>
  <c r="G106" i="13" s="1"/>
  <c r="AN80" i="7"/>
  <c r="AM80" i="7"/>
  <c r="E106" i="13" s="1"/>
  <c r="AL80" i="7"/>
  <c r="AK80" i="7"/>
  <c r="AJ80" i="7"/>
  <c r="AI80" i="7"/>
  <c r="A117" i="9"/>
  <c r="A258" i="8"/>
  <c r="AV81" i="7"/>
  <c r="AS81" i="7"/>
  <c r="AR81" i="7"/>
  <c r="AQ81" i="7"/>
  <c r="AO81" i="7"/>
  <c r="AN81" i="7"/>
  <c r="AM81" i="7"/>
  <c r="AL81" i="7"/>
  <c r="AK81" i="7"/>
  <c r="AJ81" i="7"/>
  <c r="AI81" i="7"/>
  <c r="A118" i="9"/>
  <c r="A259" i="8"/>
  <c r="AV82" i="7"/>
  <c r="AS82" i="7"/>
  <c r="AR82" i="7"/>
  <c r="AQ82" i="7"/>
  <c r="AO82" i="7"/>
  <c r="AN82" i="7"/>
  <c r="AM82" i="7"/>
  <c r="AL82" i="7"/>
  <c r="AK82" i="7"/>
  <c r="AJ82" i="7"/>
  <c r="AI82" i="7"/>
  <c r="A119" i="9"/>
  <c r="A260" i="8"/>
  <c r="AV83" i="7"/>
  <c r="AS83" i="7"/>
  <c r="AR83" i="7"/>
  <c r="AQ83" i="7"/>
  <c r="AO83" i="7"/>
  <c r="AN83" i="7"/>
  <c r="AM83" i="7"/>
  <c r="AL83" i="7"/>
  <c r="AK83" i="7"/>
  <c r="AJ83" i="7"/>
  <c r="AI83" i="7"/>
  <c r="A120" i="9"/>
  <c r="A261" i="8"/>
  <c r="AV84" i="7"/>
  <c r="AS84" i="7"/>
  <c r="AR84" i="7"/>
  <c r="AQ84" i="7"/>
  <c r="AO84" i="7"/>
  <c r="AN84" i="7"/>
  <c r="AM84" i="7"/>
  <c r="AL84" i="7"/>
  <c r="AK84" i="7"/>
  <c r="AJ84" i="7"/>
  <c r="AI84" i="7"/>
  <c r="A121" i="9"/>
  <c r="A262" i="8"/>
  <c r="AV85" i="7"/>
  <c r="AS85" i="7"/>
  <c r="AR85" i="7"/>
  <c r="AQ85" i="7"/>
  <c r="AO85" i="7"/>
  <c r="AN85" i="7"/>
  <c r="AM85" i="7"/>
  <c r="AL85" i="7"/>
  <c r="AK85" i="7"/>
  <c r="AJ85" i="7"/>
  <c r="AI85" i="7"/>
  <c r="A122" i="9"/>
  <c r="A263" i="8"/>
  <c r="AV86" i="7"/>
  <c r="AS86" i="7"/>
  <c r="AR86" i="7"/>
  <c r="AQ86" i="7"/>
  <c r="AO86" i="7"/>
  <c r="AN86" i="7"/>
  <c r="AM86" i="7"/>
  <c r="AL86" i="7"/>
  <c r="AK86" i="7"/>
  <c r="AJ86" i="7"/>
  <c r="AI86" i="7"/>
  <c r="A123" i="9"/>
  <c r="A264" i="8"/>
  <c r="AV87" i="7"/>
  <c r="AS87" i="7"/>
  <c r="AR87" i="7"/>
  <c r="AQ87" i="7"/>
  <c r="AO87" i="7"/>
  <c r="AN87" i="7"/>
  <c r="AM87" i="7"/>
  <c r="AL87" i="7"/>
  <c r="AK87" i="7"/>
  <c r="AJ87" i="7"/>
  <c r="AI87" i="7"/>
  <c r="A124" i="9"/>
  <c r="A265" i="8"/>
  <c r="AV88" i="7"/>
  <c r="AS88" i="7"/>
  <c r="AR88" i="7"/>
  <c r="AQ88" i="7"/>
  <c r="AO88" i="7"/>
  <c r="AN88" i="7"/>
  <c r="AM88" i="7"/>
  <c r="AL88" i="7"/>
  <c r="AK88" i="7"/>
  <c r="AJ88" i="7"/>
  <c r="AI88" i="7"/>
  <c r="A125" i="9"/>
  <c r="A266" i="8"/>
  <c r="AV89" i="7"/>
  <c r="AS89" i="7"/>
  <c r="AR89" i="7"/>
  <c r="AQ89" i="7"/>
  <c r="AO89" i="7"/>
  <c r="AN89" i="7"/>
  <c r="AM89" i="7"/>
  <c r="AL89" i="7"/>
  <c r="AK89" i="7"/>
  <c r="AJ89" i="7"/>
  <c r="AI89" i="7"/>
  <c r="A126" i="9"/>
  <c r="A267" i="8"/>
  <c r="AV90" i="7"/>
  <c r="AS90" i="7"/>
  <c r="AR90" i="7"/>
  <c r="AQ90" i="7"/>
  <c r="AO90" i="7"/>
  <c r="AN90" i="7"/>
  <c r="AM90" i="7"/>
  <c r="AL90" i="7"/>
  <c r="AK90" i="7"/>
  <c r="AJ90" i="7"/>
  <c r="AI90" i="7"/>
  <c r="A127" i="9"/>
  <c r="A268" i="8"/>
  <c r="AV91" i="7"/>
  <c r="AS91" i="7"/>
  <c r="AR91" i="7"/>
  <c r="AQ91" i="7"/>
  <c r="AO91" i="7"/>
  <c r="AN91" i="7"/>
  <c r="AM91" i="7"/>
  <c r="AL91" i="7"/>
  <c r="AK91" i="7"/>
  <c r="AJ91" i="7"/>
  <c r="AI91" i="7"/>
  <c r="A128" i="9"/>
  <c r="A269" i="8"/>
  <c r="AV92" i="7"/>
  <c r="AS92" i="7"/>
  <c r="AR92" i="7"/>
  <c r="AQ92" i="7"/>
  <c r="AO92" i="7"/>
  <c r="AN92" i="7"/>
  <c r="AM92" i="7"/>
  <c r="AL92" i="7"/>
  <c r="AK92" i="7"/>
  <c r="AJ92" i="7"/>
  <c r="AI92" i="7"/>
  <c r="A129" i="9"/>
  <c r="A270" i="8"/>
  <c r="AV93" i="7"/>
  <c r="AS93" i="7"/>
  <c r="AR93" i="7"/>
  <c r="AQ93" i="7"/>
  <c r="AO93" i="7"/>
  <c r="AN93" i="7"/>
  <c r="AM93" i="7"/>
  <c r="AL93" i="7"/>
  <c r="AK93" i="7"/>
  <c r="AJ93" i="7"/>
  <c r="AI93" i="7"/>
  <c r="A130" i="9"/>
  <c r="A271" i="8"/>
  <c r="AV94" i="7"/>
  <c r="AS94" i="7"/>
  <c r="AR94" i="7"/>
  <c r="AQ94" i="7"/>
  <c r="AO94" i="7"/>
  <c r="AN94" i="7"/>
  <c r="AM94" i="7"/>
  <c r="AL94" i="7"/>
  <c r="AK94" i="7"/>
  <c r="AJ94" i="7"/>
  <c r="AI94" i="7"/>
  <c r="A131" i="9"/>
  <c r="A272" i="8"/>
  <c r="AV95" i="7"/>
  <c r="AS95" i="7"/>
  <c r="AR95" i="7"/>
  <c r="AQ95" i="7"/>
  <c r="AO95" i="7"/>
  <c r="AN95" i="7"/>
  <c r="AM95" i="7"/>
  <c r="AL95" i="7"/>
  <c r="AK95" i="7"/>
  <c r="AJ95" i="7"/>
  <c r="AI95" i="7"/>
  <c r="A273" i="8"/>
  <c r="AV96" i="7"/>
  <c r="AS96" i="7"/>
  <c r="AR96" i="7"/>
  <c r="AQ96" i="7"/>
  <c r="AO96" i="7"/>
  <c r="AN96" i="7"/>
  <c r="AM96" i="7"/>
  <c r="AL96" i="7"/>
  <c r="AK96" i="7"/>
  <c r="AJ96" i="7"/>
  <c r="AI96" i="7"/>
  <c r="A274" i="8"/>
  <c r="AV97" i="7"/>
  <c r="AS97" i="7"/>
  <c r="AR97" i="7"/>
  <c r="AQ97" i="7"/>
  <c r="AO97" i="7"/>
  <c r="AN97" i="7"/>
  <c r="AM97" i="7"/>
  <c r="AL97" i="7"/>
  <c r="AK97" i="7"/>
  <c r="AJ97" i="7"/>
  <c r="AI97" i="7"/>
  <c r="A275" i="8"/>
  <c r="AV98" i="7"/>
  <c r="AS98" i="7"/>
  <c r="AR98" i="7"/>
  <c r="AQ98" i="7"/>
  <c r="AO98" i="7"/>
  <c r="AN98" i="7"/>
  <c r="AM98" i="7"/>
  <c r="AL98" i="7"/>
  <c r="AK98" i="7"/>
  <c r="AJ98" i="7"/>
  <c r="AI98" i="7"/>
  <c r="A276" i="8"/>
  <c r="AV99" i="7"/>
  <c r="AS99" i="7"/>
  <c r="AR99" i="7"/>
  <c r="AQ99" i="7"/>
  <c r="AO99" i="7"/>
  <c r="AN99" i="7"/>
  <c r="AM99" i="7"/>
  <c r="AL99" i="7"/>
  <c r="AK99" i="7"/>
  <c r="AJ99" i="7"/>
  <c r="AI99" i="7"/>
  <c r="A277" i="8"/>
  <c r="AV100" i="7"/>
  <c r="AS100" i="7"/>
  <c r="AR100" i="7"/>
  <c r="AQ100" i="7"/>
  <c r="AO100" i="7"/>
  <c r="AN100" i="7"/>
  <c r="AM100" i="7"/>
  <c r="AL100" i="7"/>
  <c r="AK100" i="7"/>
  <c r="AJ100" i="7"/>
  <c r="AI100" i="7"/>
  <c r="A278" i="8"/>
  <c r="AV101" i="7"/>
  <c r="AS101" i="7"/>
  <c r="AR101" i="7"/>
  <c r="AQ101" i="7"/>
  <c r="AO101" i="7"/>
  <c r="AN101" i="7"/>
  <c r="AM101" i="7"/>
  <c r="AL101" i="7"/>
  <c r="AK101" i="7"/>
  <c r="AJ101" i="7"/>
  <c r="AI101" i="7"/>
  <c r="A279" i="8"/>
  <c r="AV102" i="7"/>
  <c r="AS102" i="7"/>
  <c r="AR102" i="7"/>
  <c r="AQ102" i="7"/>
  <c r="AO102" i="7"/>
  <c r="AN102" i="7"/>
  <c r="AM102" i="7"/>
  <c r="AL102" i="7"/>
  <c r="AK102" i="7"/>
  <c r="AJ102" i="7"/>
  <c r="AI102" i="7"/>
  <c r="A280" i="8"/>
  <c r="AV103" i="7"/>
  <c r="AS103" i="7"/>
  <c r="AR103" i="7"/>
  <c r="AQ103" i="7"/>
  <c r="AO103" i="7"/>
  <c r="AN103" i="7"/>
  <c r="AM103" i="7"/>
  <c r="AL103" i="7"/>
  <c r="AK103" i="7"/>
  <c r="AJ103" i="7"/>
  <c r="AI103" i="7"/>
  <c r="A281" i="8"/>
  <c r="AV104" i="7"/>
  <c r="AS104" i="7"/>
  <c r="AR104" i="7"/>
  <c r="AQ104" i="7"/>
  <c r="AO104" i="7"/>
  <c r="AN104" i="7"/>
  <c r="AM104" i="7"/>
  <c r="AL104" i="7"/>
  <c r="AK104" i="7"/>
  <c r="AJ104" i="7"/>
  <c r="AI104" i="7"/>
  <c r="A282" i="8"/>
  <c r="AV105" i="7"/>
  <c r="AS105" i="7"/>
  <c r="AR105" i="7"/>
  <c r="AQ105" i="7"/>
  <c r="AO105" i="7"/>
  <c r="AN105" i="7"/>
  <c r="AM105" i="7"/>
  <c r="AL105" i="7"/>
  <c r="AK105" i="7"/>
  <c r="AJ105" i="7"/>
  <c r="AI105" i="7"/>
  <c r="AV106" i="7"/>
  <c r="AS106" i="7"/>
  <c r="AR106" i="7"/>
  <c r="AQ106" i="7"/>
  <c r="AO106" i="7"/>
  <c r="AN106" i="7"/>
  <c r="AM106" i="7"/>
  <c r="AL106" i="7"/>
  <c r="AK106" i="7"/>
  <c r="AJ106" i="7"/>
  <c r="AI106" i="7"/>
  <c r="AV107" i="7"/>
  <c r="AS107" i="7"/>
  <c r="AR107" i="7"/>
  <c r="AQ107" i="7"/>
  <c r="AO107" i="7"/>
  <c r="AN107" i="7"/>
  <c r="AM107" i="7"/>
  <c r="AL107" i="7"/>
  <c r="AK107" i="7"/>
  <c r="AJ107" i="7"/>
  <c r="AI107" i="7"/>
  <c r="AV108" i="7"/>
  <c r="AS108" i="7"/>
  <c r="AR108" i="7"/>
  <c r="AQ108" i="7"/>
  <c r="AO108" i="7"/>
  <c r="AN108" i="7"/>
  <c r="AM108" i="7"/>
  <c r="AL108" i="7"/>
  <c r="AK108" i="7"/>
  <c r="AJ108" i="7"/>
  <c r="AI108" i="7"/>
  <c r="AV109" i="7"/>
  <c r="AS109" i="7"/>
  <c r="AR109" i="7"/>
  <c r="AQ109" i="7"/>
  <c r="AO109" i="7"/>
  <c r="AN109" i="7"/>
  <c r="AM109" i="7"/>
  <c r="AL109" i="7"/>
  <c r="AK109" i="7"/>
  <c r="AJ109" i="7"/>
  <c r="AI109" i="7"/>
  <c r="AV110" i="7"/>
  <c r="AS110" i="7"/>
  <c r="AR110" i="7"/>
  <c r="AQ110" i="7"/>
  <c r="AO110" i="7"/>
  <c r="AN110" i="7"/>
  <c r="AM110" i="7"/>
  <c r="AL110" i="7"/>
  <c r="AK110" i="7"/>
  <c r="AJ110" i="7"/>
  <c r="AI110" i="7"/>
  <c r="AV111" i="7"/>
  <c r="AS111" i="7"/>
  <c r="AR111" i="7"/>
  <c r="AQ111" i="7"/>
  <c r="AO111" i="7"/>
  <c r="AN111" i="7"/>
  <c r="AM111" i="7"/>
  <c r="AL111" i="7"/>
  <c r="AK111" i="7"/>
  <c r="AJ111" i="7"/>
  <c r="AI111" i="7"/>
  <c r="AV112" i="7"/>
  <c r="AS112" i="7"/>
  <c r="AR112" i="7"/>
  <c r="AQ112" i="7"/>
  <c r="AO112" i="7"/>
  <c r="AN112" i="7"/>
  <c r="AM112" i="7"/>
  <c r="AL112" i="7"/>
  <c r="AK112" i="7"/>
  <c r="AJ112" i="7"/>
  <c r="AI112" i="7"/>
  <c r="AV113" i="7"/>
  <c r="AS113" i="7"/>
  <c r="AR113" i="7"/>
  <c r="AQ113" i="7"/>
  <c r="AO113" i="7"/>
  <c r="AN113" i="7"/>
  <c r="AM113" i="7"/>
  <c r="AL113" i="7"/>
  <c r="AK113" i="7"/>
  <c r="AJ113" i="7"/>
  <c r="AI113" i="7"/>
  <c r="AV114" i="7"/>
  <c r="AS114" i="7"/>
  <c r="AR114" i="7"/>
  <c r="AQ114" i="7"/>
  <c r="AO114" i="7"/>
  <c r="AN114" i="7"/>
  <c r="AM114" i="7"/>
  <c r="AL114" i="7"/>
  <c r="AK114" i="7"/>
  <c r="AJ114" i="7"/>
  <c r="AI114" i="7"/>
  <c r="AV115" i="7"/>
  <c r="AS115" i="7"/>
  <c r="AR115" i="7"/>
  <c r="AQ115" i="7"/>
  <c r="AO115" i="7"/>
  <c r="AN115" i="7"/>
  <c r="AM115" i="7"/>
  <c r="AL115" i="7"/>
  <c r="AK115" i="7"/>
  <c r="AJ115" i="7"/>
  <c r="AI115" i="7"/>
  <c r="AV116" i="7"/>
  <c r="AS116" i="7"/>
  <c r="AR116" i="7"/>
  <c r="AQ116" i="7"/>
  <c r="AO116" i="7"/>
  <c r="AN116" i="7"/>
  <c r="AM116" i="7"/>
  <c r="AL116" i="7"/>
  <c r="AK116" i="7"/>
  <c r="AJ116" i="7"/>
  <c r="AI116" i="7"/>
  <c r="AV117" i="7"/>
  <c r="AS117" i="7"/>
  <c r="AR117" i="7"/>
  <c r="AQ117" i="7"/>
  <c r="AO117" i="7"/>
  <c r="AN117" i="7"/>
  <c r="AM117" i="7"/>
  <c r="AL117" i="7"/>
  <c r="AK117" i="7"/>
  <c r="AJ117" i="7"/>
  <c r="AI117" i="7"/>
  <c r="AV118" i="7"/>
  <c r="AS118" i="7"/>
  <c r="AR118" i="7"/>
  <c r="AQ118" i="7"/>
  <c r="AO118" i="7"/>
  <c r="AN118" i="7"/>
  <c r="AM118" i="7"/>
  <c r="AL118" i="7"/>
  <c r="AK118" i="7"/>
  <c r="AJ118" i="7"/>
  <c r="AI118" i="7"/>
  <c r="AV119" i="7"/>
  <c r="AS119" i="7"/>
  <c r="AR119" i="7"/>
  <c r="AQ119" i="7"/>
  <c r="AO119" i="7"/>
  <c r="AN119" i="7"/>
  <c r="AM119" i="7"/>
  <c r="AL119" i="7"/>
  <c r="AK119" i="7"/>
  <c r="AJ119" i="7"/>
  <c r="AI119" i="7"/>
  <c r="AV120" i="7"/>
  <c r="AS120" i="7"/>
  <c r="AR120" i="7"/>
  <c r="AQ120" i="7"/>
  <c r="AO120" i="7"/>
  <c r="AN120" i="7"/>
  <c r="AM120" i="7"/>
  <c r="AL120" i="7"/>
  <c r="AK120" i="7"/>
  <c r="AJ120" i="7"/>
  <c r="AI120" i="7"/>
  <c r="AV121" i="7"/>
  <c r="AS121" i="7"/>
  <c r="AR121" i="7"/>
  <c r="AQ121" i="7"/>
  <c r="AO121" i="7"/>
  <c r="AN121" i="7"/>
  <c r="AM121" i="7"/>
  <c r="AL121" i="7"/>
  <c r="AK121" i="7"/>
  <c r="AJ121" i="7"/>
  <c r="AI121" i="7"/>
  <c r="AV122" i="7"/>
  <c r="AS122" i="7"/>
  <c r="AR122" i="7"/>
  <c r="AQ122" i="7"/>
  <c r="AO122" i="7"/>
  <c r="AN122" i="7"/>
  <c r="AM122" i="7"/>
  <c r="AL122" i="7"/>
  <c r="AK122" i="7"/>
  <c r="AJ122" i="7"/>
  <c r="AI122" i="7"/>
  <c r="AV123" i="7"/>
  <c r="AS123" i="7"/>
  <c r="AR123" i="7"/>
  <c r="AQ123" i="7"/>
  <c r="AO123" i="7"/>
  <c r="AN123" i="7"/>
  <c r="AM123" i="7"/>
  <c r="AL123" i="7"/>
  <c r="AK123" i="7"/>
  <c r="AJ123" i="7"/>
  <c r="AI123" i="7"/>
  <c r="AV124" i="7"/>
  <c r="AS124" i="7"/>
  <c r="AR124" i="7"/>
  <c r="AQ124" i="7"/>
  <c r="AO124" i="7"/>
  <c r="AN124" i="7"/>
  <c r="AM124" i="7"/>
  <c r="AL124" i="7"/>
  <c r="AK124" i="7"/>
  <c r="AJ124" i="7"/>
  <c r="AI124" i="7"/>
  <c r="AV125" i="7"/>
  <c r="AS125" i="7"/>
  <c r="AR125" i="7"/>
  <c r="AQ125" i="7"/>
  <c r="AO125" i="7"/>
  <c r="AN125" i="7"/>
  <c r="AM125" i="7"/>
  <c r="AL125" i="7"/>
  <c r="AK125" i="7"/>
  <c r="AJ125" i="7"/>
  <c r="AI125" i="7"/>
  <c r="AV126" i="7"/>
  <c r="AS126" i="7"/>
  <c r="AR126" i="7"/>
  <c r="AQ126" i="7"/>
  <c r="AO126" i="7"/>
  <c r="AN126" i="7"/>
  <c r="AM126" i="7"/>
  <c r="AL126" i="7"/>
  <c r="AK126" i="7"/>
  <c r="AJ126" i="7"/>
  <c r="AI126" i="7"/>
  <c r="AV127" i="7"/>
  <c r="AS127" i="7"/>
  <c r="AR127" i="7"/>
  <c r="AQ127" i="7"/>
  <c r="AO127" i="7"/>
  <c r="AN127" i="7"/>
  <c r="AM127" i="7"/>
  <c r="AL127" i="7"/>
  <c r="AK127" i="7"/>
  <c r="AJ127" i="7"/>
  <c r="AI127" i="7"/>
  <c r="AV128" i="7"/>
  <c r="AS128" i="7"/>
  <c r="AR128" i="7"/>
  <c r="AQ128" i="7"/>
  <c r="AO128" i="7"/>
  <c r="AN128" i="7"/>
  <c r="AM128" i="7"/>
  <c r="AL128" i="7"/>
  <c r="AK128" i="7"/>
  <c r="AJ128" i="7"/>
  <c r="AI128" i="7"/>
  <c r="AV129" i="7"/>
  <c r="AS129" i="7"/>
  <c r="AR129" i="7"/>
  <c r="AQ129" i="7"/>
  <c r="AO129" i="7"/>
  <c r="AN129" i="7"/>
  <c r="AM129" i="7"/>
  <c r="AL129" i="7"/>
  <c r="AK129" i="7"/>
  <c r="AJ129" i="7"/>
  <c r="AI129" i="7"/>
  <c r="AV130" i="7"/>
  <c r="AS130" i="7"/>
  <c r="AR130" i="7"/>
  <c r="AQ130" i="7"/>
  <c r="AO130" i="7"/>
  <c r="AN130" i="7"/>
  <c r="AM130" i="7"/>
  <c r="AL130" i="7"/>
  <c r="AK130" i="7"/>
  <c r="AJ130" i="7"/>
  <c r="AI130" i="7"/>
  <c r="AV131" i="7"/>
  <c r="AS131" i="7"/>
  <c r="AR131" i="7"/>
  <c r="AQ131" i="7"/>
  <c r="AO131" i="7"/>
  <c r="AN131" i="7"/>
  <c r="AM131" i="7"/>
  <c r="AL131" i="7"/>
  <c r="AK131" i="7"/>
  <c r="AJ131" i="7"/>
  <c r="AI131" i="7"/>
  <c r="AV132" i="7"/>
  <c r="AS132" i="7"/>
  <c r="AR132" i="7"/>
  <c r="AQ132" i="7"/>
  <c r="AO132" i="7"/>
  <c r="AN132" i="7"/>
  <c r="AM132" i="7"/>
  <c r="AL132" i="7"/>
  <c r="AK132" i="7"/>
  <c r="AJ132" i="7"/>
  <c r="AI132" i="7"/>
  <c r="AV133" i="7"/>
  <c r="AS133" i="7"/>
  <c r="AR133" i="7"/>
  <c r="AQ133" i="7"/>
  <c r="AO133" i="7"/>
  <c r="AN133" i="7"/>
  <c r="AM133" i="7"/>
  <c r="AL133" i="7"/>
  <c r="AK133" i="7"/>
  <c r="AJ133" i="7"/>
  <c r="AI133" i="7"/>
  <c r="AV134" i="7"/>
  <c r="AS134" i="7"/>
  <c r="AR134" i="7"/>
  <c r="AQ134" i="7"/>
  <c r="AO134" i="7"/>
  <c r="AN134" i="7"/>
  <c r="AM134" i="7"/>
  <c r="AL134" i="7"/>
  <c r="AK134" i="7"/>
  <c r="AJ134" i="7"/>
  <c r="AI134" i="7"/>
  <c r="AV135" i="7"/>
  <c r="AS135" i="7"/>
  <c r="AR135" i="7"/>
  <c r="AQ135" i="7"/>
  <c r="AO135" i="7"/>
  <c r="AN135" i="7"/>
  <c r="AM135" i="7"/>
  <c r="AL135" i="7"/>
  <c r="AK135" i="7"/>
  <c r="AJ135" i="7"/>
  <c r="AI135" i="7"/>
  <c r="AV136" i="7"/>
  <c r="AS136" i="7"/>
  <c r="AR136" i="7"/>
  <c r="AQ136" i="7"/>
  <c r="AO136" i="7"/>
  <c r="AN136" i="7"/>
  <c r="AM136" i="7"/>
  <c r="AL136" i="7"/>
  <c r="AK136" i="7"/>
  <c r="AJ136" i="7"/>
  <c r="AI136" i="7"/>
  <c r="AV137" i="7"/>
  <c r="AS137" i="7"/>
  <c r="AR137" i="7"/>
  <c r="AQ137" i="7"/>
  <c r="AO137" i="7"/>
  <c r="AN137" i="7"/>
  <c r="AM137" i="7"/>
  <c r="AL137" i="7"/>
  <c r="AK137" i="7"/>
  <c r="AJ137" i="7"/>
  <c r="AI137" i="7"/>
  <c r="AV138" i="7"/>
  <c r="AS138" i="7"/>
  <c r="AR138" i="7"/>
  <c r="AQ138" i="7"/>
  <c r="AO138" i="7"/>
  <c r="AN138" i="7"/>
  <c r="AM138" i="7"/>
  <c r="AL138" i="7"/>
  <c r="AK138" i="7"/>
  <c r="AJ138" i="7"/>
  <c r="AI138" i="7"/>
  <c r="AV139" i="7"/>
  <c r="AS139" i="7"/>
  <c r="AR139" i="7"/>
  <c r="AQ139" i="7"/>
  <c r="AO139" i="7"/>
  <c r="AN139" i="7"/>
  <c r="AM139" i="7"/>
  <c r="AL139" i="7"/>
  <c r="AK139" i="7"/>
  <c r="AJ139" i="7"/>
  <c r="AI139" i="7"/>
  <c r="AV140" i="7"/>
  <c r="AS140" i="7"/>
  <c r="AR140" i="7"/>
  <c r="AQ140" i="7"/>
  <c r="AO140" i="7"/>
  <c r="AN140" i="7"/>
  <c r="AM140" i="7"/>
  <c r="AL140" i="7"/>
  <c r="AK140" i="7"/>
  <c r="AJ140" i="7"/>
  <c r="AI140" i="7"/>
  <c r="AV141" i="7"/>
  <c r="AS141" i="7"/>
  <c r="AR141" i="7"/>
  <c r="AQ141" i="7"/>
  <c r="AO141" i="7"/>
  <c r="AN141" i="7"/>
  <c r="AM141" i="7"/>
  <c r="AL141" i="7"/>
  <c r="AK141" i="7"/>
  <c r="AJ141" i="7"/>
  <c r="AI141" i="7"/>
  <c r="AV142" i="7"/>
  <c r="AS142" i="7"/>
  <c r="AR142" i="7"/>
  <c r="AQ142" i="7"/>
  <c r="AO142" i="7"/>
  <c r="AN142" i="7"/>
  <c r="AM142" i="7"/>
  <c r="AL142" i="7"/>
  <c r="AK142" i="7"/>
  <c r="AJ142" i="7"/>
  <c r="AI142" i="7"/>
  <c r="AV143" i="7"/>
  <c r="AS143" i="7"/>
  <c r="AR143" i="7"/>
  <c r="AQ143" i="7"/>
  <c r="AO143" i="7"/>
  <c r="AN143" i="7"/>
  <c r="AM143" i="7"/>
  <c r="AL143" i="7"/>
  <c r="AK143" i="7"/>
  <c r="AJ143" i="7"/>
  <c r="AI143" i="7"/>
  <c r="AV144" i="7"/>
  <c r="AS144" i="7"/>
  <c r="AR144" i="7"/>
  <c r="AQ144" i="7"/>
  <c r="AO144" i="7"/>
  <c r="AN144" i="7"/>
  <c r="AM144" i="7"/>
  <c r="AL144" i="7"/>
  <c r="AK144" i="7"/>
  <c r="AJ144" i="7"/>
  <c r="AI144" i="7"/>
  <c r="AV145" i="7"/>
  <c r="AS145" i="7"/>
  <c r="AR145" i="7"/>
  <c r="AQ145" i="7"/>
  <c r="AO145" i="7"/>
  <c r="AN145" i="7"/>
  <c r="AM145" i="7"/>
  <c r="AL145" i="7"/>
  <c r="AK145" i="7"/>
  <c r="AJ145" i="7"/>
  <c r="AI145" i="7"/>
  <c r="AV146" i="7"/>
  <c r="AS146" i="7"/>
  <c r="AR146" i="7"/>
  <c r="AQ146" i="7"/>
  <c r="AO146" i="7"/>
  <c r="AN146" i="7"/>
  <c r="AM146" i="7"/>
  <c r="AL146" i="7"/>
  <c r="AK146" i="7"/>
  <c r="AJ146" i="7"/>
  <c r="AI146" i="7"/>
  <c r="AV147" i="7"/>
  <c r="AS147" i="7"/>
  <c r="AR147" i="7"/>
  <c r="AQ147" i="7"/>
  <c r="AO147" i="7"/>
  <c r="AN147" i="7"/>
  <c r="AM147" i="7"/>
  <c r="AL147" i="7"/>
  <c r="AK147" i="7"/>
  <c r="AJ147" i="7"/>
  <c r="AI147" i="7"/>
  <c r="AV148" i="7"/>
  <c r="AS148" i="7"/>
  <c r="AR148" i="7"/>
  <c r="AQ148" i="7"/>
  <c r="AO148" i="7"/>
  <c r="AN148" i="7"/>
  <c r="AM148" i="7"/>
  <c r="AL148" i="7"/>
  <c r="AK148" i="7"/>
  <c r="AJ148" i="7"/>
  <c r="AI148" i="7"/>
  <c r="AV149" i="7"/>
  <c r="AS149" i="7"/>
  <c r="AR149" i="7"/>
  <c r="AQ149" i="7"/>
  <c r="AO149" i="7"/>
  <c r="AN149" i="7"/>
  <c r="AM149" i="7"/>
  <c r="AL149" i="7"/>
  <c r="AK149" i="7"/>
  <c r="AJ149" i="7"/>
  <c r="AI149" i="7"/>
  <c r="AV150" i="7"/>
  <c r="AS150" i="7"/>
  <c r="AR150" i="7"/>
  <c r="AQ150" i="7"/>
  <c r="AO150" i="7"/>
  <c r="AN150" i="7"/>
  <c r="AM150" i="7"/>
  <c r="AL150" i="7"/>
  <c r="AK150" i="7"/>
  <c r="AJ150" i="7"/>
  <c r="AI150" i="7"/>
  <c r="AV151" i="7"/>
  <c r="AS151" i="7"/>
  <c r="AR151" i="7"/>
  <c r="AQ151" i="7"/>
  <c r="AO151" i="7"/>
  <c r="AN151" i="7"/>
  <c r="AM151" i="7"/>
  <c r="AL151" i="7"/>
  <c r="AK151" i="7"/>
  <c r="AJ151" i="7"/>
  <c r="AI151" i="7"/>
  <c r="AV152" i="7"/>
  <c r="AS152" i="7"/>
  <c r="AR152" i="7"/>
  <c r="AQ152" i="7"/>
  <c r="AO152" i="7"/>
  <c r="AN152" i="7"/>
  <c r="AM152" i="7"/>
  <c r="AL152" i="7"/>
  <c r="AK152" i="7"/>
  <c r="AJ152" i="7"/>
  <c r="AI152" i="7"/>
  <c r="AV153" i="7"/>
  <c r="AS153" i="7"/>
  <c r="AR153" i="7"/>
  <c r="AQ153" i="7"/>
  <c r="AO153" i="7"/>
  <c r="AN153" i="7"/>
  <c r="AM153" i="7"/>
  <c r="AL153" i="7"/>
  <c r="AK153" i="7"/>
  <c r="AJ153" i="7"/>
  <c r="AI153" i="7"/>
  <c r="AV154" i="7"/>
  <c r="AS154" i="7"/>
  <c r="AR154" i="7"/>
  <c r="AQ154" i="7"/>
  <c r="AO154" i="7"/>
  <c r="AN154" i="7"/>
  <c r="AM154" i="7"/>
  <c r="AL154" i="7"/>
  <c r="AK154" i="7"/>
  <c r="AJ154" i="7"/>
  <c r="AI154" i="7"/>
  <c r="AV155" i="7"/>
  <c r="AS155" i="7"/>
  <c r="AR155" i="7"/>
  <c r="AQ155" i="7"/>
  <c r="AO155" i="7"/>
  <c r="AN155" i="7"/>
  <c r="AM155" i="7"/>
  <c r="AL155" i="7"/>
  <c r="AK155" i="7"/>
  <c r="AJ155" i="7"/>
  <c r="AI155" i="7"/>
  <c r="AV156" i="7"/>
  <c r="AS156" i="7"/>
  <c r="AR156" i="7"/>
  <c r="AQ156" i="7"/>
  <c r="AO156" i="7"/>
  <c r="AN156" i="7"/>
  <c r="AM156" i="7"/>
  <c r="AL156" i="7"/>
  <c r="AK156" i="7"/>
  <c r="AJ156" i="7"/>
  <c r="AI156" i="7"/>
  <c r="AV157" i="7"/>
  <c r="AS157" i="7"/>
  <c r="AR157" i="7"/>
  <c r="AQ157" i="7"/>
  <c r="AO157" i="7"/>
  <c r="AN157" i="7"/>
  <c r="AM157" i="7"/>
  <c r="AL157" i="7"/>
  <c r="AK157" i="7"/>
  <c r="AJ157" i="7"/>
  <c r="AI157" i="7"/>
  <c r="AV158" i="7"/>
  <c r="AS158" i="7"/>
  <c r="AR158" i="7"/>
  <c r="AQ158" i="7"/>
  <c r="AO158" i="7"/>
  <c r="AN158" i="7"/>
  <c r="AM158" i="7"/>
  <c r="AL158" i="7"/>
  <c r="AK158" i="7"/>
  <c r="AJ158" i="7"/>
  <c r="AI158" i="7"/>
  <c r="AV159" i="7"/>
  <c r="AS159" i="7"/>
  <c r="AR159" i="7"/>
  <c r="AQ159" i="7"/>
  <c r="AO159" i="7"/>
  <c r="AN159" i="7"/>
  <c r="AM159" i="7"/>
  <c r="AL159" i="7"/>
  <c r="AK159" i="7"/>
  <c r="AJ159" i="7"/>
  <c r="AI159" i="7"/>
  <c r="AV160" i="7"/>
  <c r="AS160" i="7"/>
  <c r="AR160" i="7"/>
  <c r="AQ160" i="7"/>
  <c r="AO160" i="7"/>
  <c r="AN160" i="7"/>
  <c r="AM160" i="7"/>
  <c r="AL160" i="7"/>
  <c r="AK160" i="7"/>
  <c r="AJ160" i="7"/>
  <c r="AI160" i="7"/>
  <c r="AV161" i="7"/>
  <c r="AS161" i="7"/>
  <c r="AR161" i="7"/>
  <c r="AQ161" i="7"/>
  <c r="AO161" i="7"/>
  <c r="AN161" i="7"/>
  <c r="AM161" i="7"/>
  <c r="AL161" i="7"/>
  <c r="AK161" i="7"/>
  <c r="AJ161" i="7"/>
  <c r="AI161" i="7"/>
  <c r="AV162" i="7"/>
  <c r="AS162" i="7"/>
  <c r="AR162" i="7"/>
  <c r="AQ162" i="7"/>
  <c r="AO162" i="7"/>
  <c r="AN162" i="7"/>
  <c r="AM162" i="7"/>
  <c r="AL162" i="7"/>
  <c r="AK162" i="7"/>
  <c r="AJ162" i="7"/>
  <c r="AI162" i="7"/>
  <c r="AV163" i="7"/>
  <c r="AS163" i="7"/>
  <c r="AR163" i="7"/>
  <c r="AQ163" i="7"/>
  <c r="AO163" i="7"/>
  <c r="AN163" i="7"/>
  <c r="AM163" i="7"/>
  <c r="AL163" i="7"/>
  <c r="AK163" i="7"/>
  <c r="AJ163" i="7"/>
  <c r="AI163" i="7"/>
  <c r="AV164" i="7"/>
  <c r="AS164" i="7"/>
  <c r="AR164" i="7"/>
  <c r="AQ164" i="7"/>
  <c r="AO164" i="7"/>
  <c r="AN164" i="7"/>
  <c r="AM164" i="7"/>
  <c r="AL164" i="7"/>
  <c r="AK164" i="7"/>
  <c r="AJ164" i="7"/>
  <c r="AI164" i="7"/>
  <c r="AV165" i="7"/>
  <c r="AS165" i="7"/>
  <c r="AR165" i="7"/>
  <c r="AQ165" i="7"/>
  <c r="AO165" i="7"/>
  <c r="AN165" i="7"/>
  <c r="AM165" i="7"/>
  <c r="AL165" i="7"/>
  <c r="AK165" i="7"/>
  <c r="AJ165" i="7"/>
  <c r="AI165" i="7"/>
  <c r="AV166" i="7"/>
  <c r="AS166" i="7"/>
  <c r="AR166" i="7"/>
  <c r="AQ166" i="7"/>
  <c r="AO166" i="7"/>
  <c r="AN166" i="7"/>
  <c r="AM166" i="7"/>
  <c r="AL166" i="7"/>
  <c r="AK166" i="7"/>
  <c r="AJ166" i="7"/>
  <c r="AI166" i="7"/>
  <c r="AV167" i="7"/>
  <c r="AS167" i="7"/>
  <c r="AR167" i="7"/>
  <c r="AQ167" i="7"/>
  <c r="AO167" i="7"/>
  <c r="AN167" i="7"/>
  <c r="AM167" i="7"/>
  <c r="AL167" i="7"/>
  <c r="AK167" i="7"/>
  <c r="AJ167" i="7"/>
  <c r="AI167" i="7"/>
  <c r="AV168" i="7"/>
  <c r="AS168" i="7"/>
  <c r="AR168" i="7"/>
  <c r="AQ168" i="7"/>
  <c r="AO168" i="7"/>
  <c r="AN168" i="7"/>
  <c r="AM168" i="7"/>
  <c r="AL168" i="7"/>
  <c r="AK168" i="7"/>
  <c r="AJ168" i="7"/>
  <c r="AI168" i="7"/>
  <c r="AV169" i="7"/>
  <c r="AS169" i="7"/>
  <c r="AR169" i="7"/>
  <c r="AQ169" i="7"/>
  <c r="AO169" i="7"/>
  <c r="AN169" i="7"/>
  <c r="AM169" i="7"/>
  <c r="AL169" i="7"/>
  <c r="AK169" i="7"/>
  <c r="AJ169" i="7"/>
  <c r="AI169" i="7"/>
  <c r="AV170" i="7"/>
  <c r="AS170" i="7"/>
  <c r="AR170" i="7"/>
  <c r="AQ170" i="7"/>
  <c r="AO170" i="7"/>
  <c r="AN170" i="7"/>
  <c r="AM170" i="7"/>
  <c r="AL170" i="7"/>
  <c r="AK170" i="7"/>
  <c r="AJ170" i="7"/>
  <c r="AI170" i="7"/>
  <c r="AV171" i="7"/>
  <c r="AS171" i="7"/>
  <c r="AR171" i="7"/>
  <c r="AQ171" i="7"/>
  <c r="AO171" i="7"/>
  <c r="AN171" i="7"/>
  <c r="AM171" i="7"/>
  <c r="AL171" i="7"/>
  <c r="AK171" i="7"/>
  <c r="AJ171" i="7"/>
  <c r="AI171" i="7"/>
  <c r="AV172" i="7"/>
  <c r="AS172" i="7"/>
  <c r="AR172" i="7"/>
  <c r="AQ172" i="7"/>
  <c r="AO172" i="7"/>
  <c r="AN172" i="7"/>
  <c r="AM172" i="7"/>
  <c r="AL172" i="7"/>
  <c r="AK172" i="7"/>
  <c r="AJ172" i="7"/>
  <c r="AI172" i="7"/>
  <c r="AV173" i="7"/>
  <c r="AS173" i="7"/>
  <c r="AR173" i="7"/>
  <c r="AQ173" i="7"/>
  <c r="AO173" i="7"/>
  <c r="AN173" i="7"/>
  <c r="AM173" i="7"/>
  <c r="AL173" i="7"/>
  <c r="AK173" i="7"/>
  <c r="AJ173" i="7"/>
  <c r="AI173" i="7"/>
  <c r="AV174" i="7"/>
  <c r="AS174" i="7"/>
  <c r="AR174" i="7"/>
  <c r="AQ174" i="7"/>
  <c r="AO174" i="7"/>
  <c r="AN174" i="7"/>
  <c r="AM174" i="7"/>
  <c r="AL174" i="7"/>
  <c r="AK174" i="7"/>
  <c r="AJ174" i="7"/>
  <c r="AI174" i="7"/>
  <c r="AV175" i="7"/>
  <c r="AS175" i="7"/>
  <c r="AR175" i="7"/>
  <c r="AQ175" i="7"/>
  <c r="AO175" i="7"/>
  <c r="AN175" i="7"/>
  <c r="AM175" i="7"/>
  <c r="AL175" i="7"/>
  <c r="AK175" i="7"/>
  <c r="AJ175" i="7"/>
  <c r="AI175" i="7"/>
  <c r="AV176" i="7"/>
  <c r="AS176" i="7"/>
  <c r="AR176" i="7"/>
  <c r="AQ176" i="7"/>
  <c r="AO176" i="7"/>
  <c r="AN176" i="7"/>
  <c r="AM176" i="7"/>
  <c r="AL176" i="7"/>
  <c r="AK176" i="7"/>
  <c r="AJ176" i="7"/>
  <c r="AI176" i="7"/>
  <c r="AV177" i="7"/>
  <c r="AS177" i="7"/>
  <c r="AR177" i="7"/>
  <c r="AQ177" i="7"/>
  <c r="AO177" i="7"/>
  <c r="AN177" i="7"/>
  <c r="AM177" i="7"/>
  <c r="AL177" i="7"/>
  <c r="AK177" i="7"/>
  <c r="AJ177" i="7"/>
  <c r="AI177" i="7"/>
  <c r="AV178" i="7"/>
  <c r="AS178" i="7"/>
  <c r="AR178" i="7"/>
  <c r="AQ178" i="7"/>
  <c r="AO178" i="7"/>
  <c r="AN178" i="7"/>
  <c r="AM178" i="7"/>
  <c r="AL178" i="7"/>
  <c r="AK178" i="7"/>
  <c r="AJ178" i="7"/>
  <c r="AI178" i="7"/>
  <c r="AV179" i="7"/>
  <c r="AS179" i="7"/>
  <c r="AR179" i="7"/>
  <c r="AQ179" i="7"/>
  <c r="AO179" i="7"/>
  <c r="AN179" i="7"/>
  <c r="AM179" i="7"/>
  <c r="AL179" i="7"/>
  <c r="AK179" i="7"/>
  <c r="AJ179" i="7"/>
  <c r="AI179" i="7"/>
  <c r="AV180" i="7"/>
  <c r="AS180" i="7"/>
  <c r="AR180" i="7"/>
  <c r="AQ180" i="7"/>
  <c r="AO180" i="7"/>
  <c r="AN180" i="7"/>
  <c r="AM180" i="7"/>
  <c r="AL180" i="7"/>
  <c r="AK180" i="7"/>
  <c r="AJ180" i="7"/>
  <c r="AI180" i="7"/>
  <c r="AV181" i="7"/>
  <c r="AS181" i="7"/>
  <c r="AR181" i="7"/>
  <c r="AQ181" i="7"/>
  <c r="AO181" i="7"/>
  <c r="AN181" i="7"/>
  <c r="AM181" i="7"/>
  <c r="AL181" i="7"/>
  <c r="AK181" i="7"/>
  <c r="AJ181" i="7"/>
  <c r="AI181" i="7"/>
  <c r="AV182" i="7"/>
  <c r="AS182" i="7"/>
  <c r="AR182" i="7"/>
  <c r="AQ182" i="7"/>
  <c r="AO182" i="7"/>
  <c r="AN182" i="7"/>
  <c r="AM182" i="7"/>
  <c r="AL182" i="7"/>
  <c r="AK182" i="7"/>
  <c r="AJ182" i="7"/>
  <c r="AI182" i="7"/>
  <c r="AV183" i="7"/>
  <c r="AS183" i="7"/>
  <c r="AR183" i="7"/>
  <c r="AQ183" i="7"/>
  <c r="AO183" i="7"/>
  <c r="AN183" i="7"/>
  <c r="AM183" i="7"/>
  <c r="AL183" i="7"/>
  <c r="AK183" i="7"/>
  <c r="AJ183" i="7"/>
  <c r="AI183" i="7"/>
  <c r="AV184" i="7"/>
  <c r="AS184" i="7"/>
  <c r="AR184" i="7"/>
  <c r="AQ184" i="7"/>
  <c r="AO184" i="7"/>
  <c r="AN184" i="7"/>
  <c r="AM184" i="7"/>
  <c r="AL184" i="7"/>
  <c r="AK184" i="7"/>
  <c r="AJ184" i="7"/>
  <c r="AI184" i="7"/>
  <c r="AV185" i="7"/>
  <c r="AS185" i="7"/>
  <c r="AR185" i="7"/>
  <c r="AQ185" i="7"/>
  <c r="AO185" i="7"/>
  <c r="AN185" i="7"/>
  <c r="AM185" i="7"/>
  <c r="AL185" i="7"/>
  <c r="AK185" i="7"/>
  <c r="AJ185" i="7"/>
  <c r="AI185" i="7"/>
  <c r="AV186" i="7"/>
  <c r="AS186" i="7"/>
  <c r="AR186" i="7"/>
  <c r="AQ186" i="7"/>
  <c r="AO186" i="7"/>
  <c r="AN186" i="7"/>
  <c r="AM186" i="7"/>
  <c r="AL186" i="7"/>
  <c r="AK186" i="7"/>
  <c r="AJ186" i="7"/>
  <c r="AI186" i="7"/>
  <c r="AV187" i="7"/>
  <c r="AS187" i="7"/>
  <c r="AR187" i="7"/>
  <c r="AQ187" i="7"/>
  <c r="AO187" i="7"/>
  <c r="AN187" i="7"/>
  <c r="AM187" i="7"/>
  <c r="AL187" i="7"/>
  <c r="AK187" i="7"/>
  <c r="AJ187" i="7"/>
  <c r="AI187" i="7"/>
  <c r="AV188" i="7"/>
  <c r="AS188" i="7"/>
  <c r="AR188" i="7"/>
  <c r="AQ188" i="7"/>
  <c r="AO188" i="7"/>
  <c r="AN188" i="7"/>
  <c r="AM188" i="7"/>
  <c r="AL188" i="7"/>
  <c r="AK188" i="7"/>
  <c r="AJ188" i="7"/>
  <c r="AI188" i="7"/>
  <c r="AV189" i="7"/>
  <c r="AS189" i="7"/>
  <c r="AR189" i="7"/>
  <c r="AQ189" i="7"/>
  <c r="AO189" i="7"/>
  <c r="AN189" i="7"/>
  <c r="AM189" i="7"/>
  <c r="AL189" i="7"/>
  <c r="AK189" i="7"/>
  <c r="AJ189" i="7"/>
  <c r="AI189" i="7"/>
  <c r="AV190" i="7"/>
  <c r="AS190" i="7"/>
  <c r="AR190" i="7"/>
  <c r="AQ190" i="7"/>
  <c r="AO190" i="7"/>
  <c r="AN190" i="7"/>
  <c r="AM190" i="7"/>
  <c r="AL190" i="7"/>
  <c r="AK190" i="7"/>
  <c r="AJ190" i="7"/>
  <c r="AI190" i="7"/>
  <c r="AV191" i="7"/>
  <c r="AS191" i="7"/>
  <c r="AR191" i="7"/>
  <c r="AQ191" i="7"/>
  <c r="AO191" i="7"/>
  <c r="AN191" i="7"/>
  <c r="AM191" i="7"/>
  <c r="AL191" i="7"/>
  <c r="AK191" i="7"/>
  <c r="AJ191" i="7"/>
  <c r="AI191" i="7"/>
  <c r="AV192" i="7"/>
  <c r="AS192" i="7"/>
  <c r="AR192" i="7"/>
  <c r="AQ192" i="7"/>
  <c r="AO192" i="7"/>
  <c r="AN192" i="7"/>
  <c r="AM192" i="7"/>
  <c r="AL192" i="7"/>
  <c r="AK192" i="7"/>
  <c r="AJ192" i="7"/>
  <c r="AI192" i="7"/>
  <c r="AV193" i="7"/>
  <c r="AS193" i="7"/>
  <c r="AR193" i="7"/>
  <c r="AQ193" i="7"/>
  <c r="AO193" i="7"/>
  <c r="AN193" i="7"/>
  <c r="AM193" i="7"/>
  <c r="AL193" i="7"/>
  <c r="AK193" i="7"/>
  <c r="AJ193" i="7"/>
  <c r="AI193" i="7"/>
  <c r="AV194" i="7"/>
  <c r="AS194" i="7"/>
  <c r="AR194" i="7"/>
  <c r="AQ194" i="7"/>
  <c r="AO194" i="7"/>
  <c r="AN194" i="7"/>
  <c r="AM194" i="7"/>
  <c r="AL194" i="7"/>
  <c r="AK194" i="7"/>
  <c r="AJ194" i="7"/>
  <c r="AI194" i="7"/>
  <c r="AV195" i="7"/>
  <c r="AS195" i="7"/>
  <c r="AR195" i="7"/>
  <c r="AQ195" i="7"/>
  <c r="AO195" i="7"/>
  <c r="AN195" i="7"/>
  <c r="AM195" i="7"/>
  <c r="AL195" i="7"/>
  <c r="AK195" i="7"/>
  <c r="AJ195" i="7"/>
  <c r="AI195" i="7"/>
  <c r="AV196" i="7"/>
  <c r="AS196" i="7"/>
  <c r="AR196" i="7"/>
  <c r="AQ196" i="7"/>
  <c r="AO196" i="7"/>
  <c r="AN196" i="7"/>
  <c r="AM196" i="7"/>
  <c r="AL196" i="7"/>
  <c r="AK196" i="7"/>
  <c r="AJ196" i="7"/>
  <c r="AI196" i="7"/>
  <c r="AV197" i="7"/>
  <c r="AS197" i="7"/>
  <c r="AR197" i="7"/>
  <c r="AQ197" i="7"/>
  <c r="AO197" i="7"/>
  <c r="AN197" i="7"/>
  <c r="AM197" i="7"/>
  <c r="AL197" i="7"/>
  <c r="AK197" i="7"/>
  <c r="AJ197" i="7"/>
  <c r="AI197" i="7"/>
  <c r="AV198" i="7"/>
  <c r="AS198" i="7"/>
  <c r="AR198" i="7"/>
  <c r="AQ198" i="7"/>
  <c r="AO198" i="7"/>
  <c r="AN198" i="7"/>
  <c r="AM198" i="7"/>
  <c r="AL198" i="7"/>
  <c r="AK198" i="7"/>
  <c r="AJ198" i="7"/>
  <c r="AI198" i="7"/>
  <c r="AV199" i="7"/>
  <c r="AS199" i="7"/>
  <c r="AR199" i="7"/>
  <c r="AQ199" i="7"/>
  <c r="AO199" i="7"/>
  <c r="AN199" i="7"/>
  <c r="AM199" i="7"/>
  <c r="AL199" i="7"/>
  <c r="AK199" i="7"/>
  <c r="AJ199" i="7"/>
  <c r="AI199" i="7"/>
  <c r="AV200" i="7"/>
  <c r="AS200" i="7"/>
  <c r="AR200" i="7"/>
  <c r="AQ200" i="7"/>
  <c r="AO200" i="7"/>
  <c r="AN200" i="7"/>
  <c r="AM200" i="7"/>
  <c r="AL200" i="7"/>
  <c r="AK200" i="7"/>
  <c r="AJ200" i="7"/>
  <c r="AI200" i="7"/>
  <c r="AV201" i="7"/>
  <c r="AS201" i="7"/>
  <c r="AR201" i="7"/>
  <c r="AQ201" i="7"/>
  <c r="AO201" i="7"/>
  <c r="AN201" i="7"/>
  <c r="AM201" i="7"/>
  <c r="AL201" i="7"/>
  <c r="AK201" i="7"/>
  <c r="AJ201" i="7"/>
  <c r="AI201" i="7"/>
  <c r="AV202" i="7"/>
  <c r="AS202" i="7"/>
  <c r="AR202" i="7"/>
  <c r="AQ202" i="7"/>
  <c r="AO202" i="7"/>
  <c r="AN202" i="7"/>
  <c r="AM202" i="7"/>
  <c r="AL202" i="7"/>
  <c r="AK202" i="7"/>
  <c r="AJ202" i="7"/>
  <c r="AI202" i="7"/>
  <c r="AV203" i="7"/>
  <c r="AS203" i="7"/>
  <c r="AR203" i="7"/>
  <c r="AQ203" i="7"/>
  <c r="AO203" i="7"/>
  <c r="AN203" i="7"/>
  <c r="AM203" i="7"/>
  <c r="AL203" i="7"/>
  <c r="AK203" i="7"/>
  <c r="AJ203" i="7"/>
  <c r="AI203" i="7"/>
  <c r="AV204" i="7"/>
  <c r="AS204" i="7"/>
  <c r="AR204" i="7"/>
  <c r="AQ204" i="7"/>
  <c r="AO204" i="7"/>
  <c r="AN204" i="7"/>
  <c r="AM204" i="7"/>
  <c r="AL204" i="7"/>
  <c r="AK204" i="7"/>
  <c r="AJ204" i="7"/>
  <c r="AI204" i="7"/>
  <c r="AV205" i="7"/>
  <c r="AS205" i="7"/>
  <c r="AR205" i="7"/>
  <c r="AQ205" i="7"/>
  <c r="AO205" i="7"/>
  <c r="AN205" i="7"/>
  <c r="AM205" i="7"/>
  <c r="AL205" i="7"/>
  <c r="AK205" i="7"/>
  <c r="AJ205" i="7"/>
  <c r="AI205" i="7"/>
  <c r="BP168" i="10"/>
  <c r="BQ168" i="10" s="1"/>
  <c r="BP167" i="10"/>
  <c r="BQ167" i="10" s="1"/>
  <c r="BP166" i="10"/>
  <c r="BQ166" i="10" s="1"/>
  <c r="BP165" i="10"/>
  <c r="BQ165" i="10" s="1"/>
  <c r="BP164" i="10"/>
  <c r="BQ164" i="10" s="1"/>
  <c r="BP163" i="10"/>
  <c r="BQ163" i="10" s="1"/>
  <c r="BP162" i="10"/>
  <c r="BQ162" i="10" s="1"/>
  <c r="BP161" i="10"/>
  <c r="BQ161" i="10" s="1"/>
  <c r="BP160" i="10"/>
  <c r="BQ160" i="10" s="1"/>
  <c r="BP159" i="10"/>
  <c r="BQ159" i="10" s="1"/>
  <c r="BP158" i="10"/>
  <c r="BQ158" i="10" s="1"/>
  <c r="BP157" i="10"/>
  <c r="BQ157" i="10" s="1"/>
  <c r="BP156" i="10"/>
  <c r="BQ156" i="10" s="1"/>
  <c r="BP155" i="10"/>
  <c r="BQ155" i="10" s="1"/>
  <c r="BP154" i="10"/>
  <c r="BQ154" i="10" s="1"/>
  <c r="BP153" i="10"/>
  <c r="BQ153" i="10" s="1"/>
  <c r="BP152" i="10"/>
  <c r="BQ152" i="10" s="1"/>
  <c r="BP151" i="10"/>
  <c r="BQ151" i="10" s="1"/>
  <c r="BP150" i="10"/>
  <c r="BQ150" i="10" s="1"/>
  <c r="BP149" i="10"/>
  <c r="BQ149" i="10" s="1"/>
  <c r="BP148" i="10"/>
  <c r="BQ148" i="10" s="1"/>
  <c r="BP147" i="10"/>
  <c r="BQ147" i="10" s="1"/>
  <c r="BP146" i="10"/>
  <c r="BQ146" i="10" s="1"/>
  <c r="BP145" i="10"/>
  <c r="BQ145" i="10" s="1"/>
  <c r="BP144" i="10"/>
  <c r="BQ144" i="10" s="1"/>
  <c r="BP143" i="10"/>
  <c r="BQ143" i="10" s="1"/>
  <c r="BP142" i="10"/>
  <c r="BQ142" i="10" s="1"/>
  <c r="BP141" i="10"/>
  <c r="BQ141" i="10" s="1"/>
  <c r="BP140" i="10"/>
  <c r="BQ140" i="10" s="1"/>
  <c r="BP139" i="10"/>
  <c r="BQ139" i="10" s="1"/>
  <c r="BP138" i="10"/>
  <c r="BQ138" i="10" s="1"/>
  <c r="BP137" i="10"/>
  <c r="BQ137" i="10" s="1"/>
  <c r="BP136" i="10"/>
  <c r="BQ136" i="10" s="1"/>
  <c r="BP135" i="10"/>
  <c r="BQ135" i="10" s="1"/>
  <c r="BP134" i="10"/>
  <c r="BQ134" i="10" s="1"/>
  <c r="BP133" i="10"/>
  <c r="BQ133" i="10" s="1"/>
  <c r="BP132" i="10"/>
  <c r="BQ132" i="10" s="1"/>
  <c r="BP131" i="10"/>
  <c r="BQ131" i="10" s="1"/>
  <c r="BP130" i="10"/>
  <c r="BQ130" i="10" s="1"/>
  <c r="BP129" i="10"/>
  <c r="BQ129" i="10" s="1"/>
  <c r="BP128" i="10"/>
  <c r="BQ128" i="10" s="1"/>
  <c r="BP127" i="10"/>
  <c r="BQ127" i="10" s="1"/>
  <c r="BP126" i="10"/>
  <c r="BQ126" i="10" s="1"/>
  <c r="BP125" i="10"/>
  <c r="BQ125" i="10" s="1"/>
  <c r="BP124" i="10"/>
  <c r="BQ124" i="10" s="1"/>
  <c r="BP123" i="10"/>
  <c r="BQ123" i="10" s="1"/>
  <c r="BP122" i="10"/>
  <c r="BQ122" i="10" s="1"/>
  <c r="BP121" i="10"/>
  <c r="BQ121" i="10" s="1"/>
  <c r="BP120" i="10"/>
  <c r="BQ120" i="10" s="1"/>
  <c r="BR119" i="10"/>
  <c r="D119" i="10"/>
  <c r="BV119" i="10" s="1"/>
  <c r="C119" i="10"/>
  <c r="B364" i="8"/>
  <c r="B363" i="8"/>
  <c r="B362" i="8"/>
  <c r="B358" i="8"/>
  <c r="A71" i="8"/>
  <c r="AQ28" i="8"/>
  <c r="AP28" i="8"/>
  <c r="AO28" i="8"/>
  <c r="AN28" i="8"/>
  <c r="AM28" i="8"/>
  <c r="AL28" i="8"/>
  <c r="BP119" i="10" s="1"/>
  <c r="BQ119" i="10" s="1"/>
  <c r="AX28" i="8"/>
  <c r="AW28" i="8"/>
  <c r="AQ29" i="8"/>
  <c r="AP29" i="8"/>
  <c r="AO29" i="8"/>
  <c r="AN29" i="8"/>
  <c r="AM29" i="8"/>
  <c r="AL29" i="8"/>
  <c r="AX29" i="8"/>
  <c r="AW29" i="8"/>
  <c r="AQ30" i="8"/>
  <c r="AP30" i="8"/>
  <c r="AO30" i="8"/>
  <c r="AN30" i="8"/>
  <c r="AM30" i="8"/>
  <c r="AL30" i="8"/>
  <c r="AX30" i="8"/>
  <c r="AW30" i="8"/>
  <c r="AQ31" i="8"/>
  <c r="AP31" i="8"/>
  <c r="AO31" i="8"/>
  <c r="AN31" i="8"/>
  <c r="AM31" i="8"/>
  <c r="AL31" i="8"/>
  <c r="AX31" i="8"/>
  <c r="AW31" i="8"/>
  <c r="AQ32" i="8"/>
  <c r="AP32" i="8"/>
  <c r="AO32" i="8"/>
  <c r="AN32" i="8"/>
  <c r="AM32" i="8"/>
  <c r="AL32" i="8"/>
  <c r="AX32" i="8"/>
  <c r="AW32" i="8"/>
  <c r="AQ33" i="8"/>
  <c r="AP33" i="8"/>
  <c r="AO33" i="8"/>
  <c r="AN33" i="8"/>
  <c r="AM33" i="8"/>
  <c r="AL33" i="8"/>
  <c r="AX33" i="8"/>
  <c r="AW33" i="8"/>
  <c r="AQ34" i="8"/>
  <c r="AP34" i="8"/>
  <c r="AO34" i="8"/>
  <c r="AN34" i="8"/>
  <c r="AM34" i="8"/>
  <c r="AL34" i="8"/>
  <c r="AX34" i="8"/>
  <c r="AW34" i="8"/>
  <c r="AQ35" i="8"/>
  <c r="AP35" i="8"/>
  <c r="AO35" i="8"/>
  <c r="AN35" i="8"/>
  <c r="AM35" i="8"/>
  <c r="AL35" i="8"/>
  <c r="AX35" i="8"/>
  <c r="AW35" i="8"/>
  <c r="AQ36" i="8"/>
  <c r="AP36" i="8"/>
  <c r="AO36" i="8"/>
  <c r="AN36" i="8"/>
  <c r="AM36" i="8"/>
  <c r="AL36" i="8"/>
  <c r="AX36" i="8"/>
  <c r="AW36" i="8"/>
  <c r="AQ37" i="8"/>
  <c r="AP37" i="8"/>
  <c r="AO37" i="8"/>
  <c r="AN37" i="8"/>
  <c r="AM37" i="8"/>
  <c r="AL37" i="8"/>
  <c r="AX37" i="8"/>
  <c r="AW37" i="8"/>
  <c r="AQ38" i="8"/>
  <c r="AP38" i="8"/>
  <c r="AO38" i="8"/>
  <c r="AN38" i="8"/>
  <c r="AM38" i="8"/>
  <c r="AL38" i="8"/>
  <c r="AX38" i="8"/>
  <c r="AW38" i="8"/>
  <c r="AQ39" i="8"/>
  <c r="AP39" i="8"/>
  <c r="AO39" i="8"/>
  <c r="AN39" i="8"/>
  <c r="AM39" i="8"/>
  <c r="AL39" i="8"/>
  <c r="AX39" i="8"/>
  <c r="AW39" i="8"/>
  <c r="AQ40" i="8"/>
  <c r="AP40" i="8"/>
  <c r="AO40" i="8"/>
  <c r="AN40" i="8"/>
  <c r="AM40" i="8"/>
  <c r="AL40" i="8"/>
  <c r="AX40" i="8"/>
  <c r="AW40" i="8"/>
  <c r="AQ41" i="8"/>
  <c r="AP41" i="8"/>
  <c r="AO41" i="8"/>
  <c r="AN41" i="8"/>
  <c r="AM41" i="8"/>
  <c r="AL41" i="8"/>
  <c r="AX41" i="8"/>
  <c r="AW41" i="8"/>
  <c r="AQ42" i="8"/>
  <c r="AP42" i="8"/>
  <c r="AO42" i="8"/>
  <c r="AN42" i="8"/>
  <c r="AM42" i="8"/>
  <c r="AL42" i="8"/>
  <c r="AX42" i="8"/>
  <c r="AW42" i="8"/>
  <c r="AQ43" i="8"/>
  <c r="AP43" i="8"/>
  <c r="AO43" i="8"/>
  <c r="AN43" i="8"/>
  <c r="AM43" i="8"/>
  <c r="AL43" i="8"/>
  <c r="AX43" i="8"/>
  <c r="AW43" i="8"/>
  <c r="AQ44" i="8"/>
  <c r="AP44" i="8"/>
  <c r="AO44" i="8"/>
  <c r="AN44" i="8"/>
  <c r="AM44" i="8"/>
  <c r="AL44" i="8"/>
  <c r="AX44" i="8"/>
  <c r="AW44" i="8"/>
  <c r="AQ45" i="8"/>
  <c r="AP45" i="8"/>
  <c r="AO45" i="8"/>
  <c r="AN45" i="8"/>
  <c r="AM45" i="8"/>
  <c r="AL45" i="8"/>
  <c r="AX45" i="8"/>
  <c r="AW45" i="8"/>
  <c r="AQ46" i="8"/>
  <c r="AP46" i="8"/>
  <c r="AO46" i="8"/>
  <c r="AN46" i="8"/>
  <c r="AM46" i="8"/>
  <c r="AL46" i="8"/>
  <c r="AX46" i="8"/>
  <c r="AW46" i="8"/>
  <c r="AQ47" i="8"/>
  <c r="AP47" i="8"/>
  <c r="AO47" i="8"/>
  <c r="AN47" i="8"/>
  <c r="AM47" i="8"/>
  <c r="AL47" i="8"/>
  <c r="AX47" i="8"/>
  <c r="AW47" i="8"/>
  <c r="AQ48" i="8"/>
  <c r="AP48" i="8"/>
  <c r="AO48" i="8"/>
  <c r="AN48" i="8"/>
  <c r="AM48" i="8"/>
  <c r="AL48" i="8"/>
  <c r="AX48" i="8"/>
  <c r="AW48" i="8"/>
  <c r="AQ49" i="8"/>
  <c r="AP49" i="8"/>
  <c r="AO49" i="8"/>
  <c r="AN49" i="8"/>
  <c r="AM49" i="8"/>
  <c r="AL49" i="8"/>
  <c r="AX49" i="8"/>
  <c r="AW49" i="8"/>
  <c r="AQ50" i="8"/>
  <c r="AP50" i="8"/>
  <c r="AO50" i="8"/>
  <c r="AN50" i="8"/>
  <c r="AM50" i="8"/>
  <c r="AL50" i="8"/>
  <c r="AX50" i="8"/>
  <c r="AW50" i="8"/>
  <c r="AQ51" i="8"/>
  <c r="AP51" i="8"/>
  <c r="AO51" i="8"/>
  <c r="AN51" i="8"/>
  <c r="AM51" i="8"/>
  <c r="AL51" i="8"/>
  <c r="AX51" i="8"/>
  <c r="AW51" i="8"/>
  <c r="AQ52" i="8"/>
  <c r="AP52" i="8"/>
  <c r="AO52" i="8"/>
  <c r="AN52" i="8"/>
  <c r="AM52" i="8"/>
  <c r="AL52" i="8"/>
  <c r="AX52" i="8"/>
  <c r="AW52" i="8"/>
  <c r="AQ53" i="8"/>
  <c r="AP53" i="8"/>
  <c r="AO53" i="8"/>
  <c r="AN53" i="8"/>
  <c r="AM53" i="8"/>
  <c r="AL53" i="8"/>
  <c r="AX53" i="8"/>
  <c r="AW53" i="8"/>
  <c r="AQ54" i="8"/>
  <c r="AP54" i="8"/>
  <c r="AO54" i="8"/>
  <c r="AN54" i="8"/>
  <c r="AM54" i="8"/>
  <c r="AL54" i="8"/>
  <c r="AX54" i="8"/>
  <c r="AW54" i="8"/>
  <c r="AQ55" i="8"/>
  <c r="AP55" i="8"/>
  <c r="AO55" i="8"/>
  <c r="AN55" i="8"/>
  <c r="AM55" i="8"/>
  <c r="AL55" i="8"/>
  <c r="AX55" i="8"/>
  <c r="AW55" i="8"/>
  <c r="AQ56" i="8"/>
  <c r="AP56" i="8"/>
  <c r="AO56" i="8"/>
  <c r="AN56" i="8"/>
  <c r="AM56" i="8"/>
  <c r="AL56" i="8"/>
  <c r="AX56" i="8"/>
  <c r="AW56" i="8"/>
  <c r="AQ57" i="8"/>
  <c r="AP57" i="8"/>
  <c r="AO57" i="8"/>
  <c r="AN57" i="8"/>
  <c r="AM57" i="8"/>
  <c r="AL57" i="8"/>
  <c r="AX57" i="8"/>
  <c r="AW57" i="8"/>
  <c r="AQ58" i="8"/>
  <c r="AP58" i="8"/>
  <c r="AO58" i="8"/>
  <c r="AN58" i="8"/>
  <c r="AM58" i="8"/>
  <c r="AL58" i="8"/>
  <c r="AX58" i="8"/>
  <c r="AW58" i="8"/>
  <c r="AQ59" i="8"/>
  <c r="AP59" i="8"/>
  <c r="AO59" i="8"/>
  <c r="AN59" i="8"/>
  <c r="AM59" i="8"/>
  <c r="AL59" i="8"/>
  <c r="AX59" i="8"/>
  <c r="AW59" i="8"/>
  <c r="AQ60" i="8"/>
  <c r="AP60" i="8"/>
  <c r="AO60" i="8"/>
  <c r="AN60" i="8"/>
  <c r="AM60" i="8"/>
  <c r="AL60" i="8"/>
  <c r="AX60" i="8"/>
  <c r="AW60" i="8"/>
  <c r="AQ61" i="8"/>
  <c r="AP61" i="8"/>
  <c r="AO61" i="8"/>
  <c r="AN61" i="8"/>
  <c r="AM61" i="8"/>
  <c r="AL61" i="8"/>
  <c r="AX61" i="8"/>
  <c r="AW61" i="8"/>
  <c r="AQ62" i="8"/>
  <c r="AP62" i="8"/>
  <c r="AO62" i="8"/>
  <c r="AN62" i="8"/>
  <c r="AM62" i="8"/>
  <c r="AL62" i="8"/>
  <c r="AX62" i="8"/>
  <c r="AW62" i="8"/>
  <c r="AQ63" i="8"/>
  <c r="AP63" i="8"/>
  <c r="AO63" i="8"/>
  <c r="AN63" i="8"/>
  <c r="AM63" i="8"/>
  <c r="AL63" i="8"/>
  <c r="AX63" i="8"/>
  <c r="AW63" i="8"/>
  <c r="AQ64" i="8"/>
  <c r="AP64" i="8"/>
  <c r="AO64" i="8"/>
  <c r="AN64" i="8"/>
  <c r="AM64" i="8"/>
  <c r="AL64" i="8"/>
  <c r="AX64" i="8"/>
  <c r="AW64" i="8"/>
  <c r="AQ65" i="8"/>
  <c r="AP65" i="8"/>
  <c r="AO65" i="8"/>
  <c r="AN65" i="8"/>
  <c r="AM65" i="8"/>
  <c r="AL65" i="8"/>
  <c r="AX65" i="8"/>
  <c r="AW65" i="8"/>
  <c r="AQ66" i="8"/>
  <c r="AP66" i="8"/>
  <c r="AO66" i="8"/>
  <c r="AN66" i="8"/>
  <c r="AM66" i="8"/>
  <c r="AL66" i="8"/>
  <c r="AX66" i="8"/>
  <c r="AW66" i="8"/>
  <c r="AQ67" i="8"/>
  <c r="AP67" i="8"/>
  <c r="AO67" i="8"/>
  <c r="AN67" i="8"/>
  <c r="AM67" i="8"/>
  <c r="AL67" i="8"/>
  <c r="AX67" i="8"/>
  <c r="AW67" i="8"/>
  <c r="C200" i="8"/>
  <c r="B200" i="8"/>
  <c r="C201" i="8"/>
  <c r="B201" i="8"/>
  <c r="C202" i="8"/>
  <c r="B202" i="8"/>
  <c r="C203" i="8"/>
  <c r="B203" i="8"/>
  <c r="C204" i="8"/>
  <c r="B204" i="8"/>
  <c r="C205" i="8"/>
  <c r="B205" i="8"/>
  <c r="C206" i="8"/>
  <c r="B206" i="8"/>
  <c r="C207" i="8"/>
  <c r="B207" i="8"/>
  <c r="C208" i="8"/>
  <c r="B208" i="8"/>
  <c r="C209" i="8"/>
  <c r="B209" i="8"/>
  <c r="C210" i="8"/>
  <c r="B210" i="8"/>
  <c r="C211" i="8"/>
  <c r="B211" i="8"/>
  <c r="C212" i="8"/>
  <c r="B212" i="8"/>
  <c r="C213" i="8"/>
  <c r="B213" i="8"/>
  <c r="C214" i="8"/>
  <c r="B214" i="8"/>
  <c r="C215" i="8"/>
  <c r="B215" i="8"/>
  <c r="C216" i="8"/>
  <c r="B216" i="8"/>
  <c r="C217" i="8"/>
  <c r="B217" i="8"/>
  <c r="C218" i="8"/>
  <c r="B218" i="8"/>
  <c r="C219" i="8"/>
  <c r="B219" i="8"/>
  <c r="C220" i="8"/>
  <c r="B220" i="8"/>
  <c r="C221" i="8"/>
  <c r="B221" i="8"/>
  <c r="C222" i="8"/>
  <c r="B222" i="8"/>
  <c r="C223" i="8"/>
  <c r="B223" i="8"/>
  <c r="C224" i="8"/>
  <c r="B224" i="8"/>
  <c r="C225" i="8"/>
  <c r="B225" i="8"/>
  <c r="C226" i="8"/>
  <c r="B226" i="8"/>
  <c r="C227" i="8"/>
  <c r="B227" i="8"/>
  <c r="C228" i="8"/>
  <c r="B228" i="8"/>
  <c r="C229" i="8"/>
  <c r="B229" i="8"/>
  <c r="H8" i="9"/>
  <c r="J277" i="13" s="1"/>
  <c r="B299" i="13"/>
  <c r="B298" i="13"/>
  <c r="B297" i="13"/>
  <c r="B296" i="13"/>
  <c r="B295" i="13"/>
  <c r="J54" i="13"/>
  <c r="J53" i="13"/>
  <c r="J45" i="13"/>
  <c r="J19" i="13"/>
  <c r="C182" i="9"/>
  <c r="C181" i="9"/>
  <c r="C180" i="9"/>
  <c r="C179" i="9"/>
  <c r="C178" i="9"/>
  <c r="C299" i="13"/>
  <c r="C298" i="13"/>
  <c r="C297" i="13"/>
  <c r="C296" i="13"/>
  <c r="C295" i="13"/>
  <c r="J46" i="13"/>
  <c r="J49" i="13" s="1"/>
  <c r="J20" i="13"/>
  <c r="J22" i="13" s="1"/>
  <c r="BR120" i="10"/>
  <c r="AZ120" i="10"/>
  <c r="BR121" i="10"/>
  <c r="AZ121" i="10"/>
  <c r="BR122" i="10"/>
  <c r="AZ122" i="10"/>
  <c r="BR123" i="10"/>
  <c r="AZ123" i="10"/>
  <c r="BR124" i="10"/>
  <c r="AZ124" i="10"/>
  <c r="BR125" i="10"/>
  <c r="AZ125" i="10"/>
  <c r="BR126" i="10"/>
  <c r="AZ126" i="10"/>
  <c r="BR127" i="10"/>
  <c r="AZ127" i="10"/>
  <c r="BR128" i="10"/>
  <c r="AZ128" i="10"/>
  <c r="BR129" i="10"/>
  <c r="AZ129" i="10"/>
  <c r="BR130" i="10"/>
  <c r="AZ130" i="10"/>
  <c r="BR131" i="10"/>
  <c r="AZ131" i="10"/>
  <c r="BR132" i="10"/>
  <c r="AZ132" i="10"/>
  <c r="BR133" i="10"/>
  <c r="AZ133" i="10"/>
  <c r="BR134" i="10"/>
  <c r="AZ134" i="10"/>
  <c r="BR135" i="10"/>
  <c r="AZ135" i="10"/>
  <c r="BR136" i="10"/>
  <c r="AZ136" i="10"/>
  <c r="BR137" i="10"/>
  <c r="AZ137" i="10"/>
  <c r="BR138" i="10"/>
  <c r="AZ138" i="10"/>
  <c r="BR139" i="10"/>
  <c r="AZ139" i="10"/>
  <c r="BR140" i="10"/>
  <c r="AZ140" i="10"/>
  <c r="BR141" i="10"/>
  <c r="AZ141" i="10"/>
  <c r="BR142" i="10"/>
  <c r="AZ142" i="10"/>
  <c r="BR143" i="10"/>
  <c r="AZ143" i="10"/>
  <c r="BR144" i="10"/>
  <c r="AZ144" i="10"/>
  <c r="BR145" i="10"/>
  <c r="AZ145" i="10"/>
  <c r="BR146" i="10"/>
  <c r="AZ146" i="10"/>
  <c r="BR147" i="10"/>
  <c r="AZ147" i="10"/>
  <c r="BR148" i="10"/>
  <c r="AZ148" i="10"/>
  <c r="BR149" i="10"/>
  <c r="AZ149" i="10"/>
  <c r="BR150" i="10"/>
  <c r="AZ150" i="10"/>
  <c r="BR151" i="10"/>
  <c r="AZ151" i="10"/>
  <c r="BR152" i="10"/>
  <c r="AZ152" i="10"/>
  <c r="BR153" i="10"/>
  <c r="AZ153" i="10"/>
  <c r="BR154" i="10"/>
  <c r="AZ154" i="10"/>
  <c r="BR155" i="10"/>
  <c r="AZ155" i="10"/>
  <c r="BR156" i="10"/>
  <c r="AZ156" i="10"/>
  <c r="BR157" i="10"/>
  <c r="AZ157" i="10"/>
  <c r="BR158" i="10"/>
  <c r="AZ158" i="10"/>
  <c r="BR159" i="10"/>
  <c r="AZ159" i="10"/>
  <c r="BR160" i="10"/>
  <c r="AZ160" i="10"/>
  <c r="BR161" i="10"/>
  <c r="AZ161" i="10"/>
  <c r="BR162" i="10"/>
  <c r="AZ162" i="10"/>
  <c r="BR163" i="10"/>
  <c r="AZ163" i="10"/>
  <c r="BR164" i="10"/>
  <c r="AZ164" i="10"/>
  <c r="BR165" i="10"/>
  <c r="AZ165" i="10"/>
  <c r="BR166" i="10"/>
  <c r="AZ166" i="10"/>
  <c r="BR167" i="10"/>
  <c r="AZ167" i="10"/>
  <c r="BR168" i="10"/>
  <c r="AZ168" i="10"/>
  <c r="J212" i="13"/>
  <c r="J211" i="13"/>
  <c r="C207" i="13"/>
  <c r="B207" i="13"/>
  <c r="J15" i="13"/>
  <c r="B433" i="11"/>
  <c r="C459" i="11"/>
  <c r="B459" i="11"/>
  <c r="C460" i="11"/>
  <c r="B460" i="11"/>
  <c r="C461" i="11"/>
  <c r="B461" i="11"/>
  <c r="C462" i="11"/>
  <c r="B462" i="11"/>
  <c r="C463" i="11"/>
  <c r="B463" i="11"/>
  <c r="C464" i="11"/>
  <c r="B464" i="11"/>
  <c r="C465" i="11"/>
  <c r="B465" i="11"/>
  <c r="C466" i="11"/>
  <c r="B466" i="11"/>
  <c r="C467" i="11"/>
  <c r="B467" i="11"/>
  <c r="C468" i="11"/>
  <c r="B468" i="11"/>
  <c r="C469" i="11"/>
  <c r="B469" i="11"/>
  <c r="C470" i="11"/>
  <c r="B470" i="11"/>
  <c r="C471" i="11"/>
  <c r="B471" i="11"/>
  <c r="C472" i="11"/>
  <c r="B472" i="11"/>
  <c r="C473" i="11"/>
  <c r="B473" i="11"/>
  <c r="C478" i="11"/>
  <c r="C479" i="11"/>
  <c r="C480" i="11"/>
  <c r="J243" i="13"/>
  <c r="J242" i="13"/>
  <c r="AH55" i="12"/>
  <c r="AG55" i="12"/>
  <c r="AF55" i="12"/>
  <c r="AE55" i="12"/>
  <c r="AH56" i="12"/>
  <c r="AG56" i="12"/>
  <c r="AF56" i="12"/>
  <c r="AE56" i="12"/>
  <c r="AH57" i="12"/>
  <c r="AG57" i="12"/>
  <c r="AF57" i="12"/>
  <c r="AE57" i="12"/>
  <c r="AH58" i="12"/>
  <c r="AG58" i="12"/>
  <c r="AF58" i="12"/>
  <c r="AE58" i="12"/>
  <c r="AH59" i="12"/>
  <c r="AG59" i="12"/>
  <c r="AF59" i="12"/>
  <c r="AE59" i="12"/>
  <c r="AH60" i="12"/>
  <c r="AG60" i="12"/>
  <c r="AF60" i="12"/>
  <c r="AE60" i="12"/>
  <c r="AH61" i="12"/>
  <c r="AG61" i="12"/>
  <c r="AF61" i="12"/>
  <c r="AE61" i="12"/>
  <c r="AH62" i="12"/>
  <c r="AG62" i="12"/>
  <c r="AF62" i="12"/>
  <c r="AE62" i="12"/>
  <c r="AH63" i="12"/>
  <c r="AG63" i="12"/>
  <c r="AF63" i="12"/>
  <c r="AE63" i="12"/>
  <c r="AH64" i="12"/>
  <c r="AG64" i="12"/>
  <c r="AF64" i="12"/>
  <c r="AE64" i="12"/>
  <c r="AH65" i="12"/>
  <c r="AG65" i="12"/>
  <c r="AF65" i="12"/>
  <c r="AE65" i="12"/>
  <c r="AH66" i="12"/>
  <c r="AG66" i="12"/>
  <c r="AF66" i="12"/>
  <c r="AE66" i="12"/>
  <c r="AH67" i="12"/>
  <c r="AG67" i="12"/>
  <c r="AF67" i="12"/>
  <c r="AE67" i="12"/>
  <c r="AH68" i="12"/>
  <c r="AG68" i="12"/>
  <c r="AF68" i="12"/>
  <c r="AE68" i="12"/>
  <c r="AH69" i="12"/>
  <c r="AG69" i="12"/>
  <c r="AF69" i="12"/>
  <c r="AE69" i="12"/>
  <c r="AH70" i="12"/>
  <c r="AG70" i="12"/>
  <c r="AF70" i="12"/>
  <c r="AE70" i="12"/>
  <c r="AH71" i="12"/>
  <c r="AG71" i="12"/>
  <c r="AF71" i="12"/>
  <c r="AE71" i="12"/>
  <c r="AH72" i="12"/>
  <c r="AG72" i="12"/>
  <c r="AF72" i="12"/>
  <c r="AE72" i="12"/>
  <c r="AH73" i="12"/>
  <c r="AG73" i="12"/>
  <c r="AF73" i="12"/>
  <c r="AE73" i="12"/>
  <c r="AH74" i="12"/>
  <c r="AG74" i="12"/>
  <c r="AF74" i="12"/>
  <c r="AE74" i="12"/>
  <c r="AH75" i="12"/>
  <c r="AG75" i="12"/>
  <c r="AF75" i="12"/>
  <c r="AE75" i="12"/>
  <c r="AH76" i="12"/>
  <c r="AG76" i="12"/>
  <c r="AF76" i="12"/>
  <c r="AE76" i="12"/>
  <c r="AH77" i="12"/>
  <c r="AG77" i="12"/>
  <c r="AF77" i="12"/>
  <c r="AE77" i="12"/>
  <c r="AH78" i="12"/>
  <c r="AG78" i="12"/>
  <c r="AF78" i="12"/>
  <c r="AE78" i="12"/>
  <c r="AH79" i="12"/>
  <c r="AG79" i="12"/>
  <c r="AF79" i="12"/>
  <c r="AE79" i="12"/>
  <c r="AH80" i="12"/>
  <c r="AG80" i="12"/>
  <c r="AF80" i="12"/>
  <c r="AE80" i="12"/>
  <c r="AH81" i="12"/>
  <c r="AG81" i="12"/>
  <c r="AF81" i="12"/>
  <c r="AE81" i="12"/>
  <c r="AH82" i="12"/>
  <c r="AG82" i="12"/>
  <c r="AF82" i="12"/>
  <c r="AE82" i="12"/>
  <c r="AH83" i="12"/>
  <c r="AG83" i="12"/>
  <c r="AF83" i="12"/>
  <c r="AE83" i="12"/>
  <c r="AH84" i="12"/>
  <c r="AG84" i="12"/>
  <c r="AF84" i="12"/>
  <c r="AE84" i="12"/>
  <c r="AH85" i="12"/>
  <c r="AG85" i="12"/>
  <c r="AF85" i="12"/>
  <c r="AE85" i="12"/>
  <c r="AH86" i="12"/>
  <c r="AG86" i="12"/>
  <c r="AF86" i="12"/>
  <c r="AE86" i="12"/>
  <c r="AH87" i="12"/>
  <c r="AG87" i="12"/>
  <c r="AF87" i="12"/>
  <c r="AE87" i="12"/>
  <c r="AH88" i="12"/>
  <c r="AG88" i="12"/>
  <c r="AF88" i="12"/>
  <c r="AE88" i="12"/>
  <c r="AH89" i="12"/>
  <c r="AG89" i="12"/>
  <c r="AF89" i="12"/>
  <c r="AE89" i="12"/>
  <c r="AH90" i="12"/>
  <c r="AG90" i="12"/>
  <c r="AF90" i="12"/>
  <c r="AE90" i="12"/>
  <c r="AH91" i="12"/>
  <c r="AG91" i="12"/>
  <c r="AF91" i="12"/>
  <c r="AE91" i="12"/>
  <c r="AH92" i="12"/>
  <c r="AG92" i="12"/>
  <c r="AF92" i="12"/>
  <c r="AE92" i="12"/>
  <c r="AH93" i="12"/>
  <c r="AG93" i="12"/>
  <c r="AF93" i="12"/>
  <c r="AE93" i="12"/>
  <c r="AH94" i="12"/>
  <c r="AG94" i="12"/>
  <c r="AF94" i="12"/>
  <c r="AE94" i="12"/>
  <c r="AH95" i="12"/>
  <c r="AG95" i="12"/>
  <c r="AF95" i="12"/>
  <c r="AE95" i="12"/>
  <c r="AH96" i="12"/>
  <c r="AG96" i="12"/>
  <c r="AF96" i="12"/>
  <c r="AE96" i="12"/>
  <c r="AH97" i="12"/>
  <c r="AG97" i="12"/>
  <c r="AF97" i="12"/>
  <c r="AE97" i="12"/>
  <c r="AH98" i="12"/>
  <c r="AG98" i="12"/>
  <c r="AF98" i="12"/>
  <c r="AE98" i="12"/>
  <c r="AH99" i="12"/>
  <c r="AG99" i="12"/>
  <c r="AF99" i="12"/>
  <c r="AE99" i="12"/>
  <c r="AH100" i="12"/>
  <c r="AG100" i="12"/>
  <c r="AF100" i="12"/>
  <c r="AE100" i="12"/>
  <c r="AH101" i="12"/>
  <c r="AG101" i="12"/>
  <c r="AF101" i="12"/>
  <c r="AE101" i="12"/>
  <c r="AH102" i="12"/>
  <c r="AG102" i="12"/>
  <c r="AF102" i="12"/>
  <c r="AE102" i="12"/>
  <c r="AH103" i="12"/>
  <c r="AG103" i="12"/>
  <c r="AF103" i="12"/>
  <c r="AE103" i="12"/>
  <c r="AH104" i="12"/>
  <c r="AG104" i="12"/>
  <c r="AF104" i="12"/>
  <c r="AE104" i="12"/>
  <c r="B64" i="13"/>
  <c r="B65" i="13"/>
  <c r="B66" i="13"/>
  <c r="B67" i="13"/>
  <c r="B68" i="13"/>
  <c r="B69" i="13"/>
  <c r="B70" i="13"/>
  <c r="B71" i="13"/>
  <c r="B72" i="13"/>
  <c r="B73" i="13"/>
  <c r="B74" i="13"/>
  <c r="B75" i="13"/>
  <c r="B76" i="13"/>
  <c r="B77" i="13"/>
  <c r="B78" i="13"/>
  <c r="D253" i="13"/>
  <c r="B253" i="13"/>
  <c r="D254" i="13"/>
  <c r="B254" i="13"/>
  <c r="D255" i="13"/>
  <c r="B255" i="13"/>
  <c r="D256" i="13"/>
  <c r="B256" i="13"/>
  <c r="D257" i="13"/>
  <c r="B257" i="13"/>
  <c r="D258" i="13"/>
  <c r="B258" i="13"/>
  <c r="D259" i="13"/>
  <c r="B259" i="13"/>
  <c r="D260" i="13"/>
  <c r="B260" i="13"/>
  <c r="D261" i="13"/>
  <c r="B261" i="13"/>
  <c r="D262" i="13"/>
  <c r="B262" i="13"/>
  <c r="D263" i="13"/>
  <c r="B263" i="13"/>
  <c r="D264" i="13"/>
  <c r="B264" i="13"/>
  <c r="D265" i="13"/>
  <c r="B265" i="13"/>
  <c r="D266" i="13"/>
  <c r="B266" i="13"/>
  <c r="D267" i="13"/>
  <c r="B267" i="13"/>
  <c r="AT65" i="7"/>
  <c r="AT83" i="7"/>
  <c r="AT91" i="7"/>
  <c r="AT103" i="7"/>
  <c r="AT70" i="7"/>
  <c r="AT104" i="7"/>
  <c r="AZ59" i="6"/>
  <c r="AZ63" i="6"/>
  <c r="AZ67" i="6"/>
  <c r="AZ71" i="6"/>
  <c r="AZ75" i="6"/>
  <c r="AZ79" i="6"/>
  <c r="AZ83" i="6"/>
  <c r="AZ87" i="6"/>
  <c r="AZ91" i="6"/>
  <c r="AZ95" i="6"/>
  <c r="AZ99" i="6"/>
  <c r="AZ103" i="6"/>
  <c r="AZ107" i="6"/>
  <c r="AZ111" i="6"/>
  <c r="AZ115" i="6"/>
  <c r="AT71" i="7"/>
  <c r="AT78" i="7"/>
  <c r="AT84" i="7"/>
  <c r="AT92" i="7"/>
  <c r="AT105" i="7"/>
  <c r="AT109" i="7"/>
  <c r="AT113" i="7"/>
  <c r="AT117" i="7"/>
  <c r="AT121" i="7"/>
  <c r="AT125" i="7"/>
  <c r="AT129" i="7"/>
  <c r="AT133" i="7"/>
  <c r="AT137" i="7"/>
  <c r="AT141" i="7"/>
  <c r="AT145" i="7"/>
  <c r="AT149" i="7"/>
  <c r="AT102" i="7"/>
  <c r="AT153" i="7"/>
  <c r="AT157" i="7"/>
  <c r="AT161" i="7"/>
  <c r="AT165" i="7"/>
  <c r="AT169" i="7"/>
  <c r="AT173" i="7"/>
  <c r="AT177" i="7"/>
  <c r="AT181" i="7"/>
  <c r="AT185" i="7"/>
  <c r="AT189" i="7"/>
  <c r="AT193" i="7"/>
  <c r="AT197" i="7"/>
  <c r="AT201" i="7"/>
  <c r="AT205" i="7"/>
  <c r="AT96" i="7"/>
  <c r="AZ69" i="6"/>
  <c r="AZ77" i="6"/>
  <c r="AZ85" i="6"/>
  <c r="AZ93" i="6"/>
  <c r="AZ105" i="6"/>
  <c r="AZ113" i="6"/>
  <c r="AT88" i="7"/>
  <c r="AT111" i="7"/>
  <c r="AT127" i="7"/>
  <c r="AT143" i="7"/>
  <c r="AT159" i="7"/>
  <c r="AT171" i="7"/>
  <c r="AT187" i="7"/>
  <c r="AT98" i="7"/>
  <c r="AT69" i="7"/>
  <c r="AT85" i="7"/>
  <c r="AT93" i="7"/>
  <c r="AT58" i="7"/>
  <c r="AT74" i="7"/>
  <c r="AZ56" i="6"/>
  <c r="AZ60" i="6"/>
  <c r="AZ64" i="6"/>
  <c r="AZ68" i="6"/>
  <c r="AZ72" i="6"/>
  <c r="AZ76" i="6"/>
  <c r="AZ80" i="6"/>
  <c r="AZ84" i="6"/>
  <c r="AZ88" i="6"/>
  <c r="AZ92" i="6"/>
  <c r="AZ96" i="6"/>
  <c r="AZ100" i="6"/>
  <c r="AZ104" i="6"/>
  <c r="AZ108" i="6"/>
  <c r="AZ112" i="6"/>
  <c r="AT59" i="7"/>
  <c r="AT75" i="7"/>
  <c r="AT79" i="7"/>
  <c r="AT86" i="7"/>
  <c r="AT94" i="7"/>
  <c r="AT106" i="7"/>
  <c r="AT110" i="7"/>
  <c r="AT114" i="7"/>
  <c r="AT118" i="7"/>
  <c r="AT122" i="7"/>
  <c r="AT126" i="7"/>
  <c r="AT130" i="7"/>
  <c r="AT134" i="7"/>
  <c r="AT138" i="7"/>
  <c r="AT142" i="7"/>
  <c r="AT146" i="7"/>
  <c r="AT150" i="7"/>
  <c r="AT60" i="7"/>
  <c r="AT154" i="7"/>
  <c r="AT158" i="7"/>
  <c r="AT162" i="7"/>
  <c r="AT166" i="7"/>
  <c r="AT170" i="7"/>
  <c r="AT174" i="7"/>
  <c r="AT178" i="7"/>
  <c r="AT182" i="7"/>
  <c r="AT186" i="7"/>
  <c r="AT190" i="7"/>
  <c r="AT194" i="7"/>
  <c r="AT198" i="7"/>
  <c r="AT202" i="7"/>
  <c r="AT68" i="7"/>
  <c r="AT63" i="7"/>
  <c r="AT115" i="7"/>
  <c r="AT131" i="7"/>
  <c r="AT147" i="7"/>
  <c r="AT155" i="7"/>
  <c r="AT175" i="7"/>
  <c r="AT191" i="7"/>
  <c r="AT203" i="7"/>
  <c r="AT57" i="7"/>
  <c r="AT73" i="7"/>
  <c r="AT87" i="7"/>
  <c r="AT95" i="7"/>
  <c r="AT62" i="7"/>
  <c r="AZ57" i="6"/>
  <c r="AZ61" i="6"/>
  <c r="AZ65" i="6"/>
  <c r="AZ73" i="6"/>
  <c r="AZ81" i="6"/>
  <c r="AZ89" i="6"/>
  <c r="AZ101" i="6"/>
  <c r="AZ109" i="6"/>
  <c r="AT80" i="7"/>
  <c r="AT107" i="7"/>
  <c r="AT123" i="7"/>
  <c r="AT139" i="7"/>
  <c r="AT64" i="7"/>
  <c r="AT167" i="7"/>
  <c r="AT183" i="7"/>
  <c r="AT199" i="7"/>
  <c r="AT61" i="7"/>
  <c r="AT81" i="7"/>
  <c r="AT89" i="7"/>
  <c r="AT99" i="7"/>
  <c r="AT66" i="7"/>
  <c r="AT100" i="7"/>
  <c r="AZ58" i="6"/>
  <c r="AZ62" i="6"/>
  <c r="AZ66" i="6"/>
  <c r="AZ70" i="6"/>
  <c r="AZ74" i="6"/>
  <c r="AZ78" i="6"/>
  <c r="AZ82" i="6"/>
  <c r="AZ86" i="6"/>
  <c r="AZ90" i="6"/>
  <c r="AZ94" i="6"/>
  <c r="AZ98" i="6"/>
  <c r="AZ102" i="6"/>
  <c r="AZ106" i="6"/>
  <c r="AZ110" i="6"/>
  <c r="AZ114" i="6"/>
  <c r="AT67" i="7"/>
  <c r="AT77" i="7"/>
  <c r="AT82" i="7"/>
  <c r="AT90" i="7"/>
  <c r="AT101" i="7"/>
  <c r="AT108" i="7"/>
  <c r="AT112" i="7"/>
  <c r="AT116" i="7"/>
  <c r="AT120" i="7"/>
  <c r="AT124" i="7"/>
  <c r="AT128" i="7"/>
  <c r="AT132" i="7"/>
  <c r="AT136" i="7"/>
  <c r="AT140" i="7"/>
  <c r="AT144" i="7"/>
  <c r="AT148" i="7"/>
  <c r="AT72" i="7"/>
  <c r="AT152" i="7"/>
  <c r="AT156" i="7"/>
  <c r="AT160" i="7"/>
  <c r="AT164" i="7"/>
  <c r="AT168" i="7"/>
  <c r="AT172" i="7"/>
  <c r="AT176" i="7"/>
  <c r="AT180" i="7"/>
  <c r="AT184" i="7"/>
  <c r="AT188" i="7"/>
  <c r="AT192" i="7"/>
  <c r="AT196" i="7"/>
  <c r="AT200" i="7"/>
  <c r="AT204" i="7"/>
  <c r="AZ97" i="6"/>
  <c r="AT76" i="7"/>
  <c r="AT97" i="7"/>
  <c r="AT119" i="7"/>
  <c r="AT135" i="7"/>
  <c r="AT151" i="7"/>
  <c r="AT163" i="7"/>
  <c r="AT179" i="7"/>
  <c r="AT195" i="7"/>
  <c r="D27" i="9" l="1"/>
  <c r="BC9" i="14"/>
  <c r="J289" i="13"/>
  <c r="F261" i="13"/>
  <c r="I24" i="8"/>
  <c r="BC4" i="14"/>
  <c r="F262" i="13"/>
  <c r="F263" i="13"/>
  <c r="F24" i="8"/>
  <c r="F16" i="14"/>
  <c r="AE38" i="14"/>
  <c r="F257" i="13"/>
  <c r="J273" i="13"/>
  <c r="C262" i="13"/>
  <c r="C261" i="13"/>
  <c r="F253" i="13"/>
  <c r="BC12" i="14"/>
  <c r="E8" i="8"/>
  <c r="D31" i="9"/>
  <c r="E265" i="13"/>
  <c r="F264" i="13"/>
  <c r="F258" i="13"/>
  <c r="F254" i="13"/>
  <c r="D33" i="9"/>
  <c r="F266" i="13"/>
  <c r="F265" i="13"/>
  <c r="F259" i="13"/>
  <c r="F255" i="13"/>
  <c r="F267" i="13"/>
  <c r="F260" i="13"/>
  <c r="D29" i="9"/>
  <c r="BC7" i="14"/>
  <c r="BC5" i="14"/>
  <c r="BC8" i="14"/>
  <c r="BC10" i="14"/>
  <c r="BC3" i="14"/>
  <c r="B176" i="8"/>
  <c r="E176" i="8" s="1"/>
  <c r="E255" i="13"/>
  <c r="B184" i="8"/>
  <c r="E184" i="8" s="1"/>
  <c r="D34" i="9"/>
  <c r="B160" i="8"/>
  <c r="E160" i="8" s="1"/>
  <c r="I8" i="12"/>
  <c r="J247" i="13" s="1"/>
  <c r="B168" i="8"/>
  <c r="E168" i="8" s="1"/>
  <c r="B163" i="8"/>
  <c r="E163" i="8" s="1"/>
  <c r="J271" i="13"/>
  <c r="B192" i="8"/>
  <c r="E192" i="8" s="1"/>
  <c r="G8" i="5"/>
  <c r="J272" i="13" s="1"/>
  <c r="E263" i="13"/>
  <c r="C260" i="13"/>
  <c r="B191" i="8"/>
  <c r="E191" i="8" s="1"/>
  <c r="B183" i="8"/>
  <c r="E183" i="8" s="1"/>
  <c r="B175" i="8"/>
  <c r="E175" i="8" s="1"/>
  <c r="B167" i="8"/>
  <c r="E167" i="8" s="1"/>
  <c r="B159" i="8"/>
  <c r="E159" i="8" s="1"/>
  <c r="C258" i="13"/>
  <c r="C267" i="13"/>
  <c r="C266" i="13"/>
  <c r="C265" i="13"/>
  <c r="E261" i="13"/>
  <c r="C256" i="13"/>
  <c r="C255" i="13"/>
  <c r="B196" i="8"/>
  <c r="E196" i="8" s="1"/>
  <c r="B188" i="8"/>
  <c r="E188" i="8" s="1"/>
  <c r="B180" i="8"/>
  <c r="E180" i="8" s="1"/>
  <c r="B172" i="8"/>
  <c r="E172" i="8" s="1"/>
  <c r="B164" i="8"/>
  <c r="E164" i="8" s="1"/>
  <c r="C259" i="13"/>
  <c r="C257" i="13"/>
  <c r="E253" i="13"/>
  <c r="C264" i="13"/>
  <c r="C263" i="13"/>
  <c r="E257" i="13"/>
  <c r="C254" i="13"/>
  <c r="B195" i="8"/>
  <c r="E195" i="8" s="1"/>
  <c r="B187" i="8"/>
  <c r="B179" i="8"/>
  <c r="E179" i="8" s="1"/>
  <c r="B171" i="8"/>
  <c r="E171" i="8" s="1"/>
  <c r="B157" i="8"/>
  <c r="E157" i="8" s="1"/>
  <c r="E267" i="13"/>
  <c r="E259" i="13"/>
  <c r="B194" i="8"/>
  <c r="E194" i="8" s="1"/>
  <c r="B190" i="8"/>
  <c r="E190" i="8" s="1"/>
  <c r="B186" i="8"/>
  <c r="E186" i="8" s="1"/>
  <c r="B182" i="8"/>
  <c r="E182" i="8" s="1"/>
  <c r="B178" i="8"/>
  <c r="E178" i="8" s="1"/>
  <c r="B174" i="8"/>
  <c r="E174" i="8" s="1"/>
  <c r="B170" i="8"/>
  <c r="E170" i="8" s="1"/>
  <c r="B166" i="8"/>
  <c r="E166" i="8" s="1"/>
  <c r="B162" i="8"/>
  <c r="E162" i="8" s="1"/>
  <c r="B158" i="8"/>
  <c r="E158" i="8" s="1"/>
  <c r="G24" i="8"/>
  <c r="B193" i="8"/>
  <c r="E193" i="8" s="1"/>
  <c r="B189" i="8"/>
  <c r="E189" i="8" s="1"/>
  <c r="B185" i="8"/>
  <c r="E185" i="8" s="1"/>
  <c r="B181" i="8"/>
  <c r="E181" i="8" s="1"/>
  <c r="B177" i="8"/>
  <c r="E177" i="8" s="1"/>
  <c r="B173" i="8"/>
  <c r="E173" i="8" s="1"/>
  <c r="B169" i="8"/>
  <c r="E169" i="8" s="1"/>
  <c r="B165" i="8"/>
  <c r="E165" i="8" s="1"/>
  <c r="B161" i="8"/>
  <c r="E161" i="8" s="1"/>
  <c r="C157" i="8"/>
  <c r="E266" i="13"/>
  <c r="E262" i="13"/>
  <c r="E258" i="13"/>
  <c r="E254" i="13"/>
  <c r="C78" i="13"/>
  <c r="D78" i="13" s="1"/>
  <c r="C76" i="13"/>
  <c r="C74" i="13"/>
  <c r="D74" i="13" s="1"/>
  <c r="C72" i="13"/>
  <c r="D72" i="13" s="1"/>
  <c r="C70" i="13"/>
  <c r="D70" i="13" s="1"/>
  <c r="C68" i="13"/>
  <c r="D68" i="13" s="1"/>
  <c r="C66" i="13"/>
  <c r="D66" i="13" s="1"/>
  <c r="C64" i="13"/>
  <c r="D64" i="13" s="1"/>
  <c r="C196" i="8"/>
  <c r="C194" i="8"/>
  <c r="C192" i="8"/>
  <c r="C190" i="8"/>
  <c r="C188" i="8"/>
  <c r="C186" i="8"/>
  <c r="C184" i="8"/>
  <c r="C182" i="8"/>
  <c r="C180" i="8"/>
  <c r="C178" i="8"/>
  <c r="C176" i="8"/>
  <c r="C174" i="8"/>
  <c r="C172" i="8"/>
  <c r="C170" i="8"/>
  <c r="C168" i="8"/>
  <c r="C166" i="8"/>
  <c r="C164" i="8"/>
  <c r="C162" i="8"/>
  <c r="C160" i="8"/>
  <c r="C158" i="8"/>
  <c r="D25" i="9"/>
  <c r="E264" i="13"/>
  <c r="E260" i="13"/>
  <c r="E256" i="13"/>
  <c r="C77" i="13"/>
  <c r="D77" i="13" s="1"/>
  <c r="C75" i="13"/>
  <c r="D75" i="13" s="1"/>
  <c r="C73" i="13"/>
  <c r="D73" i="13" s="1"/>
  <c r="C71" i="13"/>
  <c r="D71" i="13" s="1"/>
  <c r="C69" i="13"/>
  <c r="D69" i="13" s="1"/>
  <c r="C67" i="13"/>
  <c r="D67" i="13" s="1"/>
  <c r="C65" i="13"/>
  <c r="D65" i="13" s="1"/>
  <c r="C195" i="8"/>
  <c r="C193" i="8"/>
  <c r="C191" i="8"/>
  <c r="C189" i="8"/>
  <c r="C187" i="8"/>
  <c r="C185" i="8"/>
  <c r="C183" i="8"/>
  <c r="C181" i="8"/>
  <c r="C179" i="8"/>
  <c r="C177" i="8"/>
  <c r="C175" i="8"/>
  <c r="C173" i="8"/>
  <c r="C171" i="8"/>
  <c r="C169" i="8"/>
  <c r="D169" i="8" s="1"/>
  <c r="C167" i="8"/>
  <c r="C165" i="8"/>
  <c r="C163" i="8"/>
  <c r="C161" i="8"/>
  <c r="C159" i="8"/>
  <c r="D253" i="5"/>
  <c r="D251" i="5"/>
  <c r="D249" i="5"/>
  <c r="D247" i="5"/>
  <c r="D207" i="13"/>
  <c r="J55" i="13"/>
  <c r="D285" i="5"/>
  <c r="D283" i="5"/>
  <c r="D281" i="5"/>
  <c r="D279" i="5"/>
  <c r="D277" i="5"/>
  <c r="D275" i="5"/>
  <c r="D273" i="5"/>
  <c r="D271" i="5"/>
  <c r="D269" i="5"/>
  <c r="D267" i="5"/>
  <c r="D265" i="5"/>
  <c r="D263" i="5"/>
  <c r="D261" i="5"/>
  <c r="D259" i="5"/>
  <c r="D257" i="5"/>
  <c r="D255" i="5"/>
  <c r="J47" i="13"/>
  <c r="D26" i="9"/>
  <c r="D32" i="9"/>
  <c r="D284" i="5"/>
  <c r="D282" i="5"/>
  <c r="D280" i="5"/>
  <c r="D278" i="5"/>
  <c r="D276" i="5"/>
  <c r="D274" i="5"/>
  <c r="D272" i="5"/>
  <c r="D270" i="5"/>
  <c r="D268" i="5"/>
  <c r="D266" i="5"/>
  <c r="D264" i="5"/>
  <c r="D262" i="5"/>
  <c r="D260" i="5"/>
  <c r="D258" i="5"/>
  <c r="D256" i="5"/>
  <c r="D254" i="5"/>
  <c r="D252" i="5"/>
  <c r="D250" i="5"/>
  <c r="D248" i="5"/>
  <c r="D246" i="5"/>
  <c r="D206" i="13"/>
  <c r="D30" i="9"/>
  <c r="D28" i="9"/>
  <c r="E78" i="13"/>
  <c r="E77" i="13"/>
  <c r="E76" i="13"/>
  <c r="D76" i="13"/>
  <c r="E75" i="13"/>
  <c r="E74" i="13"/>
  <c r="E73" i="13"/>
  <c r="E72" i="13"/>
  <c r="E71" i="13"/>
  <c r="E70" i="13"/>
  <c r="E69" i="13"/>
  <c r="E68" i="13"/>
  <c r="E67" i="13"/>
  <c r="E66" i="13"/>
  <c r="E65" i="13"/>
  <c r="E64" i="13"/>
  <c r="F8" i="10"/>
  <c r="J48" i="13"/>
  <c r="J60" i="13"/>
  <c r="E229" i="8"/>
  <c r="D229" i="8"/>
  <c r="E228" i="8"/>
  <c r="D228" i="8"/>
  <c r="E227" i="8"/>
  <c r="D227" i="8"/>
  <c r="E226" i="8"/>
  <c r="D226" i="8"/>
  <c r="E225" i="8"/>
  <c r="D225" i="8"/>
  <c r="E224" i="8"/>
  <c r="D224" i="8"/>
  <c r="E223" i="8"/>
  <c r="D223" i="8"/>
  <c r="E222" i="8"/>
  <c r="D222" i="8"/>
  <c r="E221" i="8"/>
  <c r="D221" i="8"/>
  <c r="E220" i="8"/>
  <c r="D220" i="8"/>
  <c r="E219" i="8"/>
  <c r="D219" i="8"/>
  <c r="E218" i="8"/>
  <c r="D218" i="8"/>
  <c r="E217" i="8"/>
  <c r="D217" i="8"/>
  <c r="E216" i="8"/>
  <c r="D216" i="8"/>
  <c r="E215" i="8"/>
  <c r="D215" i="8"/>
  <c r="E214" i="8"/>
  <c r="D214" i="8"/>
  <c r="E213" i="8"/>
  <c r="D213" i="8"/>
  <c r="E212" i="8"/>
  <c r="D212" i="8"/>
  <c r="E211" i="8"/>
  <c r="D211" i="8"/>
  <c r="E210" i="8"/>
  <c r="D210" i="8"/>
  <c r="E209" i="8"/>
  <c r="D209" i="8"/>
  <c r="E208" i="8"/>
  <c r="D208" i="8"/>
  <c r="E207" i="8"/>
  <c r="D207" i="8"/>
  <c r="E206" i="8"/>
  <c r="D206" i="8"/>
  <c r="E205" i="8"/>
  <c r="D205" i="8"/>
  <c r="E204" i="8"/>
  <c r="D204" i="8"/>
  <c r="E203" i="8"/>
  <c r="D203" i="8"/>
  <c r="E202" i="8"/>
  <c r="D202" i="8"/>
  <c r="E201" i="8"/>
  <c r="D201" i="8"/>
  <c r="E200" i="8"/>
  <c r="D200" i="8"/>
  <c r="E187" i="8"/>
  <c r="J287" i="13"/>
  <c r="B360" i="8"/>
  <c r="B359" i="8"/>
  <c r="H14" i="8"/>
  <c r="H13" i="8"/>
  <c r="H12" i="8"/>
  <c r="AP205" i="7"/>
  <c r="AU205" i="7"/>
  <c r="AP204" i="7"/>
  <c r="AU204" i="7"/>
  <c r="AP203" i="7"/>
  <c r="AU203" i="7"/>
  <c r="AP202" i="7"/>
  <c r="AU202" i="7"/>
  <c r="AP201" i="7"/>
  <c r="AU201" i="7"/>
  <c r="AP200" i="7"/>
  <c r="AU200" i="7"/>
  <c r="AP199" i="7"/>
  <c r="AU199" i="7"/>
  <c r="AP198" i="7"/>
  <c r="AU198" i="7"/>
  <c r="AP197" i="7"/>
  <c r="AU197" i="7"/>
  <c r="AP196" i="7"/>
  <c r="AU196" i="7"/>
  <c r="AP195" i="7"/>
  <c r="AU195" i="7"/>
  <c r="AP194" i="7"/>
  <c r="AU194" i="7"/>
  <c r="AP193" i="7"/>
  <c r="AU193" i="7"/>
  <c r="AP192" i="7"/>
  <c r="AU192" i="7"/>
  <c r="AP191" i="7"/>
  <c r="AU191" i="7"/>
  <c r="AP190" i="7"/>
  <c r="AU190" i="7"/>
  <c r="AP189" i="7"/>
  <c r="AU189" i="7"/>
  <c r="AP188" i="7"/>
  <c r="AU188" i="7"/>
  <c r="AP187" i="7"/>
  <c r="AU187" i="7"/>
  <c r="AP186" i="7"/>
  <c r="AU186" i="7"/>
  <c r="AP185" i="7"/>
  <c r="AU185" i="7"/>
  <c r="AP184" i="7"/>
  <c r="AU184" i="7"/>
  <c r="AP183" i="7"/>
  <c r="AU183" i="7"/>
  <c r="AP182" i="7"/>
  <c r="AU182" i="7"/>
  <c r="AP181" i="7"/>
  <c r="AU181" i="7"/>
  <c r="AP180" i="7"/>
  <c r="AU180" i="7"/>
  <c r="AP179" i="7"/>
  <c r="AU179" i="7"/>
  <c r="AP178" i="7"/>
  <c r="AU178" i="7"/>
  <c r="AP177" i="7"/>
  <c r="AU177" i="7"/>
  <c r="AP176" i="7"/>
  <c r="AU176" i="7"/>
  <c r="AP175" i="7"/>
  <c r="AU175" i="7"/>
  <c r="AP174" i="7"/>
  <c r="AU174" i="7"/>
  <c r="AP173" i="7"/>
  <c r="AU173" i="7"/>
  <c r="AP172" i="7"/>
  <c r="AU172" i="7"/>
  <c r="AP171" i="7"/>
  <c r="AU171" i="7"/>
  <c r="AP170" i="7"/>
  <c r="AU170" i="7"/>
  <c r="AP169" i="7"/>
  <c r="AU169" i="7"/>
  <c r="AP168" i="7"/>
  <c r="AU168" i="7"/>
  <c r="AP167" i="7"/>
  <c r="AU167" i="7"/>
  <c r="AP166" i="7"/>
  <c r="AU166" i="7"/>
  <c r="AP165" i="7"/>
  <c r="AU165" i="7"/>
  <c r="AP164" i="7"/>
  <c r="AU164" i="7"/>
  <c r="AP163" i="7"/>
  <c r="AU163" i="7"/>
  <c r="AP162" i="7"/>
  <c r="AU162" i="7"/>
  <c r="AP161" i="7"/>
  <c r="AU161" i="7"/>
  <c r="AP160" i="7"/>
  <c r="AU160" i="7"/>
  <c r="AP159" i="7"/>
  <c r="AU159" i="7"/>
  <c r="AP158" i="7"/>
  <c r="AU158" i="7"/>
  <c r="AP157" i="7"/>
  <c r="AU157" i="7"/>
  <c r="AP156" i="7"/>
  <c r="AU156" i="7"/>
  <c r="AP155" i="7"/>
  <c r="AU155" i="7"/>
  <c r="AP154" i="7"/>
  <c r="AU154" i="7"/>
  <c r="AP153" i="7"/>
  <c r="AU153" i="7"/>
  <c r="AP152" i="7"/>
  <c r="AU152" i="7"/>
  <c r="AP151" i="7"/>
  <c r="AU151" i="7"/>
  <c r="AP150" i="7"/>
  <c r="AU150" i="7"/>
  <c r="AP149" i="7"/>
  <c r="AU149" i="7"/>
  <c r="AP148" i="7"/>
  <c r="AU148" i="7"/>
  <c r="AP147" i="7"/>
  <c r="AU147" i="7"/>
  <c r="AP146" i="7"/>
  <c r="AU146" i="7"/>
  <c r="AP145" i="7"/>
  <c r="AU145" i="7"/>
  <c r="AP144" i="7"/>
  <c r="AU144" i="7"/>
  <c r="AP143" i="7"/>
  <c r="AU143" i="7"/>
  <c r="AP142" i="7"/>
  <c r="AU142" i="7"/>
  <c r="AP141" i="7"/>
  <c r="AU141" i="7"/>
  <c r="AP140" i="7"/>
  <c r="AU140" i="7"/>
  <c r="AP139" i="7"/>
  <c r="AU139" i="7"/>
  <c r="AP138" i="7"/>
  <c r="AU138" i="7"/>
  <c r="AP137" i="7"/>
  <c r="AU137" i="7"/>
  <c r="AP136" i="7"/>
  <c r="AU136" i="7"/>
  <c r="AP135" i="7"/>
  <c r="AU135" i="7"/>
  <c r="AP134" i="7"/>
  <c r="AU134" i="7"/>
  <c r="AP133" i="7"/>
  <c r="AU133" i="7"/>
  <c r="AP132" i="7"/>
  <c r="AU132" i="7"/>
  <c r="AP131" i="7"/>
  <c r="AU131" i="7"/>
  <c r="AP130" i="7"/>
  <c r="AU130" i="7"/>
  <c r="AP129" i="7"/>
  <c r="AU129" i="7"/>
  <c r="AP128" i="7"/>
  <c r="AU128" i="7"/>
  <c r="AP127" i="7"/>
  <c r="AU127" i="7"/>
  <c r="AP126" i="7"/>
  <c r="AU126" i="7"/>
  <c r="AP125" i="7"/>
  <c r="AU125" i="7"/>
  <c r="AP124" i="7"/>
  <c r="AU124" i="7"/>
  <c r="AP123" i="7"/>
  <c r="AU123" i="7"/>
  <c r="AP122" i="7"/>
  <c r="AU122" i="7"/>
  <c r="AP121" i="7"/>
  <c r="AU121" i="7"/>
  <c r="AP120" i="7"/>
  <c r="AU120" i="7"/>
  <c r="AP119" i="7"/>
  <c r="AU119" i="7"/>
  <c r="AP118" i="7"/>
  <c r="AU118" i="7"/>
  <c r="AP117" i="7"/>
  <c r="AU117" i="7"/>
  <c r="AP116" i="7"/>
  <c r="AU116" i="7"/>
  <c r="AP115" i="7"/>
  <c r="AU115" i="7"/>
  <c r="AP114" i="7"/>
  <c r="AU114" i="7"/>
  <c r="AP113" i="7"/>
  <c r="AU113" i="7"/>
  <c r="AP112" i="7"/>
  <c r="AU112" i="7"/>
  <c r="AP111" i="7"/>
  <c r="AU111" i="7"/>
  <c r="AP110" i="7"/>
  <c r="AU110" i="7"/>
  <c r="AP109" i="7"/>
  <c r="AU109" i="7"/>
  <c r="AP108" i="7"/>
  <c r="AU108" i="7"/>
  <c r="AP107" i="7"/>
  <c r="AU107" i="7"/>
  <c r="AP106" i="7"/>
  <c r="AU106" i="7"/>
  <c r="AP105" i="7"/>
  <c r="AU105" i="7"/>
  <c r="E282" i="8"/>
  <c r="D282" i="8"/>
  <c r="C282" i="8"/>
  <c r="AP104" i="7"/>
  <c r="AU104" i="7"/>
  <c r="E281" i="8"/>
  <c r="D281" i="8"/>
  <c r="C281" i="8"/>
  <c r="AP103" i="7"/>
  <c r="AU103" i="7"/>
  <c r="E280" i="8"/>
  <c r="D280" i="8"/>
  <c r="C280" i="8"/>
  <c r="AP102" i="7"/>
  <c r="AU102" i="7"/>
  <c r="E279" i="8"/>
  <c r="D279" i="8"/>
  <c r="C279" i="8"/>
  <c r="AP101" i="7"/>
  <c r="AU101" i="7"/>
  <c r="E278" i="8"/>
  <c r="D278" i="8"/>
  <c r="C278" i="8"/>
  <c r="AP100" i="7"/>
  <c r="AU100" i="7"/>
  <c r="E277" i="8"/>
  <c r="D277" i="8"/>
  <c r="C277" i="8"/>
  <c r="AP99" i="7"/>
  <c r="AU99" i="7"/>
  <c r="E276" i="8"/>
  <c r="D276" i="8"/>
  <c r="C276" i="8"/>
  <c r="AP98" i="7"/>
  <c r="AU98" i="7"/>
  <c r="E275" i="8"/>
  <c r="D275" i="8"/>
  <c r="C275" i="8"/>
  <c r="AP97" i="7"/>
  <c r="AU97" i="7"/>
  <c r="E274" i="8"/>
  <c r="D274" i="8"/>
  <c r="C274" i="8"/>
  <c r="AP96" i="7"/>
  <c r="AU96" i="7"/>
  <c r="E273" i="8"/>
  <c r="D273" i="8"/>
  <c r="C273" i="8"/>
  <c r="AP95" i="7"/>
  <c r="AU95" i="7"/>
  <c r="E272" i="8"/>
  <c r="D272" i="8"/>
  <c r="C272" i="8"/>
  <c r="E131" i="9"/>
  <c r="D131" i="9"/>
  <c r="C131" i="9"/>
  <c r="B131" i="9"/>
  <c r="AP94" i="7"/>
  <c r="AU94" i="7"/>
  <c r="E271" i="8"/>
  <c r="D271" i="8"/>
  <c r="C271" i="8"/>
  <c r="E130" i="9"/>
  <c r="D130" i="9"/>
  <c r="C130" i="9"/>
  <c r="B130" i="9"/>
  <c r="AP93" i="7"/>
  <c r="AU93" i="7"/>
  <c r="E270" i="8"/>
  <c r="D270" i="8"/>
  <c r="C270" i="8"/>
  <c r="E129" i="9"/>
  <c r="D129" i="9"/>
  <c r="C129" i="9"/>
  <c r="B129" i="9"/>
  <c r="AP92" i="7"/>
  <c r="AU92" i="7"/>
  <c r="E269" i="8"/>
  <c r="D269" i="8"/>
  <c r="C269" i="8"/>
  <c r="E128" i="9"/>
  <c r="D128" i="9"/>
  <c r="C128" i="9"/>
  <c r="B128" i="9"/>
  <c r="AP91" i="7"/>
  <c r="AU91" i="7"/>
  <c r="E268" i="8"/>
  <c r="D268" i="8"/>
  <c r="C268" i="8"/>
  <c r="E127" i="9"/>
  <c r="D127" i="9"/>
  <c r="C127" i="9"/>
  <c r="B127" i="9"/>
  <c r="AP90" i="7"/>
  <c r="AU90" i="7"/>
  <c r="E267" i="8"/>
  <c r="D267" i="8"/>
  <c r="C267" i="8"/>
  <c r="E126" i="9"/>
  <c r="D126" i="9"/>
  <c r="C126" i="9"/>
  <c r="B126" i="9"/>
  <c r="AP89" i="7"/>
  <c r="AU89" i="7"/>
  <c r="E266" i="8"/>
  <c r="D266" i="8"/>
  <c r="C266" i="8"/>
  <c r="E125" i="9"/>
  <c r="D125" i="9"/>
  <c r="C125" i="9"/>
  <c r="B125" i="9"/>
  <c r="AP88" i="7"/>
  <c r="AU88" i="7"/>
  <c r="E265" i="8"/>
  <c r="D265" i="8"/>
  <c r="C265" i="8"/>
  <c r="E124" i="9"/>
  <c r="D124" i="9"/>
  <c r="C124" i="9"/>
  <c r="B124" i="9"/>
  <c r="AP87" i="7"/>
  <c r="AU87" i="7"/>
  <c r="E264" i="8"/>
  <c r="D264" i="8"/>
  <c r="C264" i="8"/>
  <c r="E123" i="9"/>
  <c r="D123" i="9"/>
  <c r="C123" i="9"/>
  <c r="B123" i="9"/>
  <c r="AP86" i="7"/>
  <c r="AU86" i="7"/>
  <c r="E263" i="8"/>
  <c r="D263" i="8"/>
  <c r="C263" i="8"/>
  <c r="E122" i="9"/>
  <c r="D122" i="9"/>
  <c r="C122" i="9"/>
  <c r="B122" i="9"/>
  <c r="AP85" i="7"/>
  <c r="AU85" i="7"/>
  <c r="E262" i="8"/>
  <c r="D262" i="8"/>
  <c r="C262" i="8"/>
  <c r="E121" i="9"/>
  <c r="D121" i="9"/>
  <c r="C121" i="9"/>
  <c r="B121" i="9"/>
  <c r="AP84" i="7"/>
  <c r="AU84" i="7"/>
  <c r="E261" i="8"/>
  <c r="D261" i="8"/>
  <c r="C261" i="8"/>
  <c r="E120" i="9"/>
  <c r="D120" i="9"/>
  <c r="C120" i="9"/>
  <c r="B120" i="9"/>
  <c r="AP83" i="7"/>
  <c r="AU83" i="7"/>
  <c r="E260" i="8"/>
  <c r="D260" i="8"/>
  <c r="C260" i="8"/>
  <c r="E119" i="9"/>
  <c r="D119" i="9"/>
  <c r="C119" i="9"/>
  <c r="B119" i="9"/>
  <c r="AP82" i="7"/>
  <c r="AU82" i="7"/>
  <c r="E259" i="8"/>
  <c r="D259" i="8"/>
  <c r="C259" i="8"/>
  <c r="E118" i="9"/>
  <c r="D118" i="9"/>
  <c r="C118" i="9"/>
  <c r="B118" i="9"/>
  <c r="AP81" i="7"/>
  <c r="AU81" i="7"/>
  <c r="E258" i="8"/>
  <c r="D258" i="8"/>
  <c r="C258" i="8"/>
  <c r="E117" i="9"/>
  <c r="D117" i="9"/>
  <c r="C117" i="9"/>
  <c r="B117" i="9"/>
  <c r="AP80" i="7"/>
  <c r="I106" i="13" s="1"/>
  <c r="F106" i="13"/>
  <c r="AU80" i="7"/>
  <c r="E257" i="8"/>
  <c r="D257" i="8"/>
  <c r="C257" i="8"/>
  <c r="E116" i="9"/>
  <c r="D116" i="9"/>
  <c r="C116" i="9"/>
  <c r="B116" i="9"/>
  <c r="AP79" i="7"/>
  <c r="I105" i="13" s="1"/>
  <c r="F105" i="13"/>
  <c r="AU79" i="7"/>
  <c r="E256" i="8"/>
  <c r="D256" i="8"/>
  <c r="C256" i="8"/>
  <c r="E115" i="9"/>
  <c r="D115" i="9"/>
  <c r="C115" i="9"/>
  <c r="B115" i="9"/>
  <c r="AP78" i="7"/>
  <c r="I104" i="13" s="1"/>
  <c r="F104" i="13"/>
  <c r="AU78" i="7"/>
  <c r="E255" i="8"/>
  <c r="D255" i="8"/>
  <c r="C255" i="8"/>
  <c r="E114" i="9"/>
  <c r="D114" i="9"/>
  <c r="C114" i="9"/>
  <c r="B114" i="9"/>
  <c r="AP77" i="7"/>
  <c r="I103" i="13" s="1"/>
  <c r="F103" i="13"/>
  <c r="AU77" i="7"/>
  <c r="E254" i="8"/>
  <c r="D254" i="8"/>
  <c r="C254" i="8"/>
  <c r="E113" i="9"/>
  <c r="D113" i="9"/>
  <c r="C113" i="9"/>
  <c r="B113" i="9"/>
  <c r="AP76" i="7"/>
  <c r="I102" i="13" s="1"/>
  <c r="F102" i="13"/>
  <c r="AU76" i="7"/>
  <c r="E253" i="8"/>
  <c r="D253" i="8"/>
  <c r="C253" i="8"/>
  <c r="E112" i="9"/>
  <c r="D112" i="9"/>
  <c r="C112" i="9"/>
  <c r="B112" i="9"/>
  <c r="AP75" i="7"/>
  <c r="I101" i="13" s="1"/>
  <c r="F101" i="13"/>
  <c r="AU75" i="7"/>
  <c r="E252" i="8"/>
  <c r="D252" i="8"/>
  <c r="C252" i="8"/>
  <c r="E111" i="9"/>
  <c r="D111" i="9"/>
  <c r="C111" i="9"/>
  <c r="B111" i="9"/>
  <c r="E100" i="10"/>
  <c r="D100" i="10"/>
  <c r="C100" i="10"/>
  <c r="B100" i="10"/>
  <c r="AP74" i="7"/>
  <c r="I100" i="13" s="1"/>
  <c r="F100" i="13"/>
  <c r="AU74" i="7"/>
  <c r="E251" i="8"/>
  <c r="D251" i="8"/>
  <c r="C251" i="8"/>
  <c r="E110" i="9"/>
  <c r="D110" i="9"/>
  <c r="C110" i="9"/>
  <c r="B110" i="9"/>
  <c r="E99" i="10"/>
  <c r="D99" i="10"/>
  <c r="C99" i="10"/>
  <c r="B99" i="10"/>
  <c r="AP73" i="7"/>
  <c r="I99" i="13" s="1"/>
  <c r="F99" i="13"/>
  <c r="AU73" i="7"/>
  <c r="E250" i="8"/>
  <c r="D250" i="8"/>
  <c r="C250" i="8"/>
  <c r="E109" i="9"/>
  <c r="D109" i="9"/>
  <c r="C109" i="9"/>
  <c r="B109" i="9"/>
  <c r="E98" i="10"/>
  <c r="D98" i="10"/>
  <c r="C98" i="10"/>
  <c r="B98" i="10"/>
  <c r="AP72" i="7"/>
  <c r="I98" i="13" s="1"/>
  <c r="F98" i="13"/>
  <c r="AU72" i="7"/>
  <c r="E249" i="8"/>
  <c r="D249" i="8"/>
  <c r="C249" i="8"/>
  <c r="E108" i="9"/>
  <c r="D108" i="9"/>
  <c r="C108" i="9"/>
  <c r="B108" i="9"/>
  <c r="E97" i="10"/>
  <c r="D97" i="10"/>
  <c r="C97" i="10"/>
  <c r="B97" i="10"/>
  <c r="AP71" i="7"/>
  <c r="I97" i="13" s="1"/>
  <c r="F97" i="13"/>
  <c r="AU71" i="7"/>
  <c r="E248" i="8"/>
  <c r="D248" i="8"/>
  <c r="C248" i="8"/>
  <c r="E107" i="9"/>
  <c r="D107" i="9"/>
  <c r="C107" i="9"/>
  <c r="B107" i="9"/>
  <c r="E96" i="10"/>
  <c r="D96" i="10"/>
  <c r="C96" i="10"/>
  <c r="B96" i="10"/>
  <c r="AP70" i="7"/>
  <c r="I96" i="13" s="1"/>
  <c r="F96" i="13"/>
  <c r="AU70" i="7"/>
  <c r="E247" i="8"/>
  <c r="D247" i="8"/>
  <c r="C247" i="8"/>
  <c r="E106" i="9"/>
  <c r="D106" i="9"/>
  <c r="C106" i="9"/>
  <c r="B106" i="9"/>
  <c r="E95" i="10"/>
  <c r="D95" i="10"/>
  <c r="C95" i="10"/>
  <c r="B95" i="10"/>
  <c r="AP69" i="7"/>
  <c r="I95" i="13" s="1"/>
  <c r="F95" i="13"/>
  <c r="AU69" i="7"/>
  <c r="E246" i="8"/>
  <c r="D246" i="8"/>
  <c r="C246" i="8"/>
  <c r="E105" i="9"/>
  <c r="D105" i="9"/>
  <c r="C105" i="9"/>
  <c r="B105" i="9"/>
  <c r="E94" i="10"/>
  <c r="D94" i="10"/>
  <c r="C94" i="10"/>
  <c r="B94" i="10"/>
  <c r="AP68" i="7"/>
  <c r="I94" i="13" s="1"/>
  <c r="F94" i="13"/>
  <c r="AU68" i="7"/>
  <c r="E245" i="8"/>
  <c r="D245" i="8"/>
  <c r="C245" i="8"/>
  <c r="E104" i="9"/>
  <c r="D104" i="9"/>
  <c r="C104" i="9"/>
  <c r="B104" i="9"/>
  <c r="E93" i="10"/>
  <c r="D93" i="10"/>
  <c r="C93" i="10"/>
  <c r="B93" i="10"/>
  <c r="AP67" i="7"/>
  <c r="I93" i="13" s="1"/>
  <c r="F93" i="13"/>
  <c r="AU67" i="7"/>
  <c r="E244" i="8"/>
  <c r="D244" i="8"/>
  <c r="C244" i="8"/>
  <c r="E103" i="9"/>
  <c r="D103" i="9"/>
  <c r="C103" i="9"/>
  <c r="B103" i="9"/>
  <c r="E92" i="10"/>
  <c r="D92" i="10"/>
  <c r="C92" i="10"/>
  <c r="B92" i="10"/>
  <c r="AP66" i="7"/>
  <c r="I92" i="13" s="1"/>
  <c r="F92" i="13"/>
  <c r="AU66" i="7"/>
  <c r="E243" i="8"/>
  <c r="D243" i="8"/>
  <c r="C243" i="8"/>
  <c r="E102" i="9"/>
  <c r="D102" i="9"/>
  <c r="C102" i="9"/>
  <c r="B102" i="9"/>
  <c r="E91" i="10"/>
  <c r="D91" i="10"/>
  <c r="C91" i="10"/>
  <c r="B91" i="10"/>
  <c r="AP65" i="7"/>
  <c r="I91" i="13" s="1"/>
  <c r="F91" i="13"/>
  <c r="AU65" i="7"/>
  <c r="E242" i="8"/>
  <c r="D242" i="8"/>
  <c r="C242" i="8"/>
  <c r="E101" i="9"/>
  <c r="D101" i="9"/>
  <c r="C101" i="9"/>
  <c r="B101" i="9"/>
  <c r="E90" i="10"/>
  <c r="D90" i="10"/>
  <c r="C90" i="10"/>
  <c r="B90" i="10"/>
  <c r="AP64" i="7"/>
  <c r="I90" i="13" s="1"/>
  <c r="F90" i="13"/>
  <c r="AU64" i="7"/>
  <c r="E241" i="8"/>
  <c r="D241" i="8"/>
  <c r="C241" i="8"/>
  <c r="E100" i="9"/>
  <c r="D100" i="9"/>
  <c r="C100" i="9"/>
  <c r="B100" i="9"/>
  <c r="E89" i="10"/>
  <c r="D89" i="10"/>
  <c r="C89" i="10"/>
  <c r="B89" i="10"/>
  <c r="AP63" i="7"/>
  <c r="I89" i="13" s="1"/>
  <c r="F89" i="13"/>
  <c r="AU63" i="7"/>
  <c r="E240" i="8"/>
  <c r="D240" i="8"/>
  <c r="C240" i="8"/>
  <c r="E99" i="9"/>
  <c r="D99" i="9"/>
  <c r="C99" i="9"/>
  <c r="B99" i="9"/>
  <c r="E88" i="10"/>
  <c r="D88" i="10"/>
  <c r="C88" i="10"/>
  <c r="B88" i="10"/>
  <c r="AP62" i="7"/>
  <c r="I88" i="13" s="1"/>
  <c r="F88" i="13"/>
  <c r="AU62" i="7"/>
  <c r="E239" i="8"/>
  <c r="D239" i="8"/>
  <c r="C239" i="8"/>
  <c r="E98" i="9"/>
  <c r="D98" i="9"/>
  <c r="C98" i="9"/>
  <c r="B98" i="9"/>
  <c r="E87" i="10"/>
  <c r="D87" i="10"/>
  <c r="C87" i="10"/>
  <c r="B87" i="10"/>
  <c r="AP61" i="7"/>
  <c r="I87" i="13" s="1"/>
  <c r="F87" i="13"/>
  <c r="AU61" i="7"/>
  <c r="E238" i="8"/>
  <c r="D238" i="8"/>
  <c r="C238" i="8"/>
  <c r="E97" i="9"/>
  <c r="D97" i="9"/>
  <c r="C97" i="9"/>
  <c r="B97" i="9"/>
  <c r="E86" i="10"/>
  <c r="D86" i="10"/>
  <c r="C86" i="10"/>
  <c r="B86" i="10"/>
  <c r="AP60" i="7"/>
  <c r="I86" i="13" s="1"/>
  <c r="F86" i="13"/>
  <c r="AU60" i="7"/>
  <c r="E237" i="8"/>
  <c r="D237" i="8"/>
  <c r="C237" i="8"/>
  <c r="E96" i="9"/>
  <c r="D96" i="9"/>
  <c r="C96" i="9"/>
  <c r="B96" i="9"/>
  <c r="E85" i="10"/>
  <c r="D85" i="10"/>
  <c r="C85" i="10"/>
  <c r="B85" i="10"/>
  <c r="AP59" i="7"/>
  <c r="I85" i="13" s="1"/>
  <c r="F85" i="13"/>
  <c r="AU59" i="7"/>
  <c r="E236" i="8"/>
  <c r="D236" i="8"/>
  <c r="C236" i="8"/>
  <c r="E95" i="9"/>
  <c r="D95" i="9"/>
  <c r="C95" i="9"/>
  <c r="B95" i="9"/>
  <c r="E84" i="10"/>
  <c r="D84" i="10"/>
  <c r="C84" i="10"/>
  <c r="B84" i="10"/>
  <c r="AP58" i="7"/>
  <c r="I84" i="13" s="1"/>
  <c r="F84" i="13"/>
  <c r="AU58" i="7"/>
  <c r="E235" i="8"/>
  <c r="D235" i="8"/>
  <c r="C235" i="8"/>
  <c r="E94" i="9"/>
  <c r="D94" i="9"/>
  <c r="C94" i="9"/>
  <c r="B94" i="9"/>
  <c r="E83" i="10"/>
  <c r="D83" i="10"/>
  <c r="C83" i="10"/>
  <c r="B83" i="10"/>
  <c r="AP57" i="7"/>
  <c r="I83" i="13" s="1"/>
  <c r="F83" i="13"/>
  <c r="AU57" i="7"/>
  <c r="E234" i="8"/>
  <c r="D234" i="8"/>
  <c r="C234" i="8"/>
  <c r="E93" i="9"/>
  <c r="D93" i="9"/>
  <c r="C93" i="9"/>
  <c r="B93" i="9"/>
  <c r="E82" i="10"/>
  <c r="D82" i="10"/>
  <c r="C82" i="10"/>
  <c r="B82" i="10"/>
  <c r="AP56" i="7"/>
  <c r="I82" i="13" s="1"/>
  <c r="F82" i="13"/>
  <c r="E618" i="7"/>
  <c r="H82" i="13"/>
  <c r="J290" i="13"/>
  <c r="R57" i="14"/>
  <c r="AB41" i="14" s="1"/>
  <c r="E233" i="8"/>
  <c r="D233" i="8"/>
  <c r="C233" i="8"/>
  <c r="E92" i="9"/>
  <c r="D92" i="9"/>
  <c r="C92" i="9"/>
  <c r="B92" i="9"/>
  <c r="E81" i="10"/>
  <c r="C81" i="10"/>
  <c r="B81" i="10"/>
  <c r="J191" i="13"/>
  <c r="F153" i="8"/>
  <c r="E153" i="8"/>
  <c r="D153" i="8"/>
  <c r="C153" i="8"/>
  <c r="D174" i="9"/>
  <c r="C174" i="9"/>
  <c r="B174" i="9"/>
  <c r="G51" i="12"/>
  <c r="F51" i="12"/>
  <c r="E51" i="12"/>
  <c r="D51" i="12"/>
  <c r="C51" i="12"/>
  <c r="B51" i="12"/>
  <c r="F152" i="8"/>
  <c r="E152" i="8"/>
  <c r="D152" i="8"/>
  <c r="C152" i="8"/>
  <c r="D173" i="9"/>
  <c r="C173" i="9"/>
  <c r="B173" i="9"/>
  <c r="G50" i="12"/>
  <c r="F50" i="12"/>
  <c r="E50" i="12"/>
  <c r="D50" i="12"/>
  <c r="C50" i="12"/>
  <c r="B50" i="12"/>
  <c r="F151" i="8"/>
  <c r="E151" i="8"/>
  <c r="D151" i="8"/>
  <c r="C151" i="8"/>
  <c r="D172" i="9"/>
  <c r="C172" i="9"/>
  <c r="B172" i="9"/>
  <c r="G49" i="12"/>
  <c r="F49" i="12"/>
  <c r="E49" i="12"/>
  <c r="D49" i="12"/>
  <c r="C49" i="12"/>
  <c r="B49" i="12"/>
  <c r="F150" i="8"/>
  <c r="E150" i="8"/>
  <c r="D150" i="8"/>
  <c r="C150" i="8"/>
  <c r="D171" i="9"/>
  <c r="C171" i="9"/>
  <c r="B171" i="9"/>
  <c r="G48" i="12"/>
  <c r="F48" i="12"/>
  <c r="E48" i="12"/>
  <c r="D48" i="12"/>
  <c r="C48" i="12"/>
  <c r="B48" i="12"/>
  <c r="F149" i="8"/>
  <c r="E149" i="8"/>
  <c r="D149" i="8"/>
  <c r="C149" i="8"/>
  <c r="D170" i="9"/>
  <c r="C170" i="9"/>
  <c r="B170" i="9"/>
  <c r="G47" i="12"/>
  <c r="F47" i="12"/>
  <c r="E47" i="12"/>
  <c r="D47" i="12"/>
  <c r="C47" i="12"/>
  <c r="B47" i="12"/>
  <c r="F148" i="8"/>
  <c r="E148" i="8"/>
  <c r="D148" i="8"/>
  <c r="C148" i="8"/>
  <c r="D169" i="9"/>
  <c r="C169" i="9"/>
  <c r="B169" i="9"/>
  <c r="G46" i="12"/>
  <c r="F46" i="12"/>
  <c r="E46" i="12"/>
  <c r="D46" i="12"/>
  <c r="C46" i="12"/>
  <c r="B46" i="12"/>
  <c r="F147" i="8"/>
  <c r="E147" i="8"/>
  <c r="D147" i="8"/>
  <c r="C147" i="8"/>
  <c r="D168" i="9"/>
  <c r="C168" i="9"/>
  <c r="B168" i="9"/>
  <c r="G45" i="12"/>
  <c r="F45" i="12"/>
  <c r="E45" i="12"/>
  <c r="D45" i="12"/>
  <c r="C45" i="12"/>
  <c r="B45" i="12"/>
  <c r="F146" i="8"/>
  <c r="E146" i="8"/>
  <c r="D146" i="8"/>
  <c r="C146" i="8"/>
  <c r="D167" i="9"/>
  <c r="C167" i="9"/>
  <c r="B167" i="9"/>
  <c r="G44" i="12"/>
  <c r="F44" i="12"/>
  <c r="E44" i="12"/>
  <c r="D44" i="12"/>
  <c r="C44" i="12"/>
  <c r="B44" i="12"/>
  <c r="F145" i="8"/>
  <c r="E145" i="8"/>
  <c r="D145" i="8"/>
  <c r="C145" i="8"/>
  <c r="D166" i="9"/>
  <c r="C166" i="9"/>
  <c r="B166" i="9"/>
  <c r="G43" i="12"/>
  <c r="F43" i="12"/>
  <c r="E43" i="12"/>
  <c r="D43" i="12"/>
  <c r="C43" i="12"/>
  <c r="B43" i="12"/>
  <c r="F144" i="8"/>
  <c r="E144" i="8"/>
  <c r="D144" i="8"/>
  <c r="C144" i="8"/>
  <c r="D165" i="9"/>
  <c r="C165" i="9"/>
  <c r="B165" i="9"/>
  <c r="G42" i="12"/>
  <c r="F42" i="12"/>
  <c r="E42" i="12"/>
  <c r="D42" i="12"/>
  <c r="C42" i="12"/>
  <c r="B42" i="12"/>
  <c r="F143" i="8"/>
  <c r="E143" i="8"/>
  <c r="D143" i="8"/>
  <c r="C143" i="8"/>
  <c r="D164" i="9"/>
  <c r="C164" i="9"/>
  <c r="B164" i="9"/>
  <c r="G41" i="12"/>
  <c r="F41" i="12"/>
  <c r="E41" i="12"/>
  <c r="D41" i="12"/>
  <c r="C41" i="12"/>
  <c r="B41" i="12"/>
  <c r="F142" i="8"/>
  <c r="E142" i="8"/>
  <c r="D142" i="8"/>
  <c r="C142" i="8"/>
  <c r="D163" i="9"/>
  <c r="C163" i="9"/>
  <c r="B163" i="9"/>
  <c r="G40" i="12"/>
  <c r="F40" i="12"/>
  <c r="E40" i="12"/>
  <c r="D40" i="12"/>
  <c r="C40" i="12"/>
  <c r="B40" i="12"/>
  <c r="F141" i="8"/>
  <c r="E141" i="8"/>
  <c r="D141" i="8"/>
  <c r="C141" i="8"/>
  <c r="D162" i="9"/>
  <c r="C162" i="9"/>
  <c r="B162" i="9"/>
  <c r="G39" i="12"/>
  <c r="F39" i="12"/>
  <c r="E39" i="12"/>
  <c r="D39" i="12"/>
  <c r="C39" i="12"/>
  <c r="B39" i="12"/>
  <c r="F140" i="8"/>
  <c r="E140" i="8"/>
  <c r="D140" i="8"/>
  <c r="C140" i="8"/>
  <c r="D161" i="9"/>
  <c r="C161" i="9"/>
  <c r="B161" i="9"/>
  <c r="G38" i="12"/>
  <c r="F38" i="12"/>
  <c r="E38" i="12"/>
  <c r="D38" i="12"/>
  <c r="C38" i="12"/>
  <c r="B38" i="12"/>
  <c r="F139" i="8"/>
  <c r="E139" i="8"/>
  <c r="D139" i="8"/>
  <c r="C139" i="8"/>
  <c r="D160" i="9"/>
  <c r="C160" i="9"/>
  <c r="B160" i="9"/>
  <c r="G37" i="12"/>
  <c r="F37" i="12"/>
  <c r="E37" i="12"/>
  <c r="D37" i="12"/>
  <c r="C37" i="12"/>
  <c r="B37" i="12"/>
  <c r="F138" i="8"/>
  <c r="E138" i="8"/>
  <c r="D138" i="8"/>
  <c r="C138" i="8"/>
  <c r="D159" i="9"/>
  <c r="C159" i="9"/>
  <c r="B159" i="9"/>
  <c r="G36" i="12"/>
  <c r="F36" i="12"/>
  <c r="E36" i="12"/>
  <c r="D36" i="12"/>
  <c r="C36" i="12"/>
  <c r="B36" i="12"/>
  <c r="F137" i="8"/>
  <c r="E137" i="8"/>
  <c r="D137" i="8"/>
  <c r="C137" i="8"/>
  <c r="D158" i="9"/>
  <c r="C158" i="9"/>
  <c r="B158" i="9"/>
  <c r="G35" i="12"/>
  <c r="F35" i="12"/>
  <c r="E35" i="12"/>
  <c r="D35" i="12"/>
  <c r="C35" i="12"/>
  <c r="B35" i="12"/>
  <c r="F136" i="8"/>
  <c r="E136" i="8"/>
  <c r="D136" i="8"/>
  <c r="C136" i="8"/>
  <c r="D157" i="9"/>
  <c r="C157" i="9"/>
  <c r="B157" i="9"/>
  <c r="G34" i="12"/>
  <c r="F34" i="12"/>
  <c r="E34" i="12"/>
  <c r="D34" i="12"/>
  <c r="C34" i="12"/>
  <c r="B34" i="12"/>
  <c r="F135" i="8"/>
  <c r="E135" i="8"/>
  <c r="D135" i="8"/>
  <c r="C135" i="8"/>
  <c r="D156" i="9"/>
  <c r="C156" i="9"/>
  <c r="B156" i="9"/>
  <c r="G33" i="12"/>
  <c r="F33" i="12"/>
  <c r="E33" i="12"/>
  <c r="D33" i="12"/>
  <c r="C33" i="12"/>
  <c r="B33" i="12"/>
  <c r="F134" i="8"/>
  <c r="E134" i="8"/>
  <c r="D134" i="8"/>
  <c r="C134" i="8"/>
  <c r="D155" i="9"/>
  <c r="C155" i="9"/>
  <c r="B155" i="9"/>
  <c r="G32" i="12"/>
  <c r="F32" i="12"/>
  <c r="E32" i="12"/>
  <c r="D32" i="12"/>
  <c r="C32" i="12"/>
  <c r="B32" i="12"/>
  <c r="F133" i="8"/>
  <c r="E133" i="8"/>
  <c r="D133" i="8"/>
  <c r="C133" i="8"/>
  <c r="D154" i="9"/>
  <c r="C154" i="9"/>
  <c r="B154" i="9"/>
  <c r="E77" i="10"/>
  <c r="D77" i="10"/>
  <c r="C77" i="10"/>
  <c r="B77" i="10"/>
  <c r="F77" i="10" s="1"/>
  <c r="G31" i="12"/>
  <c r="F31" i="12"/>
  <c r="E31" i="12"/>
  <c r="D31" i="12"/>
  <c r="C31" i="12"/>
  <c r="B31" i="12"/>
  <c r="F132" i="8"/>
  <c r="E132" i="8"/>
  <c r="D132" i="8"/>
  <c r="C132" i="8"/>
  <c r="D153" i="9"/>
  <c r="C153" i="9"/>
  <c r="B153" i="9"/>
  <c r="E76" i="10"/>
  <c r="D76" i="10"/>
  <c r="C76" i="10"/>
  <c r="B76" i="10"/>
  <c r="F76" i="10" s="1"/>
  <c r="G30" i="12"/>
  <c r="F30" i="12"/>
  <c r="E30" i="12"/>
  <c r="D30" i="12"/>
  <c r="C30" i="12"/>
  <c r="B30" i="12"/>
  <c r="F131" i="8"/>
  <c r="E131" i="8"/>
  <c r="D131" i="8"/>
  <c r="C131" i="8"/>
  <c r="D152" i="9"/>
  <c r="C152" i="9"/>
  <c r="B152" i="9"/>
  <c r="E75" i="10"/>
  <c r="D75" i="10"/>
  <c r="C75" i="10"/>
  <c r="B75" i="10"/>
  <c r="F75" i="10" s="1"/>
  <c r="G29" i="12"/>
  <c r="F29" i="12"/>
  <c r="E29" i="12"/>
  <c r="D29" i="12"/>
  <c r="C29" i="12"/>
  <c r="B29" i="12"/>
  <c r="F130" i="8"/>
  <c r="E130" i="8"/>
  <c r="D130" i="8"/>
  <c r="C130" i="8"/>
  <c r="D151" i="9"/>
  <c r="C151" i="9"/>
  <c r="B151" i="9"/>
  <c r="E74" i="10"/>
  <c r="D74" i="10"/>
  <c r="C74" i="10"/>
  <c r="B74" i="10"/>
  <c r="F74" i="10" s="1"/>
  <c r="G28" i="12"/>
  <c r="F28" i="12"/>
  <c r="E28" i="12"/>
  <c r="D28" i="12"/>
  <c r="C28" i="12"/>
  <c r="B28" i="12"/>
  <c r="F129" i="8"/>
  <c r="E129" i="8"/>
  <c r="D129" i="8"/>
  <c r="C129" i="8"/>
  <c r="D150" i="9"/>
  <c r="C150" i="9"/>
  <c r="B150" i="9"/>
  <c r="E73" i="10"/>
  <c r="D73" i="10"/>
  <c r="C73" i="10"/>
  <c r="B73" i="10"/>
  <c r="F73" i="10" s="1"/>
  <c r="G27" i="12"/>
  <c r="F27" i="12"/>
  <c r="E27" i="12"/>
  <c r="D27" i="12"/>
  <c r="C27" i="12"/>
  <c r="B27" i="12"/>
  <c r="F128" i="8"/>
  <c r="E128" i="8"/>
  <c r="D128" i="8"/>
  <c r="C128" i="8"/>
  <c r="D149" i="9"/>
  <c r="C149" i="9"/>
  <c r="B149" i="9"/>
  <c r="E72" i="10"/>
  <c r="D72" i="10"/>
  <c r="C72" i="10"/>
  <c r="B72" i="10"/>
  <c r="F72" i="10" s="1"/>
  <c r="G26" i="12"/>
  <c r="F26" i="12"/>
  <c r="E26" i="12"/>
  <c r="D26" i="12"/>
  <c r="C26" i="12"/>
  <c r="B26" i="12"/>
  <c r="F127" i="8"/>
  <c r="E127" i="8"/>
  <c r="D127" i="8"/>
  <c r="C127" i="8"/>
  <c r="D148" i="9"/>
  <c r="C148" i="9"/>
  <c r="B148" i="9"/>
  <c r="E71" i="10"/>
  <c r="D71" i="10"/>
  <c r="C71" i="10"/>
  <c r="B71" i="10"/>
  <c r="F71" i="10" s="1"/>
  <c r="G25" i="12"/>
  <c r="F25" i="12"/>
  <c r="E25" i="12"/>
  <c r="D25" i="12"/>
  <c r="C25" i="12"/>
  <c r="B25" i="12"/>
  <c r="F126" i="8"/>
  <c r="E126" i="8"/>
  <c r="D126" i="8"/>
  <c r="C126" i="8"/>
  <c r="D147" i="9"/>
  <c r="C147" i="9"/>
  <c r="B147" i="9"/>
  <c r="E70" i="10"/>
  <c r="D70" i="10"/>
  <c r="C70" i="10"/>
  <c r="B70" i="10"/>
  <c r="F70" i="10" s="1"/>
  <c r="G24" i="12"/>
  <c r="F24" i="12"/>
  <c r="E24" i="12"/>
  <c r="D24" i="12"/>
  <c r="C24" i="12"/>
  <c r="B24" i="12"/>
  <c r="F125" i="8"/>
  <c r="E125" i="8"/>
  <c r="D125" i="8"/>
  <c r="C125" i="8"/>
  <c r="D146" i="9"/>
  <c r="C146" i="9"/>
  <c r="B146" i="9"/>
  <c r="E69" i="10"/>
  <c r="D69" i="10"/>
  <c r="C69" i="10"/>
  <c r="B69" i="10"/>
  <c r="F69" i="10" s="1"/>
  <c r="G23" i="12"/>
  <c r="F23" i="12"/>
  <c r="E23" i="12"/>
  <c r="D23" i="12"/>
  <c r="C23" i="12"/>
  <c r="B23" i="12"/>
  <c r="F124" i="8"/>
  <c r="E124" i="8"/>
  <c r="D124" i="8"/>
  <c r="C124" i="8"/>
  <c r="D145" i="9"/>
  <c r="C145" i="9"/>
  <c r="B145" i="9"/>
  <c r="E68" i="10"/>
  <c r="D68" i="10"/>
  <c r="C68" i="10"/>
  <c r="B68" i="10"/>
  <c r="F68" i="10" s="1"/>
  <c r="G22" i="12"/>
  <c r="F22" i="12"/>
  <c r="E22" i="12"/>
  <c r="D22" i="12"/>
  <c r="C22" i="12"/>
  <c r="B22" i="12"/>
  <c r="F123" i="8"/>
  <c r="E123" i="8"/>
  <c r="D123" i="8"/>
  <c r="C123" i="8"/>
  <c r="D144" i="9"/>
  <c r="C144" i="9"/>
  <c r="B144" i="9"/>
  <c r="E67" i="10"/>
  <c r="D67" i="10"/>
  <c r="C67" i="10"/>
  <c r="B67" i="10"/>
  <c r="F67" i="10" s="1"/>
  <c r="G21" i="12"/>
  <c r="F21" i="12"/>
  <c r="E21" i="12"/>
  <c r="D21" i="12"/>
  <c r="C21" i="12"/>
  <c r="B21" i="12"/>
  <c r="F122" i="8"/>
  <c r="E122" i="8"/>
  <c r="D122" i="8"/>
  <c r="C122" i="8"/>
  <c r="D143" i="9"/>
  <c r="C143" i="9"/>
  <c r="B143" i="9"/>
  <c r="E66" i="10"/>
  <c r="D66" i="10"/>
  <c r="C66" i="10"/>
  <c r="B66" i="10"/>
  <c r="F66" i="10" s="1"/>
  <c r="G20" i="12"/>
  <c r="F20" i="12"/>
  <c r="E20" i="12"/>
  <c r="D20" i="12"/>
  <c r="C20" i="12"/>
  <c r="B20" i="12"/>
  <c r="F121" i="8"/>
  <c r="E121" i="8"/>
  <c r="D121" i="8"/>
  <c r="C121" i="8"/>
  <c r="D142" i="9"/>
  <c r="C142" i="9"/>
  <c r="B142" i="9"/>
  <c r="E65" i="10"/>
  <c r="D65" i="10"/>
  <c r="C65" i="10"/>
  <c r="B65" i="10"/>
  <c r="F65" i="10" s="1"/>
  <c r="G19" i="12"/>
  <c r="F19" i="12"/>
  <c r="E19" i="12"/>
  <c r="D19" i="12"/>
  <c r="C19" i="12"/>
  <c r="B19" i="12"/>
  <c r="F120" i="8"/>
  <c r="E120" i="8"/>
  <c r="D120" i="8"/>
  <c r="C120" i="8"/>
  <c r="D141" i="9"/>
  <c r="C141" i="9"/>
  <c r="B141" i="9"/>
  <c r="E64" i="10"/>
  <c r="D64" i="10"/>
  <c r="C64" i="10"/>
  <c r="B64" i="10"/>
  <c r="F64" i="10" s="1"/>
  <c r="G18" i="12"/>
  <c r="F18" i="12"/>
  <c r="E18" i="12"/>
  <c r="D18" i="12"/>
  <c r="C18" i="12"/>
  <c r="B18" i="12"/>
  <c r="F119" i="8"/>
  <c r="E119" i="8"/>
  <c r="D119" i="8"/>
  <c r="C119" i="8"/>
  <c r="D140" i="9"/>
  <c r="C140" i="9"/>
  <c r="B140" i="9"/>
  <c r="E63" i="10"/>
  <c r="D63" i="10"/>
  <c r="C63" i="10"/>
  <c r="B63" i="10"/>
  <c r="F63" i="10" s="1"/>
  <c r="G17" i="12"/>
  <c r="F17" i="12"/>
  <c r="E17" i="12"/>
  <c r="D17" i="12"/>
  <c r="C17" i="12"/>
  <c r="B17" i="12"/>
  <c r="F118" i="8"/>
  <c r="E118" i="8"/>
  <c r="D118" i="8"/>
  <c r="C118" i="8"/>
  <c r="D139" i="9"/>
  <c r="C139" i="9"/>
  <c r="B139" i="9"/>
  <c r="E62" i="10"/>
  <c r="D62" i="10"/>
  <c r="C62" i="10"/>
  <c r="B62" i="10"/>
  <c r="F62" i="10" s="1"/>
  <c r="G16" i="12"/>
  <c r="F16" i="12"/>
  <c r="E16" i="12"/>
  <c r="D16" i="12"/>
  <c r="C16" i="12"/>
  <c r="B16" i="12"/>
  <c r="F117" i="8"/>
  <c r="E117" i="8"/>
  <c r="D117" i="8"/>
  <c r="C117" i="8"/>
  <c r="D138" i="9"/>
  <c r="C138" i="9"/>
  <c r="B138" i="9"/>
  <c r="E61" i="10"/>
  <c r="D61" i="10"/>
  <c r="C61" i="10"/>
  <c r="B61" i="10"/>
  <c r="F61" i="10" s="1"/>
  <c r="G15" i="12"/>
  <c r="F15" i="12"/>
  <c r="E15" i="12"/>
  <c r="D15" i="12"/>
  <c r="C15" i="12"/>
  <c r="B15" i="12"/>
  <c r="F116" i="8"/>
  <c r="E116" i="8"/>
  <c r="D116" i="8"/>
  <c r="C116" i="8"/>
  <c r="D137" i="9"/>
  <c r="C137" i="9"/>
  <c r="B137" i="9"/>
  <c r="E60" i="10"/>
  <c r="D60" i="10"/>
  <c r="C60" i="10"/>
  <c r="B60" i="10"/>
  <c r="F60" i="10" s="1"/>
  <c r="G14" i="12"/>
  <c r="F14" i="12"/>
  <c r="E14" i="12"/>
  <c r="D14" i="12"/>
  <c r="C14" i="12"/>
  <c r="B14" i="12"/>
  <c r="F115" i="8"/>
  <c r="E115" i="8"/>
  <c r="D115" i="8"/>
  <c r="C115" i="8"/>
  <c r="D136" i="9"/>
  <c r="C136" i="9"/>
  <c r="B136" i="9"/>
  <c r="E59" i="10"/>
  <c r="D59" i="10"/>
  <c r="C59" i="10"/>
  <c r="B59" i="10"/>
  <c r="F59" i="10" s="1"/>
  <c r="G13" i="12"/>
  <c r="F13" i="12"/>
  <c r="E13" i="12"/>
  <c r="D13" i="12"/>
  <c r="C13" i="12"/>
  <c r="B13" i="12"/>
  <c r="AK56" i="4"/>
  <c r="F172" i="13" s="1"/>
  <c r="I8" i="4"/>
  <c r="F170" i="13"/>
  <c r="BH56" i="4"/>
  <c r="J284" i="13" s="1"/>
  <c r="B54" i="14"/>
  <c r="AB36" i="14" s="1"/>
  <c r="J282" i="13"/>
  <c r="J54" i="14"/>
  <c r="AB37" i="14" s="1"/>
  <c r="J283" i="13"/>
  <c r="F114" i="8"/>
  <c r="E114" i="8"/>
  <c r="D114" i="8"/>
  <c r="C114" i="8"/>
  <c r="D135" i="9"/>
  <c r="C135" i="9"/>
  <c r="B135" i="9"/>
  <c r="D58" i="10"/>
  <c r="C58" i="10"/>
  <c r="B58" i="10"/>
  <c r="F12" i="12"/>
  <c r="E12" i="12"/>
  <c r="D12" i="12"/>
  <c r="C12" i="12"/>
  <c r="G12" i="12" s="1"/>
  <c r="B12" i="12"/>
  <c r="D164" i="8" l="1"/>
  <c r="D196" i="8"/>
  <c r="D170" i="8"/>
  <c r="D184" i="8"/>
  <c r="D175" i="8"/>
  <c r="D182" i="8"/>
  <c r="D174" i="8"/>
  <c r="J274" i="13"/>
  <c r="D192" i="8"/>
  <c r="D195" i="8"/>
  <c r="D188" i="8"/>
  <c r="D183" i="8"/>
  <c r="D186" i="8"/>
  <c r="D187" i="8"/>
  <c r="D165" i="8"/>
  <c r="D181" i="8"/>
  <c r="D168" i="8"/>
  <c r="D157" i="8"/>
  <c r="D176" i="8"/>
  <c r="D159" i="8"/>
  <c r="D191" i="8"/>
  <c r="D163" i="8"/>
  <c r="D161" i="8"/>
  <c r="D177" i="8"/>
  <c r="D193" i="8"/>
  <c r="D180" i="8"/>
  <c r="D179" i="8"/>
  <c r="D166" i="8"/>
  <c r="D160" i="8"/>
  <c r="D171" i="8"/>
  <c r="D189" i="8"/>
  <c r="D167" i="8"/>
  <c r="D178" i="8"/>
  <c r="D172" i="8"/>
  <c r="D173" i="8"/>
  <c r="D162" i="8"/>
  <c r="D194" i="8"/>
  <c r="D158" i="8"/>
  <c r="D190" i="8"/>
  <c r="D185" i="8"/>
  <c r="F233" i="8"/>
  <c r="F261" i="8"/>
  <c r="F265" i="8"/>
  <c r="F269" i="8"/>
  <c r="F273" i="8"/>
  <c r="F277" i="8"/>
  <c r="F281" i="8"/>
  <c r="D81" i="10"/>
  <c r="F234" i="8"/>
  <c r="F236" i="8"/>
  <c r="F238" i="8"/>
  <c r="F240" i="8"/>
  <c r="F242" i="8"/>
  <c r="F244" i="8"/>
  <c r="F246" i="8"/>
  <c r="F248" i="8"/>
  <c r="F250" i="8"/>
  <c r="F252" i="8"/>
  <c r="F254" i="8"/>
  <c r="F256" i="8"/>
  <c r="F258" i="8"/>
  <c r="F262" i="8"/>
  <c r="F266" i="8"/>
  <c r="F270" i="8"/>
  <c r="F274" i="8"/>
  <c r="F278" i="8"/>
  <c r="F282" i="8"/>
  <c r="I119" i="13"/>
  <c r="F259" i="8"/>
  <c r="F263" i="8"/>
  <c r="F267" i="8"/>
  <c r="F271" i="8"/>
  <c r="F275" i="8"/>
  <c r="F279" i="8"/>
  <c r="F235" i="8"/>
  <c r="F237" i="8"/>
  <c r="F239" i="8"/>
  <c r="F241" i="8"/>
  <c r="F243" i="8"/>
  <c r="F245" i="8"/>
  <c r="F247" i="8"/>
  <c r="F249" i="8"/>
  <c r="F251" i="8"/>
  <c r="F253" i="8"/>
  <c r="F255" i="8"/>
  <c r="F257" i="8"/>
  <c r="F260" i="8"/>
  <c r="F264" i="8"/>
  <c r="F268" i="8"/>
  <c r="F272" i="8"/>
  <c r="F276" i="8"/>
  <c r="F280" i="8"/>
  <c r="F58" i="10"/>
  <c r="E58" i="10"/>
  <c r="H114" i="8"/>
  <c r="G114" i="8"/>
  <c r="H115" i="8"/>
  <c r="G115" i="8"/>
  <c r="H116" i="8"/>
  <c r="G116" i="8"/>
  <c r="H117" i="8"/>
  <c r="G117" i="8"/>
  <c r="H118" i="8"/>
  <c r="G118" i="8"/>
  <c r="H119" i="8"/>
  <c r="G119" i="8"/>
  <c r="H120" i="8"/>
  <c r="G120" i="8"/>
  <c r="H121" i="8"/>
  <c r="G121" i="8"/>
  <c r="H122" i="8"/>
  <c r="G122" i="8"/>
  <c r="H123" i="8"/>
  <c r="G123" i="8"/>
  <c r="H124" i="8"/>
  <c r="G124" i="8"/>
  <c r="H125" i="8"/>
  <c r="G125" i="8"/>
  <c r="H126" i="8"/>
  <c r="G126" i="8"/>
  <c r="H127" i="8"/>
  <c r="G127" i="8"/>
  <c r="H128" i="8"/>
  <c r="G128" i="8"/>
  <c r="H129" i="8"/>
  <c r="G129" i="8"/>
  <c r="H130" i="8"/>
  <c r="G130" i="8"/>
  <c r="H131" i="8"/>
  <c r="G131" i="8"/>
  <c r="H132" i="8"/>
  <c r="G132" i="8"/>
  <c r="H133" i="8"/>
  <c r="G133" i="8"/>
  <c r="H134" i="8"/>
  <c r="G134" i="8"/>
  <c r="H135" i="8"/>
  <c r="G135" i="8"/>
  <c r="H136" i="8"/>
  <c r="G136" i="8"/>
  <c r="H137" i="8"/>
  <c r="G137" i="8"/>
  <c r="H138" i="8"/>
  <c r="G138" i="8"/>
  <c r="H139" i="8"/>
  <c r="G139" i="8"/>
  <c r="H140" i="8"/>
  <c r="G140" i="8"/>
  <c r="H141" i="8"/>
  <c r="G141" i="8"/>
  <c r="H142" i="8"/>
  <c r="G142" i="8"/>
  <c r="H143" i="8"/>
  <c r="G143" i="8"/>
  <c r="H144" i="8"/>
  <c r="G144" i="8"/>
  <c r="H145" i="8"/>
  <c r="G145" i="8"/>
  <c r="H146" i="8"/>
  <c r="G146" i="8"/>
  <c r="H147" i="8"/>
  <c r="G147" i="8"/>
  <c r="H148" i="8"/>
  <c r="G148" i="8"/>
  <c r="H149" i="8"/>
  <c r="G149" i="8"/>
  <c r="H150" i="8"/>
  <c r="G150" i="8"/>
  <c r="H151" i="8"/>
  <c r="G151" i="8"/>
  <c r="H152" i="8"/>
  <c r="G152" i="8"/>
  <c r="H153" i="8"/>
  <c r="G153" i="8"/>
  <c r="B365" i="8"/>
</calcChain>
</file>

<file path=xl/sharedStrings.xml><?xml version="1.0" encoding="utf-8"?>
<sst xmlns="http://schemas.openxmlformats.org/spreadsheetml/2006/main" count="5636" uniqueCount="2646">
  <si>
    <t>Toutes les années</t>
  </si>
  <si>
    <t>Tous les mois</t>
  </si>
  <si>
    <t>Tous</t>
  </si>
  <si>
    <t>Janvier</t>
  </si>
  <si>
    <t>Masculin</t>
  </si>
  <si>
    <t>Année</t>
  </si>
  <si>
    <t>Projets</t>
  </si>
  <si>
    <t>Dépenses</t>
  </si>
  <si>
    <t>Mois</t>
  </si>
  <si>
    <t>Nombre</t>
  </si>
  <si>
    <t>Sexe</t>
  </si>
  <si>
    <t>Education</t>
  </si>
  <si>
    <t>Février</t>
  </si>
  <si>
    <t>En cours</t>
  </si>
  <si>
    <t>Feminin</t>
  </si>
  <si>
    <t>Formation professionnelle</t>
  </si>
  <si>
    <t>Mars</t>
  </si>
  <si>
    <t>Terminé</t>
  </si>
  <si>
    <t>Réalisée</t>
  </si>
  <si>
    <t>Entrepreneuriat</t>
  </si>
  <si>
    <t>Avril</t>
  </si>
  <si>
    <t>Suspendu</t>
  </si>
  <si>
    <t>Reportée</t>
  </si>
  <si>
    <t>FILTRES DE PILOTAGE</t>
  </si>
  <si>
    <t>Culture</t>
  </si>
  <si>
    <t>Mai</t>
  </si>
  <si>
    <t>Annulé</t>
  </si>
  <si>
    <t>Annulée</t>
  </si>
  <si>
    <t>ANNÉE</t>
  </si>
  <si>
    <t>MOIS</t>
  </si>
  <si>
    <t>DOMAINE</t>
  </si>
  <si>
    <t>Les indicateurs opérationnels et financiers suivent les filtres. Les référentiels institutionnels restent cumulatifs.</t>
  </si>
  <si>
    <t>Environnement</t>
  </si>
  <si>
    <t>Juin</t>
  </si>
  <si>
    <t>Sante</t>
  </si>
  <si>
    <t>Juillet</t>
  </si>
  <si>
    <t>Genre</t>
  </si>
  <si>
    <t>Août</t>
  </si>
  <si>
    <t>Tourisme</t>
  </si>
  <si>
    <t>Septembre</t>
  </si>
  <si>
    <t>PROJETS</t>
  </si>
  <si>
    <t>BÉNÉFICIAIRES</t>
  </si>
  <si>
    <t>ACTIVITÉS RÉALISÉES</t>
  </si>
  <si>
    <t>BUDGET APPROUVÉ</t>
  </si>
  <si>
    <t>FINANCEMENTS REÇUS</t>
  </si>
  <si>
    <t>DÉPENSES</t>
  </si>
  <si>
    <t>Sport</t>
  </si>
  <si>
    <t>Octobre</t>
  </si>
  <si>
    <t>Agriculture et developpement rural</t>
  </si>
  <si>
    <t>Novembre</t>
  </si>
  <si>
    <t>Elevage</t>
  </si>
  <si>
    <t>Décembre</t>
  </si>
  <si>
    <t>Peche et aquaculture</t>
  </si>
  <si>
    <t>Securite alimentaire et nutrition</t>
  </si>
  <si>
    <t>SOLDE BUDGÉTAIRE</t>
  </si>
  <si>
    <t>TAUX D'EXÉCUTION</t>
  </si>
  <si>
    <t>PERFORMANCE PROJETS</t>
  </si>
  <si>
    <t>PARTENAIRES ACTIFS</t>
  </si>
  <si>
    <t>DONATEURS ACTIFS</t>
  </si>
  <si>
    <t>RH ACTIVES</t>
  </si>
  <si>
    <t>Eau, hygiene et assainissement</t>
  </si>
  <si>
    <t>Protection sociale</t>
  </si>
  <si>
    <t>Protection de l'enfance</t>
  </si>
  <si>
    <t>Jeunesse</t>
  </si>
  <si>
    <t>Autonomisation des femmes</t>
  </si>
  <si>
    <t>FINANCES — RECETTES VS DÉPENSES</t>
  </si>
  <si>
    <t>PORTEFEUILLE DES PROJETS — STATUT</t>
  </si>
  <si>
    <t>Developpement communautaire</t>
  </si>
  <si>
    <t>Inclusion sociale</t>
  </si>
  <si>
    <t>Handicap et inclusion des personnes vulnerables</t>
  </si>
  <si>
    <t>Emploi et insertion professionnelle</t>
  </si>
  <si>
    <t>Developpement economique local</t>
  </si>
  <si>
    <t>Artisanat</t>
  </si>
  <si>
    <t>Numerique et transformation digitale</t>
  </si>
  <si>
    <t>Technologies et innovation</t>
  </si>
  <si>
    <t>Recherche et developpement</t>
  </si>
  <si>
    <t>Gouvernance et citoyennete</t>
  </si>
  <si>
    <t>Droits humains</t>
  </si>
  <si>
    <t>Paix, cohesion sociale et prevention des conflits</t>
  </si>
  <si>
    <t>Action humanitaire et gestion des urgences</t>
  </si>
  <si>
    <t>Climat et resilience</t>
  </si>
  <si>
    <t>Gestion durable des ressources naturelles</t>
  </si>
  <si>
    <t>ALERTES</t>
  </si>
  <si>
    <t>Biodiversite et conservation</t>
  </si>
  <si>
    <t>FINANCES</t>
  </si>
  <si>
    <t>BÉNÉFICIAIRES — RÉPARTITION PAR SEXE</t>
  </si>
  <si>
    <t>ACTIVITÉS — STATUT D'AVANCEMENT</t>
  </si>
  <si>
    <t>Projets en retard</t>
  </si>
  <si>
    <t>Infrastructures et equipements communautaires</t>
  </si>
  <si>
    <t>Budget approuvé</t>
  </si>
  <si>
    <t>Dépassements budgétaires</t>
  </si>
  <si>
    <t>Developpement urbain et territorial</t>
  </si>
  <si>
    <t>Financements reçus</t>
  </si>
  <si>
    <t>Dépenses en anomalie</t>
  </si>
  <si>
    <t>Communication et information</t>
  </si>
  <si>
    <t>S&amp;E en alerte</t>
  </si>
  <si>
    <t>Mobilite et echanges culturels</t>
  </si>
  <si>
    <t>Activités en retard</t>
  </si>
  <si>
    <t>Patrimoine et tourisme culturel</t>
  </si>
  <si>
    <t>Donateurs à relancer</t>
  </si>
  <si>
    <t>Autre domaine</t>
  </si>
  <si>
    <t>ÉVOLUTION &amp; COURBES KPI — 2024 À 2033</t>
  </si>
  <si>
    <t>Projets en dépassement budgétaire</t>
  </si>
  <si>
    <t>Indicateurs S&amp;E en alerte</t>
  </si>
  <si>
    <t>ÉVOLUTION ANNUELLE — 2024 À 2033</t>
  </si>
  <si>
    <t>Source : données des feuilles du classeur O.N.G BK. Cette feuille est le seul élément modifié. Les listes déroulantes en haut permettent de changer la période d'analyse.</t>
  </si>
  <si>
    <t>ALERTES DE PILOTAGE</t>
  </si>
  <si>
    <t>STRUCTURE FINANCIÈRE</t>
  </si>
  <si>
    <t>Lecture rapide des points nécessitant une attention managériale et de la composition des flux financiers selon les filtres sélectionnés.</t>
  </si>
  <si>
    <t>Les graphiques se mettent à jour avec les filtres Année, Mois et Domaine. Les données techniques nécessaires aux graphiques sont masquées pour préserver la lisibilité.</t>
  </si>
  <si>
    <t>SUIVI DE L’EFFECTIF DES MEMBRES – ONG BK</t>
  </si>
  <si>
    <t>EFFECTIF TOTAL</t>
  </si>
  <si>
    <t>FEMMES</t>
  </si>
  <si>
    <t>HOMMES</t>
  </si>
  <si>
    <t>BUREAU EXÉCUTIF</t>
  </si>
  <si>
    <t>CCE</t>
  </si>
  <si>
    <t>Effectif total</t>
  </si>
  <si>
    <t>Femmes</t>
  </si>
  <si>
    <t>Hommes</t>
  </si>
  <si>
    <t>BE</t>
  </si>
  <si>
    <t>Membre</t>
  </si>
  <si>
    <t>O.N.G BK — PARAMETRES DU SYSTEME DE GESTION</t>
  </si>
  <si>
    <t>Referentiel central du classeur — Donnons la joie a la jeunesse</t>
  </si>
  <si>
    <t>LEGENDE :  cellule grisee = Code (identifiant stable, a ne pas modifier)   |   cellule blanche = modifiable   |   colonne Statut = liste deroulante   |   chaque tableau est extensible : ajoutez vos lignes juste en dessous de la derniere ligne du tableau</t>
  </si>
  <si>
    <t>SOMMAIRE — cliquez sur un referentiel pour y acceder</t>
  </si>
  <si>
    <t>1. ANNEES</t>
  </si>
  <si>
    <t>11 element(s)</t>
  </si>
  <si>
    <t>2. MOIS</t>
  </si>
  <si>
    <t>12 element(s)</t>
  </si>
  <si>
    <t>3. TRIMESTRES</t>
  </si>
  <si>
    <t>4 element(s)</t>
  </si>
  <si>
    <t>4. STATUTS DES PROJETS</t>
  </si>
  <si>
    <t>15 element(s)</t>
  </si>
  <si>
    <t>5. STATUTS DES ACTIVITES</t>
  </si>
  <si>
    <t>9 element(s)</t>
  </si>
  <si>
    <t>6. DOMAINES D'INTERVENTION DE L'O.N.G BK</t>
  </si>
  <si>
    <t>40 element(s)</t>
  </si>
  <si>
    <t>7. TYPES DE PROJETS</t>
  </si>
  <si>
    <t>24 element(s)</t>
  </si>
  <si>
    <t>8. TYPES D'ACTIVITES</t>
  </si>
  <si>
    <t>30 element(s)</t>
  </si>
  <si>
    <t>9. CATEGORIES DE BENEFICIAIRES</t>
  </si>
  <si>
    <t>29 element(s)</t>
  </si>
  <si>
    <t>10. SEXE</t>
  </si>
  <si>
    <t>3 element(s)</t>
  </si>
  <si>
    <t>11. TRANCHES D'AGE</t>
  </si>
  <si>
    <t>12. TYPES DE PARTENAIRES</t>
  </si>
  <si>
    <t>19 element(s)</t>
  </si>
  <si>
    <t>13. TYPES DE DONATEURS</t>
  </si>
  <si>
    <t>13 element(s)</t>
  </si>
  <si>
    <t>14. SOURCES DE FINANCEMENT</t>
  </si>
  <si>
    <t>14 element(s)</t>
  </si>
  <si>
    <t>15. TYPES DE FINANCEMENT</t>
  </si>
  <si>
    <t>16. CATEGORIES DE DEPENSES</t>
  </si>
  <si>
    <t>17. MODES DE PAIEMENT</t>
  </si>
  <si>
    <t>7 element(s)</t>
  </si>
  <si>
    <t>18. TYPES DE RECETTES</t>
  </si>
  <si>
    <t>10 element(s)</t>
  </si>
  <si>
    <t>19. TYPES DE CONTRATS</t>
  </si>
  <si>
    <t>20. FONCTIONS / POSTES</t>
  </si>
  <si>
    <t>21. NIVEAUX DE PRIORITE</t>
  </si>
  <si>
    <t>22. NIVEAUX DE RISQUE</t>
  </si>
  <si>
    <t>5 element(s)</t>
  </si>
  <si>
    <t>23. STATUTS DES RISQUES</t>
  </si>
  <si>
    <t>24. TYPES D'IMMOBILISATIONS</t>
  </si>
  <si>
    <t>17 element(s)</t>
  </si>
  <si>
    <t>25. UNITES DE MESURE</t>
  </si>
  <si>
    <t>26. TYPES DE DOCUMENTS</t>
  </si>
  <si>
    <t>25 element(s)</t>
  </si>
  <si>
    <t>27. STATUTS DES DOCUMENTS</t>
  </si>
  <si>
    <t>28. ZONES GEOGRAPHIQUES (structure hierarchique)</t>
  </si>
  <si>
    <t>29. STATUTS GENERAUX</t>
  </si>
  <si>
    <t>-&gt; Nouveaux referentiels ajoutes pour BUDGET : 30. STATUTS BUDGET | 31. TYPES DE BUDGET | 32. SEUILS BUDGETAIRES (voir bas de feuille) | 33. STATUTS RECETTES (voir bas de feuille) | Nouveaux referentiels ajoutes pour RESSOURCES HUMAINES : 34. STATUTS RH | 35. SERVICES/DEPARTEMENTS | 36. NIVEAUX HIERARCHIQUES | 37. TYPES DE CONGE | 38. STATUTS CONGE | 39. NIVEAUX DE COMPETENCE | 40. MOTIFS DE DEPART | 41. FREQUENCES DE PAIEMENT | 42. TYPES DE DOCUMENTS RH | 43. FILTRE ANNEES (voir bas de feuille)</t>
  </si>
  <si>
    <t>Code</t>
  </si>
  <si>
    <t>Annee</t>
  </si>
  <si>
    <t>Statut</t>
  </si>
  <si>
    <t>AN2024</t>
  </si>
  <si>
    <t>Actif</t>
  </si>
  <si>
    <t>AN2025</t>
  </si>
  <si>
    <t>AN2026</t>
  </si>
  <si>
    <t>AN2027</t>
  </si>
  <si>
    <t>AN2028</t>
  </si>
  <si>
    <t>AN2029</t>
  </si>
  <si>
    <t>AN2030</t>
  </si>
  <si>
    <t>AN2031</t>
  </si>
  <si>
    <t>AN2032</t>
  </si>
  <si>
    <t>AN2033</t>
  </si>
  <si>
    <t>N°</t>
  </si>
  <si>
    <t>Trimestre</t>
  </si>
  <si>
    <t>T1</t>
  </si>
  <si>
    <t>Fevrier</t>
  </si>
  <si>
    <t>T2</t>
  </si>
  <si>
    <t>T3</t>
  </si>
  <si>
    <t>Aout</t>
  </si>
  <si>
    <t>T4</t>
  </si>
  <si>
    <t>Decembre</t>
  </si>
  <si>
    <t>↑ Retour au sommaire</t>
  </si>
  <si>
    <t>Periode</t>
  </si>
  <si>
    <t>Ordre</t>
  </si>
  <si>
    <t>1er trimestre</t>
  </si>
  <si>
    <t>Janvier - Mars</t>
  </si>
  <si>
    <t>2e trimestre</t>
  </si>
  <si>
    <t>Avril - Juin</t>
  </si>
  <si>
    <t>3e trimestre</t>
  </si>
  <si>
    <t>Juillet - Septembre</t>
  </si>
  <si>
    <t>4e trimestre</t>
  </si>
  <si>
    <t>Octobre - Decembre</t>
  </si>
  <si>
    <t>Libelle</t>
  </si>
  <si>
    <t>STP01</t>
  </si>
  <si>
    <t>Idee</t>
  </si>
  <si>
    <t>STP02</t>
  </si>
  <si>
    <t>En preparation</t>
  </si>
  <si>
    <t>STP03</t>
  </si>
  <si>
    <t>En conception</t>
  </si>
  <si>
    <t>STP04</t>
  </si>
  <si>
    <t>Soumis</t>
  </si>
  <si>
    <t>STP05</t>
  </si>
  <si>
    <t>En attente de financement</t>
  </si>
  <si>
    <t>STP06</t>
  </si>
  <si>
    <t>Approuve</t>
  </si>
  <si>
    <t>STP07</t>
  </si>
  <si>
    <t>Contractualise</t>
  </si>
  <si>
    <t>STP08</t>
  </si>
  <si>
    <t>En demarrage</t>
  </si>
  <si>
    <t>STP09</t>
  </si>
  <si>
    <t>STP10</t>
  </si>
  <si>
    <t>STP11</t>
  </si>
  <si>
    <t>En cloture</t>
  </si>
  <si>
    <t>STP12</t>
  </si>
  <si>
    <t>Termine</t>
  </si>
  <si>
    <t>STP13</t>
  </si>
  <si>
    <t>Cloture</t>
  </si>
  <si>
    <t>STP14</t>
  </si>
  <si>
    <t>Annule</t>
  </si>
  <si>
    <t>STP15</t>
  </si>
  <si>
    <t>Non retenu</t>
  </si>
  <si>
    <t>STA01</t>
  </si>
  <si>
    <t>Planifiee</t>
  </si>
  <si>
    <t>STA02</t>
  </si>
  <si>
    <t>STA03</t>
  </si>
  <si>
    <t>Validee</t>
  </si>
  <si>
    <t>STA04</t>
  </si>
  <si>
    <t>STA05</t>
  </si>
  <si>
    <t>Realisee</t>
  </si>
  <si>
    <t>STA06</t>
  </si>
  <si>
    <t>Partiellement realisee</t>
  </si>
  <si>
    <t>STA07</t>
  </si>
  <si>
    <t>Reportee</t>
  </si>
  <si>
    <t>STA08</t>
  </si>
  <si>
    <t>Suspendue</t>
  </si>
  <si>
    <t>STA09</t>
  </si>
  <si>
    <t>Annulee</t>
  </si>
  <si>
    <t>Description</t>
  </si>
  <si>
    <t>Domaine prioritaire BK</t>
  </si>
  <si>
    <t>DOM01</t>
  </si>
  <si>
    <t>Programmes educatifs et scolaires</t>
  </si>
  <si>
    <t>Oui</t>
  </si>
  <si>
    <t>DOM02</t>
  </si>
  <si>
    <t>Developpement des competences</t>
  </si>
  <si>
    <t>DOM03</t>
  </si>
  <si>
    <t>Appui a la creation et au developpement d'entreprises</t>
  </si>
  <si>
    <t>DOM04</t>
  </si>
  <si>
    <t>Promotion des arts et des expressions culturelles</t>
  </si>
  <si>
    <t>DOM05</t>
  </si>
  <si>
    <t>Protection et gestion de l'environnement</t>
  </si>
  <si>
    <t>DOM06</t>
  </si>
  <si>
    <t>Promotion de la sante et acces aux soins</t>
  </si>
  <si>
    <t>DOM07</t>
  </si>
  <si>
    <t>Egalite des genres et autonomisation</t>
  </si>
  <si>
    <t>DOM08</t>
  </si>
  <si>
    <t>Valorisation du potentiel touristique</t>
  </si>
  <si>
    <t>DOM09</t>
  </si>
  <si>
    <t>Promotion des activites sportives</t>
  </si>
  <si>
    <t>DOM10</t>
  </si>
  <si>
    <t>Appui aux filieres agricoles</t>
  </si>
  <si>
    <t>Non</t>
  </si>
  <si>
    <t>DOM11</t>
  </si>
  <si>
    <t>Appui aux activites d'elevage</t>
  </si>
  <si>
    <t>DOM12</t>
  </si>
  <si>
    <t>Appui aux filieres halieutiques</t>
  </si>
  <si>
    <t>DOM13</t>
  </si>
  <si>
    <t>Lutte contre l'insecurite alimentaire</t>
  </si>
  <si>
    <t>DOM14</t>
  </si>
  <si>
    <t>Acces a l'eau potable et a l'assainissement</t>
  </si>
  <si>
    <t>DOM15</t>
  </si>
  <si>
    <t>Filets sociaux et protection des populations</t>
  </si>
  <si>
    <t>DOM16</t>
  </si>
  <si>
    <t>Prevention et prise en charge des enfants vulnerables</t>
  </si>
  <si>
    <t>DOM17</t>
  </si>
  <si>
    <t>Insertion et participation des jeunes</t>
  </si>
  <si>
    <t>DOM18</t>
  </si>
  <si>
    <t>Renforcement du pouvoir economique des femmes</t>
  </si>
  <si>
    <t>DOM19</t>
  </si>
  <si>
    <t>Renforcement des capacites communautaires</t>
  </si>
  <si>
    <t>DOM20</t>
  </si>
  <si>
    <t>Lutte contre les exclusions</t>
  </si>
  <si>
    <t>DOM21</t>
  </si>
  <si>
    <t>Inclusion des personnes en situation de handicap</t>
  </si>
  <si>
    <t>DOM22</t>
  </si>
  <si>
    <t>Acces a l'emploi</t>
  </si>
  <si>
    <t>DOM23</t>
  </si>
  <si>
    <t>Dynamisation des economies locales</t>
  </si>
  <si>
    <t>DOM24</t>
  </si>
  <si>
    <t>Appui aux filieres artisanales</t>
  </si>
  <si>
    <t>DOM25</t>
  </si>
  <si>
    <t>Promotion des usages numeriques</t>
  </si>
  <si>
    <t>DOM26</t>
  </si>
  <si>
    <t>Promotion de l'innovation technologique</t>
  </si>
  <si>
    <t>DOM27</t>
  </si>
  <si>
    <t>Appui a la recherche appliquee</t>
  </si>
  <si>
    <t>DOM28</t>
  </si>
  <si>
    <t>Renforcement de la gouvernance locale</t>
  </si>
  <si>
    <t>DOM29</t>
  </si>
  <si>
    <t>Promotion et protection des droits humains</t>
  </si>
  <si>
    <t>DOM30</t>
  </si>
  <si>
    <t>Consolidation de la paix</t>
  </si>
  <si>
    <t>DOM31</t>
  </si>
  <si>
    <t>Reponse aux situations d'urgence</t>
  </si>
  <si>
    <t>DOM32</t>
  </si>
  <si>
    <t>Adaptation et attenuation face au changement climatique</t>
  </si>
  <si>
    <t>DOM33</t>
  </si>
  <si>
    <t>Preservation des ressources naturelles</t>
  </si>
  <si>
    <t>DOM34</t>
  </si>
  <si>
    <t>Protection de la biodiversite</t>
  </si>
  <si>
    <t>DOM35</t>
  </si>
  <si>
    <t>Realisation d'infrastructures de base</t>
  </si>
  <si>
    <t>DOM36</t>
  </si>
  <si>
    <t>Amenagement urbain et territorial</t>
  </si>
  <si>
    <t>DOM37</t>
  </si>
  <si>
    <t>Diffusion de l'information</t>
  </si>
  <si>
    <t>DOM38</t>
  </si>
  <si>
    <t>Echanges et mobilite internationale</t>
  </si>
  <si>
    <t>DOM39</t>
  </si>
  <si>
    <t>Valorisation du patrimoine culturel</t>
  </si>
  <si>
    <t>DOM40</t>
  </si>
  <si>
    <t>Domaine non repertorie ci-dessus</t>
  </si>
  <si>
    <t>TPJ01</t>
  </si>
  <si>
    <t>Projet de developpement</t>
  </si>
  <si>
    <t>TPJ02</t>
  </si>
  <si>
    <t>Projet communautaire</t>
  </si>
  <si>
    <t>TPJ03</t>
  </si>
  <si>
    <t>Projet educatif</t>
  </si>
  <si>
    <t>TPJ04</t>
  </si>
  <si>
    <t>Projet de formation</t>
  </si>
  <si>
    <t>TPJ05</t>
  </si>
  <si>
    <t>Projet entrepreneurial</t>
  </si>
  <si>
    <t>TPJ06</t>
  </si>
  <si>
    <t>Projet culturel</t>
  </si>
  <si>
    <t>TPJ07</t>
  </si>
  <si>
    <t>Projet environnemental</t>
  </si>
  <si>
    <t>TPJ08</t>
  </si>
  <si>
    <t>Projet sanitaire</t>
  </si>
  <si>
    <t>TPJ09</t>
  </si>
  <si>
    <t>Projet touristique</t>
  </si>
  <si>
    <t>TPJ10</t>
  </si>
  <si>
    <t>Projet sportif</t>
  </si>
  <si>
    <t>TPJ11</t>
  </si>
  <si>
    <t>Projet agricole</t>
  </si>
  <si>
    <t>TPJ12</t>
  </si>
  <si>
    <t>Projet social</t>
  </si>
  <si>
    <t>TPJ13</t>
  </si>
  <si>
    <t>Projet humanitaire</t>
  </si>
  <si>
    <t>TPJ14</t>
  </si>
  <si>
    <t>Projet d'infrastructure</t>
  </si>
  <si>
    <t>TPJ15</t>
  </si>
  <si>
    <t>Projet numerique</t>
  </si>
  <si>
    <t>TPJ16</t>
  </si>
  <si>
    <t>Projet de recherche</t>
  </si>
  <si>
    <t>TPJ17</t>
  </si>
  <si>
    <t>Projet d'innovation</t>
  </si>
  <si>
    <t>TPJ18</t>
  </si>
  <si>
    <t>Projet de jeunesse</t>
  </si>
  <si>
    <t>TPJ19</t>
  </si>
  <si>
    <t>Projet d'autonomisation des femmes</t>
  </si>
  <si>
    <t>TPJ20</t>
  </si>
  <si>
    <t>Projet de gouvernance</t>
  </si>
  <si>
    <t>TPJ21</t>
  </si>
  <si>
    <t>Projet de protection</t>
  </si>
  <si>
    <t>TPJ22</t>
  </si>
  <si>
    <t>Projet climatique</t>
  </si>
  <si>
    <t>TPJ23</t>
  </si>
  <si>
    <t>Projet multisectoriel</t>
  </si>
  <si>
    <t>TPJ24</t>
  </si>
  <si>
    <t>Autre</t>
  </si>
  <si>
    <t>TAC01</t>
  </si>
  <si>
    <t>Formation</t>
  </si>
  <si>
    <t>TAC02</t>
  </si>
  <si>
    <t>Atelier</t>
  </si>
  <si>
    <t>TAC03</t>
  </si>
  <si>
    <t>Seminaire</t>
  </si>
  <si>
    <t>TAC04</t>
  </si>
  <si>
    <t>Conference</t>
  </si>
  <si>
    <t>TAC05</t>
  </si>
  <si>
    <t>Sensibilisation</t>
  </si>
  <si>
    <t>TAC06</t>
  </si>
  <si>
    <t>Campagne</t>
  </si>
  <si>
    <t>TAC07</t>
  </si>
  <si>
    <t>Coaching</t>
  </si>
  <si>
    <t>TAC08</t>
  </si>
  <si>
    <t>Accompagnement</t>
  </si>
  <si>
    <t>TAC09</t>
  </si>
  <si>
    <t>Distribution</t>
  </si>
  <si>
    <t>TAC10</t>
  </si>
  <si>
    <t>Consultation</t>
  </si>
  <si>
    <t>TAC11</t>
  </si>
  <si>
    <t>Enquete</t>
  </si>
  <si>
    <t>TAC12</t>
  </si>
  <si>
    <t>Etude</t>
  </si>
  <si>
    <t>TAC13</t>
  </si>
  <si>
    <t>Recherche</t>
  </si>
  <si>
    <t>TAC14</t>
  </si>
  <si>
    <t>Mission terrain</t>
  </si>
  <si>
    <t>TAC15</t>
  </si>
  <si>
    <t>Visite</t>
  </si>
  <si>
    <t>TAC16</t>
  </si>
  <si>
    <t>Reunion</t>
  </si>
  <si>
    <t>TAC17</t>
  </si>
  <si>
    <t>Forum</t>
  </si>
  <si>
    <t>TAC18</t>
  </si>
  <si>
    <t>Concours</t>
  </si>
  <si>
    <t>TAC19</t>
  </si>
  <si>
    <t>Competition sportive</t>
  </si>
  <si>
    <t>TAC20</t>
  </si>
  <si>
    <t>Evenement culturel</t>
  </si>
  <si>
    <t>TAC21</t>
  </si>
  <si>
    <t>Exposition</t>
  </si>
  <si>
    <t>TAC22</t>
  </si>
  <si>
    <t>Construction</t>
  </si>
  <si>
    <t>TAC23</t>
  </si>
  <si>
    <t>Rehabilitation</t>
  </si>
  <si>
    <t>TAC24</t>
  </si>
  <si>
    <t>Installation d'equipements</t>
  </si>
  <si>
    <t>TAC25</t>
  </si>
  <si>
    <t>Suivi</t>
  </si>
  <si>
    <t>TAC26</t>
  </si>
  <si>
    <t>Evaluation</t>
  </si>
  <si>
    <t>TAC27</t>
  </si>
  <si>
    <t>Audit</t>
  </si>
  <si>
    <t>TAC28</t>
  </si>
  <si>
    <t>Communication</t>
  </si>
  <si>
    <t>TAC29</t>
  </si>
  <si>
    <t>Plaidoyer</t>
  </si>
  <si>
    <t>TAC30</t>
  </si>
  <si>
    <t>CAB01</t>
  </si>
  <si>
    <t>Enfant</t>
  </si>
  <si>
    <t>CAB02</t>
  </si>
  <si>
    <t>Adolescent</t>
  </si>
  <si>
    <t>CAB03</t>
  </si>
  <si>
    <t>Jeune</t>
  </si>
  <si>
    <t>CAB04</t>
  </si>
  <si>
    <t>Adulte</t>
  </si>
  <si>
    <t>CAB05</t>
  </si>
  <si>
    <t>Personne agee</t>
  </si>
  <si>
    <t>CAB06</t>
  </si>
  <si>
    <t>Femme</t>
  </si>
  <si>
    <t>CAB07</t>
  </si>
  <si>
    <t>Homme</t>
  </si>
  <si>
    <t>CAB08</t>
  </si>
  <si>
    <t>Menage</t>
  </si>
  <si>
    <t>CAB09</t>
  </si>
  <si>
    <t>Famille</t>
  </si>
  <si>
    <t>CAB10</t>
  </si>
  <si>
    <t>Eleve</t>
  </si>
  <si>
    <t>CAB11</t>
  </si>
  <si>
    <t>Etudiant</t>
  </si>
  <si>
    <t>CAB12</t>
  </si>
  <si>
    <t>Enseignant</t>
  </si>
  <si>
    <t>CAB13</t>
  </si>
  <si>
    <t>Formateur</t>
  </si>
  <si>
    <t>CAB14</t>
  </si>
  <si>
    <t>Entrepreneur</t>
  </si>
  <si>
    <t>CAB15</t>
  </si>
  <si>
    <t>Porteur de projet</t>
  </si>
  <si>
    <t>CAB16</t>
  </si>
  <si>
    <t>Demandeur d'emploi</t>
  </si>
  <si>
    <t>CAB17</t>
  </si>
  <si>
    <t>Artisan</t>
  </si>
  <si>
    <t>CAB18</t>
  </si>
  <si>
    <t>Agriculteur</t>
  </si>
  <si>
    <t>CAB19</t>
  </si>
  <si>
    <t>Eleveur</t>
  </si>
  <si>
    <t>CAB20</t>
  </si>
  <si>
    <t>Pecheur</t>
  </si>
  <si>
    <t>CAB21</t>
  </si>
  <si>
    <t>Artiste</t>
  </si>
  <si>
    <t>CAB22</t>
  </si>
  <si>
    <t>Sportif</t>
  </si>
  <si>
    <t>CAB23</t>
  </si>
  <si>
    <t>Association</t>
  </si>
  <si>
    <t>CAB24</t>
  </si>
  <si>
    <t>Organisation communautaire</t>
  </si>
  <si>
    <t>CAB25</t>
  </si>
  <si>
    <t>Personne en situation de vulnerabilite</t>
  </si>
  <si>
    <t>CAB26</t>
  </si>
  <si>
    <t>Personne en situation de handicap</t>
  </si>
  <si>
    <t>CAB27</t>
  </si>
  <si>
    <t>Communaute</t>
  </si>
  <si>
    <t>CAB28</t>
  </si>
  <si>
    <t>Institution</t>
  </si>
  <si>
    <t>CAB29</t>
  </si>
  <si>
    <t>SEX01</t>
  </si>
  <si>
    <t>SEX02</t>
  </si>
  <si>
    <t>SEX03</t>
  </si>
  <si>
    <t>Non precise</t>
  </si>
  <si>
    <t>AGE01</t>
  </si>
  <si>
    <t>0-4 ans</t>
  </si>
  <si>
    <t>AGE02</t>
  </si>
  <si>
    <t>5-9 ans</t>
  </si>
  <si>
    <t>AGE03</t>
  </si>
  <si>
    <t>10-14 ans</t>
  </si>
  <si>
    <t>AGE04</t>
  </si>
  <si>
    <t>15-17 ans</t>
  </si>
  <si>
    <t>AGE05</t>
  </si>
  <si>
    <t>18-24 ans</t>
  </si>
  <si>
    <t>AGE06</t>
  </si>
  <si>
    <t>25-34 ans</t>
  </si>
  <si>
    <t>AGE07</t>
  </si>
  <si>
    <t>35-44 ans</t>
  </si>
  <si>
    <t>AGE08</t>
  </si>
  <si>
    <t>45-54 ans</t>
  </si>
  <si>
    <t>AGE09</t>
  </si>
  <si>
    <t>55-64 ans</t>
  </si>
  <si>
    <t>AGE10</t>
  </si>
  <si>
    <t>65 ans et plus</t>
  </si>
  <si>
    <t>AGE11</t>
  </si>
  <si>
    <t>TPA01</t>
  </si>
  <si>
    <t>Partenaire financier</t>
  </si>
  <si>
    <t>TPA02</t>
  </si>
  <si>
    <t>Partenaire technique</t>
  </si>
  <si>
    <t>TPA03</t>
  </si>
  <si>
    <t>Partenaire institutionnel</t>
  </si>
  <si>
    <t>TPA04</t>
  </si>
  <si>
    <t>Partenaire gouvernemental</t>
  </si>
  <si>
    <t>TPA05</t>
  </si>
  <si>
    <t>Collectivite locale</t>
  </si>
  <si>
    <t>TPA06</t>
  </si>
  <si>
    <t>Organisation internationale</t>
  </si>
  <si>
    <t>TPA07</t>
  </si>
  <si>
    <t>ONG nationale</t>
  </si>
  <si>
    <t>TPA08</t>
  </si>
  <si>
    <t>ONG internationale</t>
  </si>
  <si>
    <t>TPA09</t>
  </si>
  <si>
    <t>TPA10</t>
  </si>
  <si>
    <t>Entreprise privee</t>
  </si>
  <si>
    <t>TPA11</t>
  </si>
  <si>
    <t>Fondation</t>
  </si>
  <si>
    <t>TPA12</t>
  </si>
  <si>
    <t>Universite</t>
  </si>
  <si>
    <t>TPA13</t>
  </si>
  <si>
    <t>Etablissement scolaire</t>
  </si>
  <si>
    <t>TPA14</t>
  </si>
  <si>
    <t>Centre de recherche</t>
  </si>
  <si>
    <t>TPA15</t>
  </si>
  <si>
    <t>TPA16</t>
  </si>
  <si>
    <t>Organisation professionnelle</t>
  </si>
  <si>
    <t>TPA17</t>
  </si>
  <si>
    <t>Media</t>
  </si>
  <si>
    <t>TPA18</t>
  </si>
  <si>
    <t>Institution financiere</t>
  </si>
  <si>
    <t>TPA19</t>
  </si>
  <si>
    <t>TDO01</t>
  </si>
  <si>
    <t>Gouvernement</t>
  </si>
  <si>
    <t>TDO02</t>
  </si>
  <si>
    <t>Ministere</t>
  </si>
  <si>
    <t>TDO03</t>
  </si>
  <si>
    <t>Ambassade</t>
  </si>
  <si>
    <t>TDO04</t>
  </si>
  <si>
    <t>Agence de cooperation</t>
  </si>
  <si>
    <t>TDO05</t>
  </si>
  <si>
    <t>TDO06</t>
  </si>
  <si>
    <t>TDO07</t>
  </si>
  <si>
    <t>Entreprise</t>
  </si>
  <si>
    <t>TDO08</t>
  </si>
  <si>
    <t>Banque</t>
  </si>
  <si>
    <t>TDO09</t>
  </si>
  <si>
    <t>TDO10</t>
  </si>
  <si>
    <t>ONG</t>
  </si>
  <si>
    <t>TDO11</t>
  </si>
  <si>
    <t>Particulier</t>
  </si>
  <si>
    <t>TDO12</t>
  </si>
  <si>
    <t>Mecene</t>
  </si>
  <si>
    <t>TDO13</t>
  </si>
  <si>
    <t>SFI01</t>
  </si>
  <si>
    <t>Subvention</t>
  </si>
  <si>
    <t>SFI02</t>
  </si>
  <si>
    <t>Don</t>
  </si>
  <si>
    <t>SFI03</t>
  </si>
  <si>
    <t>Cotisation</t>
  </si>
  <si>
    <t>SFI04</t>
  </si>
  <si>
    <t>Contribution partenaire</t>
  </si>
  <si>
    <t>SFI05</t>
  </si>
  <si>
    <t>Autofinancement</t>
  </si>
  <si>
    <t>SFI06</t>
  </si>
  <si>
    <t>Financement public</t>
  </si>
  <si>
    <t>SFI07</t>
  </si>
  <si>
    <t>Financement prive</t>
  </si>
  <si>
    <t>SFI08</t>
  </si>
  <si>
    <t>Financement international</t>
  </si>
  <si>
    <t>SFI09</t>
  </si>
  <si>
    <t>Financement communautaire</t>
  </si>
  <si>
    <t>SFI10</t>
  </si>
  <si>
    <t>Financement participatif</t>
  </si>
  <si>
    <t>SFI11</t>
  </si>
  <si>
    <t>Mecenat</t>
  </si>
  <si>
    <t>SFI12</t>
  </si>
  <si>
    <t>Sponsoring</t>
  </si>
  <si>
    <t>SFI13</t>
  </si>
  <si>
    <t>Prestation de services</t>
  </si>
  <si>
    <t>SFI14</t>
  </si>
  <si>
    <t>TFI01</t>
  </si>
  <si>
    <t>TFI02</t>
  </si>
  <si>
    <t>TFI03</t>
  </si>
  <si>
    <t>Cofinancement</t>
  </si>
  <si>
    <t>TFI04</t>
  </si>
  <si>
    <t>Contribution financiere</t>
  </si>
  <si>
    <t>TFI05</t>
  </si>
  <si>
    <t>Contribution en nature</t>
  </si>
  <si>
    <t>TFI06</t>
  </si>
  <si>
    <t>Pret</t>
  </si>
  <si>
    <t>TFI07</t>
  </si>
  <si>
    <t>Avance</t>
  </si>
  <si>
    <t>TFI08</t>
  </si>
  <si>
    <t>Financement base sur les resultats</t>
  </si>
  <si>
    <t>TFI09</t>
  </si>
  <si>
    <t>CDE01</t>
  </si>
  <si>
    <t>Personnel</t>
  </si>
  <si>
    <t>CDE02</t>
  </si>
  <si>
    <t>Honoraires</t>
  </si>
  <si>
    <t>CDE03</t>
  </si>
  <si>
    <t>Consultants</t>
  </si>
  <si>
    <t>CDE04</t>
  </si>
  <si>
    <t>Transport</t>
  </si>
  <si>
    <t>CDE05</t>
  </si>
  <si>
    <t>Carburant</t>
  </si>
  <si>
    <t>CDE06</t>
  </si>
  <si>
    <t>Hebergement</t>
  </si>
  <si>
    <t>CDE07</t>
  </si>
  <si>
    <t>Restauration</t>
  </si>
  <si>
    <t>CDE08</t>
  </si>
  <si>
    <t>CDE09</t>
  </si>
  <si>
    <t>CDE10</t>
  </si>
  <si>
    <t>Visibilite</t>
  </si>
  <si>
    <t>CDE11</t>
  </si>
  <si>
    <t>Fournitures</t>
  </si>
  <si>
    <t>CDE12</t>
  </si>
  <si>
    <t>Materiel</t>
  </si>
  <si>
    <t>CDE13</t>
  </si>
  <si>
    <t>Equipements</t>
  </si>
  <si>
    <t>CDE14</t>
  </si>
  <si>
    <t>CDE15</t>
  </si>
  <si>
    <t>CDE16</t>
  </si>
  <si>
    <t>Location</t>
  </si>
  <si>
    <t>CDE17</t>
  </si>
  <si>
    <t>Services</t>
  </si>
  <si>
    <t>CDE18</t>
  </si>
  <si>
    <t>Telecommunication</t>
  </si>
  <si>
    <t>CDE19</t>
  </si>
  <si>
    <t>Internet</t>
  </si>
  <si>
    <t>CDE20</t>
  </si>
  <si>
    <t>Frais bancaires</t>
  </si>
  <si>
    <t>CDE21</t>
  </si>
  <si>
    <t>Administration</t>
  </si>
  <si>
    <t>CDE22</t>
  </si>
  <si>
    <t>Mission</t>
  </si>
  <si>
    <t>CDE23</t>
  </si>
  <si>
    <t>Logistique</t>
  </si>
  <si>
    <t>CDE24</t>
  </si>
  <si>
    <t>Suivi-evaluation</t>
  </si>
  <si>
    <t>CDE25</t>
  </si>
  <si>
    <t>CDE26</t>
  </si>
  <si>
    <t>Assurance</t>
  </si>
  <si>
    <t>CDE27</t>
  </si>
  <si>
    <t>Maintenance</t>
  </si>
  <si>
    <t>CDE28</t>
  </si>
  <si>
    <t>Securite</t>
  </si>
  <si>
    <t>CDE29</t>
  </si>
  <si>
    <t>Taxes et frais administratifs</t>
  </si>
  <si>
    <t>CDE30</t>
  </si>
  <si>
    <t>Autres depenses</t>
  </si>
  <si>
    <t>MPA01</t>
  </si>
  <si>
    <t>Especes</t>
  </si>
  <si>
    <t>MPA02</t>
  </si>
  <si>
    <t>Virement bancaire</t>
  </si>
  <si>
    <t>MPA03</t>
  </si>
  <si>
    <t>Cheque</t>
  </si>
  <si>
    <t>MPA04</t>
  </si>
  <si>
    <t>Mobile Money</t>
  </si>
  <si>
    <t>MPA05</t>
  </si>
  <si>
    <t>Carte bancaire</t>
  </si>
  <si>
    <t>MPA06</t>
  </si>
  <si>
    <t>Paiement en ligne</t>
  </si>
  <si>
    <t>MPA07</t>
  </si>
  <si>
    <t>TRE01</t>
  </si>
  <si>
    <t>TRE02</t>
  </si>
  <si>
    <t>TRE03</t>
  </si>
  <si>
    <t>TRE04</t>
  </si>
  <si>
    <t>Contribution</t>
  </si>
  <si>
    <t>TRE05</t>
  </si>
  <si>
    <t>Financement de projet</t>
  </si>
  <si>
    <t>TRE06</t>
  </si>
  <si>
    <t>Vente</t>
  </si>
  <si>
    <t>TRE07</t>
  </si>
  <si>
    <t>TRE08</t>
  </si>
  <si>
    <t>TRE09</t>
  </si>
  <si>
    <t>TRE10</t>
  </si>
  <si>
    <t>TCO01</t>
  </si>
  <si>
    <t>CDI</t>
  </si>
  <si>
    <t>TCO02</t>
  </si>
  <si>
    <t>CDD</t>
  </si>
  <si>
    <t>TCO03</t>
  </si>
  <si>
    <t>Contrat de projet</t>
  </si>
  <si>
    <t>TCO04</t>
  </si>
  <si>
    <t>Consultant</t>
  </si>
  <si>
    <t>TCO05</t>
  </si>
  <si>
    <t>Prestataire</t>
  </si>
  <si>
    <t>TCO06</t>
  </si>
  <si>
    <t>Stage</t>
  </si>
  <si>
    <t>TCO07</t>
  </si>
  <si>
    <t>Volontariat</t>
  </si>
  <si>
    <t>TCO08</t>
  </si>
  <si>
    <t>Benevolat</t>
  </si>
  <si>
    <t>TCO09</t>
  </si>
  <si>
    <t>Journalier</t>
  </si>
  <si>
    <t>TCO10</t>
  </si>
  <si>
    <t>FCT01</t>
  </si>
  <si>
    <t>President</t>
  </si>
  <si>
    <t>FCT02</t>
  </si>
  <si>
    <t>Vice-president</t>
  </si>
  <si>
    <t>FCT03</t>
  </si>
  <si>
    <t>Secretaire general</t>
  </si>
  <si>
    <t>FCT04</t>
  </si>
  <si>
    <t>Tresorier</t>
  </si>
  <si>
    <t>FCT05</t>
  </si>
  <si>
    <t>Directeur executif</t>
  </si>
  <si>
    <t>FCT06</t>
  </si>
  <si>
    <t>Directeur des programmes</t>
  </si>
  <si>
    <t>FCT07</t>
  </si>
  <si>
    <t>Coordonnateur de projet</t>
  </si>
  <si>
    <t>FCT08</t>
  </si>
  <si>
    <t>Responsable administratif et financier</t>
  </si>
  <si>
    <t>FCT09</t>
  </si>
  <si>
    <t>Comptable</t>
  </si>
  <si>
    <t>FCT10</t>
  </si>
  <si>
    <t>Responsable suivi-evaluation</t>
  </si>
  <si>
    <t>FCT11</t>
  </si>
  <si>
    <t>Charge de programme</t>
  </si>
  <si>
    <t>FCT12</t>
  </si>
  <si>
    <t>Charge de projet</t>
  </si>
  <si>
    <t>FCT13</t>
  </si>
  <si>
    <t>Charge de communication</t>
  </si>
  <si>
    <t>FCT14</t>
  </si>
  <si>
    <t>Charge des partenariats</t>
  </si>
  <si>
    <t>FCT15</t>
  </si>
  <si>
    <t>Charge de mobilisation des ressources</t>
  </si>
  <si>
    <t>FCT16</t>
  </si>
  <si>
    <t>Charge administratif</t>
  </si>
  <si>
    <t>FCT17</t>
  </si>
  <si>
    <t>Assistant administratif</t>
  </si>
  <si>
    <t>FCT18</t>
  </si>
  <si>
    <t>Assistant financier</t>
  </si>
  <si>
    <t>FCT19</t>
  </si>
  <si>
    <t>Logisticien</t>
  </si>
  <si>
    <t>FCT20</t>
  </si>
  <si>
    <t>Responsable informatique</t>
  </si>
  <si>
    <t>FCT21</t>
  </si>
  <si>
    <t>Responsable ressources humaines</t>
  </si>
  <si>
    <t>FCT22</t>
  </si>
  <si>
    <t>Animateur communautaire</t>
  </si>
  <si>
    <t>FCT23</t>
  </si>
  <si>
    <t>Agent de terrain</t>
  </si>
  <si>
    <t>FCT24</t>
  </si>
  <si>
    <t>FCT25</t>
  </si>
  <si>
    <t>Technicien</t>
  </si>
  <si>
    <t>FCT26</t>
  </si>
  <si>
    <t>Chauffeur</t>
  </si>
  <si>
    <t>FCT27</t>
  </si>
  <si>
    <t>Volontaire</t>
  </si>
  <si>
    <t>FCT28</t>
  </si>
  <si>
    <t>Stagiaire</t>
  </si>
  <si>
    <t>FCT29</t>
  </si>
  <si>
    <t>PRI01</t>
  </si>
  <si>
    <t>Faible</t>
  </si>
  <si>
    <t>PRI02</t>
  </si>
  <si>
    <t>Moyenne</t>
  </si>
  <si>
    <t>PRI03</t>
  </si>
  <si>
    <t>Haute</t>
  </si>
  <si>
    <t>PRI04</t>
  </si>
  <si>
    <t>Critique</t>
  </si>
  <si>
    <t>RIS01</t>
  </si>
  <si>
    <t>Tres faible</t>
  </si>
  <si>
    <t>RIS02</t>
  </si>
  <si>
    <t>RIS03</t>
  </si>
  <si>
    <t>Modere</t>
  </si>
  <si>
    <t>RIS04</t>
  </si>
  <si>
    <t>RIS05</t>
  </si>
  <si>
    <t>SRI01</t>
  </si>
  <si>
    <t>Identifie</t>
  </si>
  <si>
    <t>SRI02</t>
  </si>
  <si>
    <t>Analyse</t>
  </si>
  <si>
    <t>SRI03</t>
  </si>
  <si>
    <t>Sous surveillance</t>
  </si>
  <si>
    <t>SRI04</t>
  </si>
  <si>
    <t>En cours de traitement</t>
  </si>
  <si>
    <t>SRI05</t>
  </si>
  <si>
    <t>Mesure corrective engagee</t>
  </si>
  <si>
    <t>SRI06</t>
  </si>
  <si>
    <t>Maitrise</t>
  </si>
  <si>
    <t>SRI07</t>
  </si>
  <si>
    <t>TIM01</t>
  </si>
  <si>
    <t>Terrain</t>
  </si>
  <si>
    <t>TIM02</t>
  </si>
  <si>
    <t>Batiment</t>
  </si>
  <si>
    <t>TIM03</t>
  </si>
  <si>
    <t>Vehicule</t>
  </si>
  <si>
    <t>TIM04</t>
  </si>
  <si>
    <t>Moto</t>
  </si>
  <si>
    <t>TIM05</t>
  </si>
  <si>
    <t>Ordinateur</t>
  </si>
  <si>
    <t>TIM06</t>
  </si>
  <si>
    <t>Serveur</t>
  </si>
  <si>
    <t>TIM07</t>
  </si>
  <si>
    <t>Imprimante</t>
  </si>
  <si>
    <t>TIM08</t>
  </si>
  <si>
    <t>Photocopieuse</t>
  </si>
  <si>
    <t>TIM09</t>
  </si>
  <si>
    <t>Mobilier</t>
  </si>
  <si>
    <t>TIM10</t>
  </si>
  <si>
    <t>Materiel informatique</t>
  </si>
  <si>
    <t>TIM11</t>
  </si>
  <si>
    <t>Materiel audiovisuel</t>
  </si>
  <si>
    <t>TIM12</t>
  </si>
  <si>
    <t>Materiel de terrain</t>
  </si>
  <si>
    <t>TIM13</t>
  </si>
  <si>
    <t>Equipement technique</t>
  </si>
  <si>
    <t>TIM14</t>
  </si>
  <si>
    <t>Equipement sportif</t>
  </si>
  <si>
    <t>TIM15</t>
  </si>
  <si>
    <t>Equipement medical</t>
  </si>
  <si>
    <t>TIM16</t>
  </si>
  <si>
    <t>Equipement agricole</t>
  </si>
  <si>
    <t>TIM17</t>
  </si>
  <si>
    <t>UNI01</t>
  </si>
  <si>
    <t>Unite</t>
  </si>
  <si>
    <t>UNI02</t>
  </si>
  <si>
    <t>Piece</t>
  </si>
  <si>
    <t>UNI03</t>
  </si>
  <si>
    <t>Lot</t>
  </si>
  <si>
    <t>UNI04</t>
  </si>
  <si>
    <t>Kilogramme</t>
  </si>
  <si>
    <t>UNI05</t>
  </si>
  <si>
    <t>Tonne</t>
  </si>
  <si>
    <t>UNI06</t>
  </si>
  <si>
    <t>Litre</t>
  </si>
  <si>
    <t>UNI07</t>
  </si>
  <si>
    <t>Metre</t>
  </si>
  <si>
    <t>UNI08</t>
  </si>
  <si>
    <t>Metre carre</t>
  </si>
  <si>
    <t>UNI09</t>
  </si>
  <si>
    <t>Metre cube</t>
  </si>
  <si>
    <t>UNI10</t>
  </si>
  <si>
    <t>Jour</t>
  </si>
  <si>
    <t>UNI11</t>
  </si>
  <si>
    <t>Semaine</t>
  </si>
  <si>
    <t>UNI12</t>
  </si>
  <si>
    <t>UNI13</t>
  </si>
  <si>
    <t>Personne</t>
  </si>
  <si>
    <t>UNI14</t>
  </si>
  <si>
    <t>UNI15</t>
  </si>
  <si>
    <t>Session</t>
  </si>
  <si>
    <t>UNI16</t>
  </si>
  <si>
    <t>UNI17</t>
  </si>
  <si>
    <t>UNI18</t>
  </si>
  <si>
    <t>Projet</t>
  </si>
  <si>
    <t>UNI19</t>
  </si>
  <si>
    <t>TDC01</t>
  </si>
  <si>
    <t>Statuts</t>
  </si>
  <si>
    <t>TDC02</t>
  </si>
  <si>
    <t>Reglement interieur</t>
  </si>
  <si>
    <t>TDC03</t>
  </si>
  <si>
    <t>Agrement</t>
  </si>
  <si>
    <t>TDC04</t>
  </si>
  <si>
    <t>Convention</t>
  </si>
  <si>
    <t>TDC05</t>
  </si>
  <si>
    <t>Contrat</t>
  </si>
  <si>
    <t>TDC06</t>
  </si>
  <si>
    <t>Accord de partenariat</t>
  </si>
  <si>
    <t>TDC07</t>
  </si>
  <si>
    <t>Accord de financement</t>
  </si>
  <si>
    <t>TDC08</t>
  </si>
  <si>
    <t>Rapport</t>
  </si>
  <si>
    <t>TDC09</t>
  </si>
  <si>
    <t>Rapport financier</t>
  </si>
  <si>
    <t>TDC10</t>
  </si>
  <si>
    <t>Rapport narratif</t>
  </si>
  <si>
    <t>TDC11</t>
  </si>
  <si>
    <t>Budget</t>
  </si>
  <si>
    <t>TDC12</t>
  </si>
  <si>
    <t>Facture</t>
  </si>
  <si>
    <t>TDC13</t>
  </si>
  <si>
    <t>Recu</t>
  </si>
  <si>
    <t>TDC14</t>
  </si>
  <si>
    <t>Bon de commande</t>
  </si>
  <si>
    <t>TDC15</t>
  </si>
  <si>
    <t>Bon de livraison</t>
  </si>
  <si>
    <t>TDC16</t>
  </si>
  <si>
    <t>Proces-verbal</t>
  </si>
  <si>
    <t>TDC17</t>
  </si>
  <si>
    <t>Termes de reference</t>
  </si>
  <si>
    <t>TDC18</t>
  </si>
  <si>
    <t>Plan de travail</t>
  </si>
  <si>
    <t>TDC19</t>
  </si>
  <si>
    <t>Politique interne</t>
  </si>
  <si>
    <t>TDC20</t>
  </si>
  <si>
    <t>Procedure</t>
  </si>
  <si>
    <t>TDC21</t>
  </si>
  <si>
    <t>Piece justificative</t>
  </si>
  <si>
    <t>TDC22</t>
  </si>
  <si>
    <t>Document administratif</t>
  </si>
  <si>
    <t>TDC23</t>
  </si>
  <si>
    <t>Document juridique</t>
  </si>
  <si>
    <t>TDC24</t>
  </si>
  <si>
    <t>Document comptable</t>
  </si>
  <si>
    <t>TDC25</t>
  </si>
  <si>
    <t>SDC01</t>
  </si>
  <si>
    <t>Brouillon</t>
  </si>
  <si>
    <t>SDC02</t>
  </si>
  <si>
    <t>SDC03</t>
  </si>
  <si>
    <t>SDC04</t>
  </si>
  <si>
    <t>En attente de validation</t>
  </si>
  <si>
    <t>SDC05</t>
  </si>
  <si>
    <t>Valide</t>
  </si>
  <si>
    <t>SDC06</t>
  </si>
  <si>
    <t>Signe</t>
  </si>
  <si>
    <t>SDC07</t>
  </si>
  <si>
    <t>En vigueur</t>
  </si>
  <si>
    <t>SDC08</t>
  </si>
  <si>
    <t>Archive</t>
  </si>
  <si>
    <t>SDC09</t>
  </si>
  <si>
    <t>Expire</t>
  </si>
  <si>
    <t>SDC10</t>
  </si>
  <si>
    <t>Code pays</t>
  </si>
  <si>
    <t>Pays</t>
  </si>
  <si>
    <t>Code departement</t>
  </si>
  <si>
    <t>Departement</t>
  </si>
  <si>
    <t>Code district/commune</t>
  </si>
  <si>
    <t>District/Commune</t>
  </si>
  <si>
    <t>Code arrondissement</t>
  </si>
  <si>
    <t>Arrondissement</t>
  </si>
  <si>
    <t>Code localite</t>
  </si>
  <si>
    <t>Localite</t>
  </si>
  <si>
    <t>Type de localite</t>
  </si>
  <si>
    <t>PAYS01</t>
  </si>
  <si>
    <t>Congo</t>
  </si>
  <si>
    <t>DPT01</t>
  </si>
  <si>
    <t>Brazzaville</t>
  </si>
  <si>
    <t>COM01</t>
  </si>
  <si>
    <t>ARR01</t>
  </si>
  <si>
    <t>Makélékélé</t>
  </si>
  <si>
    <t>LOC0001</t>
  </si>
  <si>
    <t>ARR02</t>
  </si>
  <si>
    <t>Bacongo</t>
  </si>
  <si>
    <t>LOC0002</t>
  </si>
  <si>
    <t>ARR03</t>
  </si>
  <si>
    <t>Poto-Poto</t>
  </si>
  <si>
    <t>LOC0003</t>
  </si>
  <si>
    <t>ARR04</t>
  </si>
  <si>
    <t>Moungali</t>
  </si>
  <si>
    <t>LOC0004</t>
  </si>
  <si>
    <t>ARR05</t>
  </si>
  <si>
    <t>Ouenzé</t>
  </si>
  <si>
    <t>LOC0005</t>
  </si>
  <si>
    <t>ARR06</t>
  </si>
  <si>
    <t>Talangaï</t>
  </si>
  <si>
    <t>LOC0006</t>
  </si>
  <si>
    <t>ARR07</t>
  </si>
  <si>
    <t>Mfilou</t>
  </si>
  <si>
    <t>LOC0007</t>
  </si>
  <si>
    <t>ARR08</t>
  </si>
  <si>
    <t>Madibou</t>
  </si>
  <si>
    <t>LOC0008</t>
  </si>
  <si>
    <t>ARR09</t>
  </si>
  <si>
    <t>Djiri</t>
  </si>
  <si>
    <t>LOC0009</t>
  </si>
  <si>
    <t>DPT02</t>
  </si>
  <si>
    <t>Pointe-Noire</t>
  </si>
  <si>
    <t>COM02</t>
  </si>
  <si>
    <t>ARR10</t>
  </si>
  <si>
    <t>Lumumba</t>
  </si>
  <si>
    <t>LOC0010</t>
  </si>
  <si>
    <t>ARR11</t>
  </si>
  <si>
    <t>Mvou-Mvou</t>
  </si>
  <si>
    <t>LOC0011</t>
  </si>
  <si>
    <t>ARR12</t>
  </si>
  <si>
    <t>Tié-Tié</t>
  </si>
  <si>
    <t>LOC0012</t>
  </si>
  <si>
    <t>ARR13</t>
  </si>
  <si>
    <t>Loandjili</t>
  </si>
  <si>
    <t>LOC0013</t>
  </si>
  <si>
    <t>ARR14</t>
  </si>
  <si>
    <t>Mongo-Mpoukou</t>
  </si>
  <si>
    <t>LOC0014</t>
  </si>
  <si>
    <t>ARR15</t>
  </si>
  <si>
    <t>Ngoyo</t>
  </si>
  <si>
    <t>LOC0015</t>
  </si>
  <si>
    <t>DPT03</t>
  </si>
  <si>
    <t>Bouenza</t>
  </si>
  <si>
    <t>COM03</t>
  </si>
  <si>
    <t>Madingou</t>
  </si>
  <si>
    <t>LOC0017</t>
  </si>
  <si>
    <t>Ville</t>
  </si>
  <si>
    <t>Nkayi</t>
  </si>
  <si>
    <t>LOC0018</t>
  </si>
  <si>
    <t>Boko-Songho</t>
  </si>
  <si>
    <t>LOC0019</t>
  </si>
  <si>
    <t>Mouyondzi</t>
  </si>
  <si>
    <t>LOC0020</t>
  </si>
  <si>
    <t>DPT04</t>
  </si>
  <si>
    <t>Cuvette</t>
  </si>
  <si>
    <t>COM04</t>
  </si>
  <si>
    <t>Owando</t>
  </si>
  <si>
    <t>LOC0021</t>
  </si>
  <si>
    <t>Oyo</t>
  </si>
  <si>
    <t>LOC0022</t>
  </si>
  <si>
    <t>Makoua</t>
  </si>
  <si>
    <t>LOC0023</t>
  </si>
  <si>
    <t>Boundji</t>
  </si>
  <si>
    <t>LOC0024</t>
  </si>
  <si>
    <t>DPT05</t>
  </si>
  <si>
    <t>Cuvette-Ouest</t>
  </si>
  <si>
    <t>COM05</t>
  </si>
  <si>
    <t>Ewo</t>
  </si>
  <si>
    <t>LOC0025</t>
  </si>
  <si>
    <t>Etoumbi</t>
  </si>
  <si>
    <t>LOC0026</t>
  </si>
  <si>
    <t>Mbomo</t>
  </si>
  <si>
    <t>LOC0027</t>
  </si>
  <si>
    <t>DPT06</t>
  </si>
  <si>
    <t>Kouilou</t>
  </si>
  <si>
    <t>COM06</t>
  </si>
  <si>
    <t>Hinda</t>
  </si>
  <si>
    <t>LOC0028</t>
  </si>
  <si>
    <t>Loango</t>
  </si>
  <si>
    <t>LOC0029</t>
  </si>
  <si>
    <t>Madingo-Kayes</t>
  </si>
  <si>
    <t>LOC0030</t>
  </si>
  <si>
    <t>Nzambi</t>
  </si>
  <si>
    <t>LOC0031</t>
  </si>
  <si>
    <t>DPT07</t>
  </si>
  <si>
    <t>Lékoumou</t>
  </si>
  <si>
    <t>COM07</t>
  </si>
  <si>
    <t>Sibiti</t>
  </si>
  <si>
    <t>LOC0032</t>
  </si>
  <si>
    <t>Komono</t>
  </si>
  <si>
    <t>LOC0033</t>
  </si>
  <si>
    <t>Zanaga</t>
  </si>
  <si>
    <t>LOC0034</t>
  </si>
  <si>
    <t>DPT08</t>
  </si>
  <si>
    <t>Likouala</t>
  </si>
  <si>
    <t>COM08</t>
  </si>
  <si>
    <t>Impfondo</t>
  </si>
  <si>
    <t>LOC0035</t>
  </si>
  <si>
    <t>Dongou</t>
  </si>
  <si>
    <t>LOC0036</t>
  </si>
  <si>
    <t>Epena</t>
  </si>
  <si>
    <t>LOC0037</t>
  </si>
  <si>
    <t>Enyellé</t>
  </si>
  <si>
    <t>LOC0038</t>
  </si>
  <si>
    <t>DPT09</t>
  </si>
  <si>
    <t>Niari</t>
  </si>
  <si>
    <t>COM09</t>
  </si>
  <si>
    <t>Dolisie</t>
  </si>
  <si>
    <t>LOC0039</t>
  </si>
  <si>
    <t>Mossendjo</t>
  </si>
  <si>
    <t>LOC0040</t>
  </si>
  <si>
    <t>Moutamba</t>
  </si>
  <si>
    <t>LOC0041</t>
  </si>
  <si>
    <t>LOC0042</t>
  </si>
  <si>
    <t>DPT10</t>
  </si>
  <si>
    <t>Pool</t>
  </si>
  <si>
    <t>COM10</t>
  </si>
  <si>
    <t>Kinkala</t>
  </si>
  <si>
    <t>LOC0043</t>
  </si>
  <si>
    <t>Mindouli</t>
  </si>
  <si>
    <t>LOC0044</t>
  </si>
  <si>
    <t>Ngabé</t>
  </si>
  <si>
    <t>LOC0045</t>
  </si>
  <si>
    <t>Kindamba</t>
  </si>
  <si>
    <t>LOC0046</t>
  </si>
  <si>
    <t>DPT11</t>
  </si>
  <si>
    <t>Plateaux</t>
  </si>
  <si>
    <t>COM11</t>
  </si>
  <si>
    <t>Djambala</t>
  </si>
  <si>
    <t>LOC0047</t>
  </si>
  <si>
    <t>Gamboma</t>
  </si>
  <si>
    <t>LOC0048</t>
  </si>
  <si>
    <t>Lekana</t>
  </si>
  <si>
    <t>LOC0049</t>
  </si>
  <si>
    <t>DPT12</t>
  </si>
  <si>
    <t>Sangha</t>
  </si>
  <si>
    <t>COM12</t>
  </si>
  <si>
    <t>Ouesso</t>
  </si>
  <si>
    <t>LOC0050</t>
  </si>
  <si>
    <t>Sembé</t>
  </si>
  <si>
    <t>LOC0051</t>
  </si>
  <si>
    <t>Souanké</t>
  </si>
  <si>
    <t>LOC0052</t>
  </si>
  <si>
    <t>STG01</t>
  </si>
  <si>
    <t>STG02</t>
  </si>
  <si>
    <t>Inactif</t>
  </si>
  <si>
    <t>STG03</t>
  </si>
  <si>
    <t>STG04</t>
  </si>
  <si>
    <t>30. STATUTS BUDGET</t>
  </si>
  <si>
    <t>SBU01</t>
  </si>
  <si>
    <t>Preparation</t>
  </si>
  <si>
    <t>SBU02</t>
  </si>
  <si>
    <t>SBU03</t>
  </si>
  <si>
    <t>SBU04</t>
  </si>
  <si>
    <t>SBU05</t>
  </si>
  <si>
    <t>Revise</t>
  </si>
  <si>
    <t>SBU06</t>
  </si>
  <si>
    <t>31. TYPES DE BUDGET</t>
  </si>
  <si>
    <t>TBU01</t>
  </si>
  <si>
    <t>Budget annuel de l'ONG</t>
  </si>
  <si>
    <t>TBU02</t>
  </si>
  <si>
    <t>Budget de projet</t>
  </si>
  <si>
    <t>TBU03</t>
  </si>
  <si>
    <t>Budget d'activite</t>
  </si>
  <si>
    <t>TBU04</t>
  </si>
  <si>
    <t>Budget de programme</t>
  </si>
  <si>
    <t>TBU05</t>
  </si>
  <si>
    <t>Budget de fonctionnement</t>
  </si>
  <si>
    <t>TBU06</t>
  </si>
  <si>
    <t>Budget d'investissement</t>
  </si>
  <si>
    <t>TBU07</t>
  </si>
  <si>
    <t>Budget special</t>
  </si>
  <si>
    <t>TBU08</t>
  </si>
  <si>
    <t>Budget revise</t>
  </si>
  <si>
    <t>TBU09</t>
  </si>
  <si>
    <t>32. SEUILS BUDGETAIRES (alertes de depassement)</t>
  </si>
  <si>
    <t>Valeur (%)</t>
  </si>
  <si>
    <t>SEU01</t>
  </si>
  <si>
    <t>Seuil de vigilance</t>
  </si>
  <si>
    <t>SEU02</t>
  </si>
  <si>
    <t>Seuil de depassement</t>
  </si>
  <si>
    <t>33. STATUTS RECETTES</t>
  </si>
  <si>
    <t>SRE01</t>
  </si>
  <si>
    <t>Prevue</t>
  </si>
  <si>
    <t>SRE02</t>
  </si>
  <si>
    <t>Notifiee</t>
  </si>
  <si>
    <t>SRE03</t>
  </si>
  <si>
    <t>Approuvee</t>
  </si>
  <si>
    <t>SRE04</t>
  </si>
  <si>
    <t>Engagee</t>
  </si>
  <si>
    <t>SRE05</t>
  </si>
  <si>
    <t>Attendue</t>
  </si>
  <si>
    <t>SRE06</t>
  </si>
  <si>
    <t>Partiellement recue</t>
  </si>
  <si>
    <t>SRE07</t>
  </si>
  <si>
    <t>Recue</t>
  </si>
  <si>
    <t>SRE08</t>
  </si>
  <si>
    <t>SRE09</t>
  </si>
  <si>
    <t>Cloturee</t>
  </si>
  <si>
    <t>34. STATUTS RH</t>
  </si>
  <si>
    <t>STR01</t>
  </si>
  <si>
    <t>STR02</t>
  </si>
  <si>
    <t>En conge</t>
  </si>
  <si>
    <t>STR03</t>
  </si>
  <si>
    <t>STR04</t>
  </si>
  <si>
    <t>En mission</t>
  </si>
  <si>
    <t>STR05</t>
  </si>
  <si>
    <t>En formation</t>
  </si>
  <si>
    <t>STR06</t>
  </si>
  <si>
    <t>Sorti</t>
  </si>
  <si>
    <t>STR07</t>
  </si>
  <si>
    <t>35. SERVICES / DEPARTEMENTS INTERNES</t>
  </si>
  <si>
    <t>SRV01</t>
  </si>
  <si>
    <t>Direction generale</t>
  </si>
  <si>
    <t>SRV02</t>
  </si>
  <si>
    <t>Administration et finances</t>
  </si>
  <si>
    <t>SRV03</t>
  </si>
  <si>
    <t>Programmes et projets</t>
  </si>
  <si>
    <t>SRV04</t>
  </si>
  <si>
    <t>SRV05</t>
  </si>
  <si>
    <t>Ressources humaines</t>
  </si>
  <si>
    <t>SRV06</t>
  </si>
  <si>
    <t>SRV07</t>
  </si>
  <si>
    <t>SRV08</t>
  </si>
  <si>
    <t>Partenariats et mobilisation de ressources</t>
  </si>
  <si>
    <t>SRV09</t>
  </si>
  <si>
    <t>Juridique</t>
  </si>
  <si>
    <t>SRV10</t>
  </si>
  <si>
    <t>Informatique / IT</t>
  </si>
  <si>
    <t>SRV11</t>
  </si>
  <si>
    <t>36. NIVEAUX HIERARCHIQUES</t>
  </si>
  <si>
    <t>NHI01</t>
  </si>
  <si>
    <t>Direction</t>
  </si>
  <si>
    <t>NHI02</t>
  </si>
  <si>
    <t>Cadre</t>
  </si>
  <si>
    <t>NHI03</t>
  </si>
  <si>
    <t>Agent de maitrise</t>
  </si>
  <si>
    <t>NHI04</t>
  </si>
  <si>
    <t>Employe</t>
  </si>
  <si>
    <t>NHI05</t>
  </si>
  <si>
    <t>Stagiaire / Volontaire</t>
  </si>
  <si>
    <t>NHI06</t>
  </si>
  <si>
    <t>37. TYPES DE CONGE</t>
  </si>
  <si>
    <t>TCG01</t>
  </si>
  <si>
    <t>Conge annuel</t>
  </si>
  <si>
    <t>TCG02</t>
  </si>
  <si>
    <t>Conge maladie</t>
  </si>
  <si>
    <t>TCG03</t>
  </si>
  <si>
    <t>Conge maternite / paternite</t>
  </si>
  <si>
    <t>TCG04</t>
  </si>
  <si>
    <t>Conge sans solde</t>
  </si>
  <si>
    <t>TCG05</t>
  </si>
  <si>
    <t>Permission exceptionnelle</t>
  </si>
  <si>
    <t>TCG06</t>
  </si>
  <si>
    <t>38. STATUTS CONGE</t>
  </si>
  <si>
    <t>SCG01</t>
  </si>
  <si>
    <t>Demande</t>
  </si>
  <si>
    <t>SCG02</t>
  </si>
  <si>
    <t>SCG03</t>
  </si>
  <si>
    <t>Refuse</t>
  </si>
  <si>
    <t>SCG04</t>
  </si>
  <si>
    <t>SCG05</t>
  </si>
  <si>
    <t>39. NIVEAUX DE COMPETENCE</t>
  </si>
  <si>
    <t>NCO01</t>
  </si>
  <si>
    <t>Debutant</t>
  </si>
  <si>
    <t>NCO02</t>
  </si>
  <si>
    <t>Intermediaire</t>
  </si>
  <si>
    <t>NCO03</t>
  </si>
  <si>
    <t>NCO04</t>
  </si>
  <si>
    <t>Expert</t>
  </si>
  <si>
    <t>40. MOTIFS DE DEPART</t>
  </si>
  <si>
    <t>MDP01</t>
  </si>
  <si>
    <t>Demission</t>
  </si>
  <si>
    <t>MDP02</t>
  </si>
  <si>
    <t>Fin de contrat</t>
  </si>
  <si>
    <t>MDP03</t>
  </si>
  <si>
    <t>Licenciement</t>
  </si>
  <si>
    <t>MDP04</t>
  </si>
  <si>
    <t>Fin de mission</t>
  </si>
  <si>
    <t>MDP05</t>
  </si>
  <si>
    <t>Fin de stage</t>
  </si>
  <si>
    <t>MDP06</t>
  </si>
  <si>
    <t>Retraite</t>
  </si>
  <si>
    <t>MDP07</t>
  </si>
  <si>
    <t>41. FREQUENCES DE PAIEMENT</t>
  </si>
  <si>
    <t>FRQ01</t>
  </si>
  <si>
    <t>Mensuelle</t>
  </si>
  <si>
    <t>FRQ02</t>
  </si>
  <si>
    <t>Hebdomadaire</t>
  </si>
  <si>
    <t>FRQ03</t>
  </si>
  <si>
    <t>Journaliere</t>
  </si>
  <si>
    <t>FRQ04</t>
  </si>
  <si>
    <t>Ponctuelle / Unique</t>
  </si>
  <si>
    <t>FRQ05</t>
  </si>
  <si>
    <t>Trimestrielle</t>
  </si>
  <si>
    <t>42. TYPES DE DOCUMENTS RH</t>
  </si>
  <si>
    <t>TDR01</t>
  </si>
  <si>
    <t>CV</t>
  </si>
  <si>
    <t>TDR02</t>
  </si>
  <si>
    <t>Contrat de travail</t>
  </si>
  <si>
    <t>TDR03</t>
  </si>
  <si>
    <t>Diplome</t>
  </si>
  <si>
    <t>TDR04</t>
  </si>
  <si>
    <t>Attestation de travail</t>
  </si>
  <si>
    <t>TDR05</t>
  </si>
  <si>
    <t>Piece d'identite</t>
  </si>
  <si>
    <t>TDR06</t>
  </si>
  <si>
    <t>Certificat medical</t>
  </si>
  <si>
    <t>TDR07</t>
  </si>
  <si>
    <t>Casier judiciaire</t>
  </si>
  <si>
    <t>TDR08</t>
  </si>
  <si>
    <t>Fiche de poste</t>
  </si>
  <si>
    <t>TDR09</t>
  </si>
  <si>
    <t>TDR10</t>
  </si>
  <si>
    <t>Photo</t>
  </si>
  <si>
    <t>TDR11</t>
  </si>
  <si>
    <t>43. FILTRE ANNEES (liste dynamique utilisee par les filtres Annee des feuilles)</t>
  </si>
  <si>
    <t>Valeur</t>
  </si>
  <si>
    <t>FLT-ALL</t>
  </si>
  <si>
    <t>Total</t>
  </si>
  <si>
    <t>FLT-01</t>
  </si>
  <si>
    <t>FLT-02</t>
  </si>
  <si>
    <t>FLT-03</t>
  </si>
  <si>
    <t>FLT-04</t>
  </si>
  <si>
    <t>FLT-05</t>
  </si>
  <si>
    <t>FLT-06</t>
  </si>
  <si>
    <t>FLT-07</t>
  </si>
  <si>
    <t>FLT-08</t>
  </si>
  <si>
    <t>FLT-09</t>
  </si>
  <si>
    <t>FLT-10</t>
  </si>
  <si>
    <t>O.N.G BK — FICHE D'IDENTIFICATION ET D'INFORMATIONS INSTITUTIONNELLES</t>
  </si>
  <si>
    <t>SOMMAIRE ACTUALISÉ</t>
  </si>
  <si>
    <t>SOMMAIRE ACTUALISÉ – ONG BK</t>
  </si>
  <si>
    <t>Referentiel institutionnel du classeur — Donnons la joie a la jeunesse</t>
  </si>
  <si>
    <t>Total ONG</t>
  </si>
  <si>
    <t>Registre des membres</t>
  </si>
  <si>
    <t>Date de derniere mise a jour :</t>
  </si>
  <si>
    <t>Annee de reference :</t>
  </si>
  <si>
    <t>Statut de l'organisation :</t>
  </si>
  <si>
    <t>LEGENDE :  texte bleu = champ a completer par l'ONG   |   texte vert italique = recupere automatiquement depuis PARAMETRES (ou une future feuille)   |   valeur grisee en indicateur = sera calculee automatiquement des la creation de la feuille source correspondante</t>
  </si>
  <si>
    <t>Membres CCE</t>
  </si>
  <si>
    <t>Bureau exécutif (BE)</t>
  </si>
  <si>
    <t>SOMMAIRE — cliquez sur une section pour y acceder</t>
  </si>
  <si>
    <t>1. IDENTITE DE L'ONG</t>
  </si>
  <si>
    <t>fiche</t>
  </si>
  <si>
    <t>Membres</t>
  </si>
  <si>
    <t>2. INFORMATIONS JURIDIQUES</t>
  </si>
  <si>
    <t>3. SIEGE ET LOCALISATION</t>
  </si>
  <si>
    <t>4. CONTACTS OFFICIELS</t>
  </si>
  <si>
    <t>tableau</t>
  </si>
  <si>
    <t>5. VISION</t>
  </si>
  <si>
    <t>zone de texte</t>
  </si>
  <si>
    <t>6. MISSION</t>
  </si>
  <si>
    <t>7. VALEURS</t>
  </si>
  <si>
    <t>8. OBJECTIFS STRATEGIQUES</t>
  </si>
  <si>
    <t>9. DOMAINES D'INTERVENTION</t>
  </si>
  <si>
    <t>10. ZONES D'INTERVENTION</t>
  </si>
  <si>
    <t>11. ORGANISATION INTERNE</t>
  </si>
  <si>
    <t>12. EFFECTIF GLOBAL</t>
  </si>
  <si>
    <t>indicateurs</t>
  </si>
  <si>
    <t>13. PARTENARIATS INSTITUTIONNELS</t>
  </si>
  <si>
    <t>15. DOCUMENTS OFFICIELS</t>
  </si>
  <si>
    <t>16. INFORMATIONS BANCAIRES</t>
  </si>
  <si>
    <t>17. MOYENS DE COMMUNICATION</t>
  </si>
  <si>
    <t>18. IDENTITE VISUELLE</t>
  </si>
  <si>
    <t>19. PERIODE STRATEGIQUE</t>
  </si>
  <si>
    <t>20. GOUVERNANCE - ORGANES</t>
  </si>
  <si>
    <t>21. REUNIONS ET GOUVERNANCE</t>
  </si>
  <si>
    <t>22. INDICATEURS INSTITUTIONNELS</t>
  </si>
  <si>
    <t>23. HISTORIQUE DES MODIFICATIONS</t>
  </si>
  <si>
    <t>Nom officiel de l'ONG</t>
  </si>
  <si>
    <t>O.N.G BK</t>
  </si>
  <si>
    <t>Sigle</t>
  </si>
  <si>
    <t>BK O.N.G</t>
  </si>
  <si>
    <t>Nom court</t>
  </si>
  <si>
    <t>BK</t>
  </si>
  <si>
    <t>Type d'organisation</t>
  </si>
  <si>
    <t>Statut juridique</t>
  </si>
  <si>
    <t>Date de creation</t>
  </si>
  <si>
    <t>Date de reconnaissance officielle</t>
  </si>
  <si>
    <t>Numero d'enregistrement</t>
  </si>
  <si>
    <t>Numero d'agrement</t>
  </si>
  <si>
    <t>Numero d'identification fiscale (si applicable)</t>
  </si>
  <si>
    <t>Pays d'enregistrement</t>
  </si>
  <si>
    <t>Annee de creation</t>
  </si>
  <si>
    <t>Devise / slogan</t>
  </si>
  <si>
    <t>Donnons la joie a la jeunesse</t>
  </si>
  <si>
    <t>Site internet</t>
  </si>
  <si>
    <t>Adresse e-mail officielle</t>
  </si>
  <si>
    <t>Telephone officiel</t>
  </si>
  <si>
    <t>Adresse physique</t>
  </si>
  <si>
    <t>Adresse postale</t>
  </si>
  <si>
    <t>Forme juridique</t>
  </si>
  <si>
    <t>Autorite ayant delivre l'agrement</t>
  </si>
  <si>
    <t>Date d'agrement</t>
  </si>
  <si>
    <t>Date d'expiration de l'agrement (si applicable)</t>
  </si>
  <si>
    <t>Reference du recepisse</t>
  </si>
  <si>
    <t>Date du recepisse</t>
  </si>
  <si>
    <t>Juridiction competente</t>
  </si>
  <si>
    <t>Document justificatif principal</t>
  </si>
  <si>
    <t>Localite de reference (PARAMETRES)</t>
  </si>
  <si>
    <t>Departement / Province</t>
  </si>
  <si>
    <t>District / Commune</t>
  </si>
  <si>
    <t>Adresse (rue / avenue)</t>
  </si>
  <si>
    <t>Boite postale</t>
  </si>
  <si>
    <t>Telephone</t>
  </si>
  <si>
    <t>E-mail</t>
  </si>
  <si>
    <t>Coordonnees GPS (si disponibles)</t>
  </si>
  <si>
    <t>Fonction</t>
  </si>
  <si>
    <t>Nom complet</t>
  </si>
  <si>
    <t>Email</t>
  </si>
  <si>
    <t>Responsable des programmes</t>
  </si>
  <si>
    <t>Responsable communication</t>
  </si>
  <si>
    <t>Responsable partenariats</t>
  </si>
  <si>
    <t>VAL01</t>
  </si>
  <si>
    <t>Integrite</t>
  </si>
  <si>
    <t>VAL02</t>
  </si>
  <si>
    <t>Solidarite</t>
  </si>
  <si>
    <t>VAL03</t>
  </si>
  <si>
    <t>Inclusion</t>
  </si>
  <si>
    <t>VAL04</t>
  </si>
  <si>
    <t>Responsabilite</t>
  </si>
  <si>
    <t>VAL05</t>
  </si>
  <si>
    <t>Innovation</t>
  </si>
  <si>
    <t>VAL06</t>
  </si>
  <si>
    <t>Transparence</t>
  </si>
  <si>
    <t>VAL07</t>
  </si>
  <si>
    <t>Equite</t>
  </si>
  <si>
    <t>VAL08</t>
  </si>
  <si>
    <t>Respect</t>
  </si>
  <si>
    <t>VAL09</t>
  </si>
  <si>
    <t>Engagement</t>
  </si>
  <si>
    <t>Objectif strategique</t>
  </si>
  <si>
    <t>OS01</t>
  </si>
  <si>
    <t>Exemple : Developper les competences des jeunes</t>
  </si>
  <si>
    <t>(ligne d'exemple - a remplacer/completer)</t>
  </si>
  <si>
    <t>2026-2030</t>
  </si>
  <si>
    <t>Domaine</t>
  </si>
  <si>
    <t>Prioritaire</t>
  </si>
  <si>
    <t>Localite (reference)</t>
  </si>
  <si>
    <t>Statut de la zone</t>
  </si>
  <si>
    <t>Annee de debut</t>
  </si>
  <si>
    <t>Quartier Bacongo Centre</t>
  </si>
  <si>
    <t>Structure</t>
  </si>
  <si>
    <t>Type</t>
  </si>
  <si>
    <t>Responsable</t>
  </si>
  <si>
    <t>Nombre total de collaborateurs</t>
  </si>
  <si>
    <t>RESSOURCES HUMAINES (a activer automatiquement des creation de la feuille)</t>
  </si>
  <si>
    <t>RESSOURCES HUMAINES</t>
  </si>
  <si>
    <t>Personnel permanent</t>
  </si>
  <si>
    <t>Personnel temporaire</t>
  </si>
  <si>
    <t>Volontaires</t>
  </si>
  <si>
    <t>Stagiaires</t>
  </si>
  <si>
    <t>Code partenaire</t>
  </si>
  <si>
    <t>Partenaire</t>
  </si>
  <si>
    <t>Annee debut</t>
  </si>
  <si>
    <t>PTS01</t>
  </si>
  <si>
    <t>PTS02</t>
  </si>
  <si>
    <t>PTS03</t>
  </si>
  <si>
    <t>PTS04</t>
  </si>
  <si>
    <t>PTS05</t>
  </si>
  <si>
    <t>Source</t>
  </si>
  <si>
    <t>Type de financement</t>
  </si>
  <si>
    <t>Document</t>
  </si>
  <si>
    <t>Reference</t>
  </si>
  <si>
    <t>Date</t>
  </si>
  <si>
    <t>Date d'expiration</t>
  </si>
  <si>
    <t>Emplacement</t>
  </si>
  <si>
    <t>DOC01</t>
  </si>
  <si>
    <t>DOC02</t>
  </si>
  <si>
    <t>DOC03</t>
  </si>
  <si>
    <t>DOC04</t>
  </si>
  <si>
    <t>Recepisse</t>
  </si>
  <si>
    <t>Agence</t>
  </si>
  <si>
    <t>Intitule du compte</t>
  </si>
  <si>
    <t>Numero de compte</t>
  </si>
  <si>
    <t>Devise</t>
  </si>
  <si>
    <t>Type de compte</t>
  </si>
  <si>
    <t>Compte principal</t>
  </si>
  <si>
    <t>Canal</t>
  </si>
  <si>
    <t>Valeur / Lien</t>
  </si>
  <si>
    <t>Actif / Inactif</t>
  </si>
  <si>
    <t>Site web</t>
  </si>
  <si>
    <t>E-mail general</t>
  </si>
  <si>
    <t>WhatsApp professionnel</t>
  </si>
  <si>
    <t>Facebook</t>
  </si>
  <si>
    <t>LinkedIn</t>
  </si>
  <si>
    <t>X / Twitter</t>
  </si>
  <si>
    <t>YouTube</t>
  </si>
  <si>
    <t>Autres reseaux sociaux</t>
  </si>
  <si>
    <t>Logo (emplacement reserve - a inserer par l'ONG)</t>
  </si>
  <si>
    <t>Couleur principale</t>
  </si>
  <si>
    <t>Couleur secondaire</t>
  </si>
  <si>
    <t>Slogan</t>
  </si>
  <si>
    <t>Police institutionnelle (si definie)</t>
  </si>
  <si>
    <t>Annee de debut du plan strategique</t>
  </si>
  <si>
    <t>Annee de fin du plan strategique</t>
  </si>
  <si>
    <t>Nom du plan strategique</t>
  </si>
  <si>
    <t>Statut du plan</t>
  </si>
  <si>
    <t>Date de derniere revision</t>
  </si>
  <si>
    <t>Organe</t>
  </si>
  <si>
    <t>Date de debut</t>
  </si>
  <si>
    <t>Date de fin</t>
  </si>
  <si>
    <t>GOV01</t>
  </si>
  <si>
    <t>Assemblee generale</t>
  </si>
  <si>
    <t>GOV02</t>
  </si>
  <si>
    <t>Conseil d'administration</t>
  </si>
  <si>
    <t>GOV03</t>
  </si>
  <si>
    <t>Bureau executif</t>
  </si>
  <si>
    <t>GOV04</t>
  </si>
  <si>
    <t>Direction executive</t>
  </si>
  <si>
    <t>GOV05</t>
  </si>
  <si>
    <t>Commissions</t>
  </si>
  <si>
    <t>GOV06</t>
  </si>
  <si>
    <t>Comites</t>
  </si>
  <si>
    <t>Type de reunion</t>
  </si>
  <si>
    <t>Frequence</t>
  </si>
  <si>
    <t>Derniere reunion</t>
  </si>
  <si>
    <t>Prochaine reunion</t>
  </si>
  <si>
    <t>Reunion d'equipe</t>
  </si>
  <si>
    <t>Nombre de projets</t>
  </si>
  <si>
    <t>PROJETS (a activer automatiquement)</t>
  </si>
  <si>
    <t>Nombre de beneficiaires</t>
  </si>
  <si>
    <t>BENEFICIAIRES (a activer automatiquement)</t>
  </si>
  <si>
    <t>Nombre de partenaires</t>
  </si>
  <si>
    <t>PARTENAIRES (a activer automatiquement)</t>
  </si>
  <si>
    <t>Nombre de donateurs</t>
  </si>
  <si>
    <t>DONATEURS (a activer automatiquement)</t>
  </si>
  <si>
    <t>Nombre de zones d'intervention</t>
  </si>
  <si>
    <t>Section Zones d'intervention (ci-dessus) / SUIVI-EVALUATION</t>
  </si>
  <si>
    <t>Budget annuel (FCFA)</t>
  </si>
  <si>
    <t>BUDGET (a activer automatiquement)</t>
  </si>
  <si>
    <t>Financements mobilises (FCFA)</t>
  </si>
  <si>
    <t>RECETTES / FINANCEMENTS (a activer automatiquement)</t>
  </si>
  <si>
    <t>Nombre d'activites realisees</t>
  </si>
  <si>
    <t>ACTIVITES (a activer automatiquement)</t>
  </si>
  <si>
    <t>Information modifiee</t>
  </si>
  <si>
    <t>Ancienne valeur</t>
  </si>
  <si>
    <t>Nouvelle valeur</t>
  </si>
  <si>
    <t>Auteur de la modification</t>
  </si>
  <si>
    <t>Observation</t>
  </si>
  <si>
    <t>(exemple)</t>
  </si>
  <si>
    <t>Numero de telephone officiel</t>
  </si>
  <si>
    <t>-</t>
  </si>
  <si>
    <t>Administrateur</t>
  </si>
  <si>
    <t>Ligne d'exemple - a adapter ou supprimer</t>
  </si>
  <si>
    <t>← Retour a PARAMETRES</t>
  </si>
  <si>
    <t>REGISTRE DES MEMBRES – ONG BK</t>
  </si>
  <si>
    <t>ID</t>
  </si>
  <si>
    <t>Nom</t>
  </si>
  <si>
    <t>Prénom</t>
  </si>
  <si>
    <t>Date de naissance</t>
  </si>
  <si>
    <t>Téléphone</t>
  </si>
  <si>
    <t>Année d’adhésion</t>
  </si>
  <si>
    <t>Fonction / Observation</t>
  </si>
  <si>
    <t>SOMMAIRE – EFFECTIF DES MEMBRES</t>
  </si>
  <si>
    <t>Année sélectionnée</t>
  </si>
  <si>
    <t>Toutes</t>
  </si>
  <si>
    <t>Effectif</t>
  </si>
  <si>
    <t>O.N.G BK  —  BASE DE DONNEES DES BENEFICIAIRES</t>
  </si>
  <si>
    <t>-&gt; ONG</t>
  </si>
  <si>
    <t>Derniere mise a jour :</t>
  </si>
  <si>
    <t>Nombre total de beneficiaires :</t>
  </si>
  <si>
    <t>-&gt; PARAMETRES</t>
  </si>
  <si>
    <t>LEGENDE : texte bleu = champ a completer manuellement | texte vert italique = donnee calculee automatiquement | ne pas modifier les colonnes calculees.</t>
  </si>
  <si>
    <t>SYNTHESE GENERALE (calcul automatique)</t>
  </si>
  <si>
    <t>Total beneficiaires</t>
  </si>
  <si>
    <t>Autres / non precise</t>
  </si>
  <si>
    <t>Enfants (0-17 ans)</t>
  </si>
  <si>
    <t>Jeunes (18-24 ans)</t>
  </si>
  <si>
    <t>Adultes (25-64 ans)</t>
  </si>
  <si>
    <t>Personnes agees (65+)</t>
  </si>
  <si>
    <t>Personnes handicap</t>
  </si>
  <si>
    <t>Menages distincts</t>
  </si>
  <si>
    <t>Actifs</t>
  </si>
  <si>
    <t>Sortis du programme</t>
  </si>
  <si>
    <t>ANALYSES AUTOMATIQUES (alimentent le futur TABLEAU DE BORD)</t>
  </si>
  <si>
    <t>Domaine d'intervention</t>
  </si>
  <si>
    <t>Nb beneficiaires</t>
  </si>
  <si>
    <t>Projet (nom)</t>
  </si>
  <si>
    <t>-&gt; saisir un nom de projet par ligne ci-dessus ; a connecter automatiquement des la creation de la feuille PROJETS.</t>
  </si>
  <si>
    <t>TABLEAU PRINCIPAL — LISTE DES BENEFICIAIRES</t>
  </si>
  <si>
    <t>ID Beneficiaire</t>
  </si>
  <si>
    <t>Type de beneficiaire</t>
  </si>
  <si>
    <t>Categorie beneficiaire</t>
  </si>
  <si>
    <t>Postnom</t>
  </si>
  <si>
    <t>Prenom</t>
  </si>
  <si>
    <t>Age</t>
  </si>
  <si>
    <t>Tranche d'age</t>
  </si>
  <si>
    <t>Situation matrimoniale</t>
  </si>
  <si>
    <t>Nationalite</t>
  </si>
  <si>
    <t>ID menage</t>
  </si>
  <si>
    <t>Nom du menage</t>
  </si>
  <si>
    <t>Taille du menage</t>
  </si>
  <si>
    <t>Responsable du menage</t>
  </si>
  <si>
    <t>Nb hommes menage</t>
  </si>
  <si>
    <t>Nb femmes menage</t>
  </si>
  <si>
    <t>Nb enfants menage</t>
  </si>
  <si>
    <t>Nb pers. vulnerables menage</t>
  </si>
  <si>
    <t>Handicap</t>
  </si>
  <si>
    <t>Enfant vulnerable</t>
  </si>
  <si>
    <t>Pers. agee vulnerable</t>
  </si>
  <si>
    <t>Femme vulnerable</t>
  </si>
  <si>
    <t>Menage vulnerable</t>
  </si>
  <si>
    <t>Personne deplacee</t>
  </si>
  <si>
    <t>Autre vulnerabilite</t>
  </si>
  <si>
    <t>Niveau instruction</t>
  </si>
  <si>
    <t>Situation professionnelle</t>
  </si>
  <si>
    <t>Profession</t>
  </si>
  <si>
    <t>Secteur d'activite</t>
  </si>
  <si>
    <t>Statut professionnel</t>
  </si>
  <si>
    <t>Niveau de revenu</t>
  </si>
  <si>
    <t>Activite generatrice revenus</t>
  </si>
  <si>
    <t>Statut entrepreneurial</t>
  </si>
  <si>
    <t>Situation economique</t>
  </si>
  <si>
    <t>Quartier/Village</t>
  </si>
  <si>
    <t>Adresse / zone</t>
  </si>
  <si>
    <t>Zone d'intervention</t>
  </si>
  <si>
    <t>Telephone principal</t>
  </si>
  <si>
    <t>Telephone secondaire</t>
  </si>
  <si>
    <t>Contact urgence (nom)</t>
  </si>
  <si>
    <t>Telephone contact urgence</t>
  </si>
  <si>
    <t>ID projet</t>
  </si>
  <si>
    <t>Nom du projet</t>
  </si>
  <si>
    <t>Date integration projet</t>
  </si>
  <si>
    <t>Statut ds le projet</t>
  </si>
  <si>
    <t>Statut du beneficiaire</t>
  </si>
  <si>
    <t>Date d'inscription</t>
  </si>
  <si>
    <t>Date de sortie</t>
  </si>
  <si>
    <t>Motif de sortie</t>
  </si>
  <si>
    <t>Consentement obtenu</t>
  </si>
  <si>
    <t>Autorisation usage donnees</t>
  </si>
  <si>
    <t>Autorisation photo</t>
  </si>
  <si>
    <t>Autorisation communication</t>
  </si>
  <si>
    <t>Source information</t>
  </si>
  <si>
    <t>Date de collecte</t>
  </si>
  <si>
    <t>ID agent</t>
  </si>
  <si>
    <t>Nom de l'agent</t>
  </si>
  <si>
    <t>Fonction agent</t>
  </si>
  <si>
    <t>Methode de collecte</t>
  </si>
  <si>
    <t>Type de document</t>
  </si>
  <si>
    <t>N° / reference document</t>
  </si>
  <si>
    <t>Document verifie</t>
  </si>
  <si>
    <t>Date de verification</t>
  </si>
  <si>
    <t>Anciennete (annees)</t>
  </si>
  <si>
    <t>Nb activites suivies</t>
  </si>
  <si>
    <t>Nb appuis recus</t>
  </si>
  <si>
    <t>Alerte doublon</t>
  </si>
  <si>
    <t>Observations</t>
  </si>
  <si>
    <t>Individu</t>
  </si>
  <si>
    <t>MABIALA</t>
  </si>
  <si>
    <t>Nzoussi</t>
  </si>
  <si>
    <t>Christel</t>
  </si>
  <si>
    <t>Celibataire</t>
  </si>
  <si>
    <t>PROJ0001</t>
  </si>
  <si>
    <t>Projet d'appui a l'insertion professionnelle des jeunes</t>
  </si>
  <si>
    <t>PARTICIPATIONS AUX ACTIVITES (une ligne par participation — un beneficiaire peut en avoir plusieurs)</t>
  </si>
  <si>
    <t>ID Participation</t>
  </si>
  <si>
    <t>ID activite</t>
  </si>
  <si>
    <t>Activite</t>
  </si>
  <si>
    <t>Type d'activite</t>
  </si>
  <si>
    <t>Date participation</t>
  </si>
  <si>
    <t>Presence</t>
  </si>
  <si>
    <t>Resultat</t>
  </si>
  <si>
    <t>APPUIS / SERVICES RECUS (une ligne par appui — un beneficiaire peut en avoir plusieurs)</t>
  </si>
  <si>
    <t>ID Appui</t>
  </si>
  <si>
    <t>Type d'appui</t>
  </si>
  <si>
    <t>Quantite</t>
  </si>
  <si>
    <t>Valeur estimee</t>
  </si>
  <si>
    <t>Note : les liens vers PROJETS, ACTIVITES, SUIVI-EVALUATION et RAPPORTS seront ajoutes automatiquement des que ces feuilles seront creees, afin de ne jamais generer de lien casse.</t>
  </si>
  <si>
    <t>O.N.G BK  —  GESTION DES PROJETS</t>
  </si>
  <si>
    <t>-&gt; BENEFICIAIRES</t>
  </si>
  <si>
    <t>Derniere mise a jour : voir cellule ci-dessous  —  Cette feuille alimentera ACTIVITES, PARTENAIRES, DONATEURS, BUDGET, RECETTES/FINANCEMENTS, DEPENSES, RH, SUIVI-EVALUATION, RAPPORTS et TABLEAU DE BORD.</t>
  </si>
  <si>
    <t>SYNTHESE GENERALE DES PROJETS (calcul automatique)</t>
  </si>
  <si>
    <t>Total projets</t>
  </si>
  <si>
    <t>Approuves</t>
  </si>
  <si>
    <t>Termines</t>
  </si>
  <si>
    <t>Suspendus</t>
  </si>
  <si>
    <t>Budget total approuve (FCFA)</t>
  </si>
  <si>
    <t>Financements recus (FCFA)</t>
  </si>
  <si>
    <t>Avancement moyen (%)</t>
  </si>
  <si>
    <t>ANALYSES AUTOMATIQUES</t>
  </si>
  <si>
    <t>Statut du projet</t>
  </si>
  <si>
    <t>Nb projets</t>
  </si>
  <si>
    <t>TABLEAU PRINCIPAL — LISTE DES PROJETS</t>
  </si>
  <si>
    <t>ID Projet</t>
  </si>
  <si>
    <t>Code interne</t>
  </si>
  <si>
    <t>Titre complet du projet</t>
  </si>
  <si>
    <t>Acronyme</t>
  </si>
  <si>
    <t>Resume</t>
  </si>
  <si>
    <t>Contexte</t>
  </si>
  <si>
    <t>Probleme identifie</t>
  </si>
  <si>
    <t>Justification</t>
  </si>
  <si>
    <t>Description intervention</t>
  </si>
  <si>
    <t>Type de projet</t>
  </si>
  <si>
    <t>Objectif general</t>
  </si>
  <si>
    <t>ID responsable</t>
  </si>
  <si>
    <t>Nom du responsable</t>
  </si>
  <si>
    <t>Fonction responsable</t>
  </si>
  <si>
    <t>Telephone responsable</t>
  </si>
  <si>
    <t>Email responsable</t>
  </si>
  <si>
    <t>Zone specifique</t>
  </si>
  <si>
    <t>Date debut prevue</t>
  </si>
  <si>
    <t>Date debut reelle</t>
  </si>
  <si>
    <t>Date fin prevue</t>
  </si>
  <si>
    <t>Date fin reelle</t>
  </si>
  <si>
    <t>Duree prevue (j)</t>
  </si>
  <si>
    <t>Duree reelle (j)</t>
  </si>
  <si>
    <t>Niveau de priorite</t>
  </si>
  <si>
    <t>Budget demande (FCFA)</t>
  </si>
  <si>
    <t>Budget approuve (FCFA)</t>
  </si>
  <si>
    <t>Financement recu (FCFA)</t>
  </si>
  <si>
    <t>Depenses realisees (FCFA)</t>
  </si>
  <si>
    <t>Budget disponible (FCFA)</t>
  </si>
  <si>
    <t>Solde (FCFA)</t>
  </si>
  <si>
    <t>Taux execution budgetaire</t>
  </si>
  <si>
    <t>Nb beneficiaires prevu</t>
  </si>
  <si>
    <t>Nb femmes prevu</t>
  </si>
  <si>
    <t>Nb hommes prevu</t>
  </si>
  <si>
    <t>Nb jeunes prevu</t>
  </si>
  <si>
    <t>Nb enfants prevu</t>
  </si>
  <si>
    <t>Nb menages prevu</t>
  </si>
  <si>
    <t>Nb beneficiaires reels</t>
  </si>
  <si>
    <t>Nb femmes reelles</t>
  </si>
  <si>
    <t>Nb hommes reels</t>
  </si>
  <si>
    <t>Nb pers. vulnerables reelles</t>
  </si>
  <si>
    <t>Nb pers. handicap reelles</t>
  </si>
  <si>
    <t>Nb activites total</t>
  </si>
  <si>
    <t>Activites planifiees</t>
  </si>
  <si>
    <t>Activites en cours</t>
  </si>
  <si>
    <t>Activites realisees</t>
  </si>
  <si>
    <t>Activites annulees</t>
  </si>
  <si>
    <t>Taux realisation activites</t>
  </si>
  <si>
    <t>Taux d'avancement (%)</t>
  </si>
  <si>
    <t>Projet en retard</t>
  </si>
  <si>
    <t>Echeance proche (&lt;30j)</t>
  </si>
  <si>
    <t>Budget en depassement</t>
  </si>
  <si>
    <t>Financement insuffisant</t>
  </si>
  <si>
    <t>BK-EDU-2024-01</t>
  </si>
  <si>
    <t>PAIJ</t>
  </si>
  <si>
    <t>Formation professionnelle et accompagnement de 100 jeunes vers l'emploi.</t>
  </si>
  <si>
    <t>Ameliorer l'insertion professionnelle des jeunes de Brazzaville.</t>
  </si>
  <si>
    <t>Jean MABIALA</t>
  </si>
  <si>
    <t>Coordinateur de projet</t>
  </si>
  <si>
    <t>OBJECTIFS SPECIFIQUES PAR PROJET</t>
  </si>
  <si>
    <t>Code objectif</t>
  </si>
  <si>
    <t>Objectif specifique</t>
  </si>
  <si>
    <t>Indicateur associe</t>
  </si>
  <si>
    <t>Valeur cible</t>
  </si>
  <si>
    <t>Echeance</t>
  </si>
  <si>
    <t>RESULTATS ATTENDUS PAR PROJET</t>
  </si>
  <si>
    <t>Code resultat</t>
  </si>
  <si>
    <t>Resultat attendu</t>
  </si>
  <si>
    <t>Indicateur</t>
  </si>
  <si>
    <t>Situation reference</t>
  </si>
  <si>
    <t>Cible</t>
  </si>
  <si>
    <t>Realisation</t>
  </si>
  <si>
    <t>Taux atteinte</t>
  </si>
  <si>
    <t>EQUIPE DU PROJET</t>
  </si>
  <si>
    <t>ID employe</t>
  </si>
  <si>
    <t>Role dans le projet</t>
  </si>
  <si>
    <t>Date d'affectation</t>
  </si>
  <si>
    <t>PARTENAIRES DU PROJET</t>
  </si>
  <si>
    <t>ID partenaire</t>
  </si>
  <si>
    <t>Nom du partenaire</t>
  </si>
  <si>
    <t>Type de partenaire</t>
  </si>
  <si>
    <t>Role</t>
  </si>
  <si>
    <t>FINANCEMENTS / DONATEURS DU PROJET</t>
  </si>
  <si>
    <t>ID donateur</t>
  </si>
  <si>
    <t>Nom donateur</t>
  </si>
  <si>
    <t>Type donateur</t>
  </si>
  <si>
    <t>Source de financement</t>
  </si>
  <si>
    <t>Montant demande</t>
  </si>
  <si>
    <t>Montant accorde</t>
  </si>
  <si>
    <t>Montant recu</t>
  </si>
  <si>
    <t>Date de reception</t>
  </si>
  <si>
    <t>Fondation XYZ</t>
  </si>
  <si>
    <t>Fonds propres</t>
  </si>
  <si>
    <t>FCFA</t>
  </si>
  <si>
    <t>ZONES D'INTERVENTION DU PROJET (multi-localites)</t>
  </si>
  <si>
    <t>CALENDRIER / ETAPES DU PROJET</t>
  </si>
  <si>
    <t>Etape</t>
  </si>
  <si>
    <t>Date prevue</t>
  </si>
  <si>
    <t>Date reelle</t>
  </si>
  <si>
    <t>% realisation</t>
  </si>
  <si>
    <t>RISQUES DU PROJET</t>
  </si>
  <si>
    <t>ID risque</t>
  </si>
  <si>
    <t>Risque principal</t>
  </si>
  <si>
    <t>Niveau de risque</t>
  </si>
  <si>
    <t>Probabilite</t>
  </si>
  <si>
    <t>Impact</t>
  </si>
  <si>
    <t>Mesure d'attenuation</t>
  </si>
  <si>
    <t>INDICATEURS DU PROJET</t>
  </si>
  <si>
    <t>Code indicateur</t>
  </si>
  <si>
    <t>% atteinte</t>
  </si>
  <si>
    <t>DOCUMENTS DU PROJET</t>
  </si>
  <si>
    <t>Emplacement / lien</t>
  </si>
  <si>
    <t>O.N.G BK  —  PLANIFICATION ET SUIVI DES ACTIVITES</t>
  </si>
  <si>
    <t>-&gt; PROJETS</t>
  </si>
  <si>
    <t>Derniere mise a jour : voir cellule ci-dessous  —  Cette feuille alimente PROJETS, BENEFICIAIRES, BUDGET, RECETTES/FINANCEMENTS, DEPENSES, RESSOURCES HUMAINES, SUIVI-EVALUATION, RAPPORTS et TABLEAU DE BORD.</t>
  </si>
  <si>
    <t>SYNTHESE GENERALE DES ACTIVITES (calcul automatique)</t>
  </si>
  <si>
    <t>Total activites</t>
  </si>
  <si>
    <t>Planifiees</t>
  </si>
  <si>
    <t>Realisees</t>
  </si>
  <si>
    <t>Reportees</t>
  </si>
  <si>
    <t>Annulees</t>
  </si>
  <si>
    <t>Taux global de realisation</t>
  </si>
  <si>
    <t>Nb projets concernes</t>
  </si>
  <si>
    <t>Statut de l'activite</t>
  </si>
  <si>
    <t>Nb activites</t>
  </si>
  <si>
    <t>TABLEAU PRINCIPAL — LISTE DES ACTIVITES</t>
  </si>
  <si>
    <t>ID Activite</t>
  </si>
  <si>
    <t>Domaine d'intervention (projet)</t>
  </si>
  <si>
    <t>Responsable du projet</t>
  </si>
  <si>
    <t>Intitule de l'activite</t>
  </si>
  <si>
    <t>Objectif de l'activite</t>
  </si>
  <si>
    <t>Domaine d'intervention (activite)</t>
  </si>
  <si>
    <t>Heure debut prevue</t>
  </si>
  <si>
    <t>Heure fin prevue</t>
  </si>
  <si>
    <t>Duree prevue (h)</t>
  </si>
  <si>
    <t>Heure reelle debut</t>
  </si>
  <si>
    <t>Heure reelle fin</t>
  </si>
  <si>
    <t>Duree reelle (h)</t>
  </si>
  <si>
    <t>Activite realisee</t>
  </si>
  <si>
    <t>Niveau de realisation (%)</t>
  </si>
  <si>
    <t>Ecart (jours)</t>
  </si>
  <si>
    <t>Activite en retard</t>
  </si>
  <si>
    <t>Nom responsable</t>
  </si>
  <si>
    <t>Site exact / Adresse</t>
  </si>
  <si>
    <t>Coordonnees GPS</t>
  </si>
  <si>
    <t>Hommes prevus</t>
  </si>
  <si>
    <t>Femmes prevues</t>
  </si>
  <si>
    <t>Enfants prevus</t>
  </si>
  <si>
    <t>Jeunes prevus</t>
  </si>
  <si>
    <t>Adultes prevus</t>
  </si>
  <si>
    <t>Personnes vulnerables prevues</t>
  </si>
  <si>
    <t>Nb participants reels</t>
  </si>
  <si>
    <t>Hommes reels</t>
  </si>
  <si>
    <t>Femmes reelles</t>
  </si>
  <si>
    <t>Personnes vulnerables reelles</t>
  </si>
  <si>
    <t>Presence enregistree</t>
  </si>
  <si>
    <t>Liste de presence disponible</t>
  </si>
  <si>
    <t>Reference document presence</t>
  </si>
  <si>
    <t>Budget prevu (FCFA)</t>
  </si>
  <si>
    <t>Depense reelle (FCFA)</t>
  </si>
  <si>
    <t>Taux d'execution budgetaire</t>
  </si>
  <si>
    <t>ID financement</t>
  </si>
  <si>
    <t>Montant prevu financement (FCFA)</t>
  </si>
  <si>
    <t>Montant recu financement (FCFA)</t>
  </si>
  <si>
    <t>Statut financement</t>
  </si>
  <si>
    <t>Ressources necessaires</t>
  </si>
  <si>
    <t>Prestataire / Fournisseur</t>
  </si>
  <si>
    <t>Type de prestation</t>
  </si>
  <si>
    <t>Reference contrat</t>
  </si>
  <si>
    <t>Montant prestation (FCFA)</t>
  </si>
  <si>
    <t>Statut prestation</t>
  </si>
  <si>
    <t>Resultat obtenu</t>
  </si>
  <si>
    <t>Difficultes rencontrees</t>
  </si>
  <si>
    <t>Solutions apportees</t>
  </si>
  <si>
    <t>Ecart participants (reel-prevu)</t>
  </si>
  <si>
    <t>Ecart budgetaire (FCFA)</t>
  </si>
  <si>
    <t>Communication realisee</t>
  </si>
  <si>
    <t>Photos disponibles</t>
  </si>
  <si>
    <t>Video disponible</t>
  </si>
  <si>
    <t>Publication realisee</t>
  </si>
  <si>
    <t>Support utilise</t>
  </si>
  <si>
    <t>Lien support</t>
  </si>
  <si>
    <t>Activite evaluee</t>
  </si>
  <si>
    <t>Date evaluation</t>
  </si>
  <si>
    <t>Evaluateur</t>
  </si>
  <si>
    <t>Satisfaction (1-5)</t>
  </si>
  <si>
    <t>Lecons apprises</t>
  </si>
  <si>
    <t>Recommandations</t>
  </si>
  <si>
    <t>Nb documents justificatifs</t>
  </si>
  <si>
    <t>Nb risques/incidents</t>
  </si>
  <si>
    <t>VBG</t>
  </si>
  <si>
    <t>7h00</t>
  </si>
  <si>
    <t>EQUIPE MOBILISEE PAR ACTIVITE</t>
  </si>
  <si>
    <t>Role dans l'activite</t>
  </si>
  <si>
    <t>INDICATEURS DE L'ACTIVITE</t>
  </si>
  <si>
    <t>RISQUES ET INCIDENTS DE L'ACTIVITE</t>
  </si>
  <si>
    <t>Risque/incident</t>
  </si>
  <si>
    <t>Niveau</t>
  </si>
  <si>
    <t>Mesure prise</t>
  </si>
  <si>
    <t>DOCUMENTS JUSTIFICATIFS DE L'ACTIVITE</t>
  </si>
  <si>
    <t>ANALYSE DES ACTIVITES PAR PROJET</t>
  </si>
  <si>
    <t>Activites prevues</t>
  </si>
  <si>
    <t>Taux de realisation</t>
  </si>
  <si>
    <t>ANALYSE DES ACTIVITES PAR DOMAINE</t>
  </si>
  <si>
    <t>Taux</t>
  </si>
  <si>
    <t>Note : la feuille ACTIVITES est interconnectee avec PARAMETRES (referentiels), PROJETS (rattachement), BENEFICIAIRES (participation via tbl_Beneficiaires_Activites), et alimentera RESSOURCES HUMAINES, BUDGET, RECETTES/FINANCEMENTS, DEPENSES, SUIVI-EVALUATION, RAPPORTS et TABLEAU DE BORD des leur creation. La prochaine feuille sera PARTENAIRES.</t>
  </si>
  <si>
    <t>O.N.G BK  —  GESTION DES PARTENAIRES</t>
  </si>
  <si>
    <t>-&gt; ACTIVITES</t>
  </si>
  <si>
    <t>Derniere mise a jour : voir cellule ci-dessous  —  Cette feuille alimente PROJETS, ACTIVITES, DONATEURS, RECETTES/FINANCEMENTS, DEPENSES, RESSOURCES HUMAINES, SUIVI-EVALUATION, RAPPORTS et TABLEAU DE BORD.</t>
  </si>
  <si>
    <t>LEGENDE : texte bleu = champ a completer manuellement | texte vert italique = donnee calculee automatiquement | ne pas modifier les colonnes calculees | cellule grisee = calcul automatique.</t>
  </si>
  <si>
    <t>SYNTHESE GENERALE DES PARTENAIRES (calcul automatique)</t>
  </si>
  <si>
    <t>Total partenaires</t>
  </si>
  <si>
    <t>Prospects</t>
  </si>
  <si>
    <t>Inactifs</t>
  </si>
  <si>
    <t>Techniques</t>
  </si>
  <si>
    <t>Financiers</t>
  </si>
  <si>
    <t>Institutionnels</t>
  </si>
  <si>
    <t>Conventions actives</t>
  </si>
  <si>
    <t>Conventions a renouveler (&lt;=60j)</t>
  </si>
  <si>
    <t>Statut du partenaire</t>
  </si>
  <si>
    <t>Nb partenaires</t>
  </si>
  <si>
    <t>Domaine de collaboration</t>
  </si>
  <si>
    <t>Prospect</t>
  </si>
  <si>
    <t>En discussion</t>
  </si>
  <si>
    <t>En partenariat</t>
  </si>
  <si>
    <t>A renouveler</t>
  </si>
  <si>
    <t>TABLEAU PRINCIPAL — LISTE DES PARTENAIRES</t>
  </si>
  <si>
    <t>ID Partenaire</t>
  </si>
  <si>
    <t>Nom officiel</t>
  </si>
  <si>
    <t>Categorie de partenariat</t>
  </si>
  <si>
    <t>Pays d'origine</t>
  </si>
  <si>
    <t>Localite (siege)</t>
  </si>
  <si>
    <t>Pays (siege)</t>
  </si>
  <si>
    <t>Departement (siege)</t>
  </si>
  <si>
    <t>Commune/District (siege)</t>
  </si>
  <si>
    <t>Arrondissement (siege)</t>
  </si>
  <si>
    <t>Adresse / site exact (siege)</t>
  </si>
  <si>
    <t>Email general</t>
  </si>
  <si>
    <t>Nom contact principal</t>
  </si>
  <si>
    <t>Prenom contact principal</t>
  </si>
  <si>
    <t>Fonction contact principal</t>
  </si>
  <si>
    <t>Telephone contact principal</t>
  </si>
  <si>
    <t>Email contact principal</t>
  </si>
  <si>
    <t>WhatsApp contact principal</t>
  </si>
  <si>
    <t>Date debut fonction contact</t>
  </si>
  <si>
    <t>Statut contact principal</t>
  </si>
  <si>
    <t>Domaine de collaboration principal</t>
  </si>
  <si>
    <t>Domaine de collaboration secondaire</t>
  </si>
  <si>
    <t>Localite d'intervention</t>
  </si>
  <si>
    <t>Pays d'intervention</t>
  </si>
  <si>
    <t>Departement d'intervention</t>
  </si>
  <si>
    <t>Commune d'intervention</t>
  </si>
  <si>
    <t>Arrondissement d'intervention</t>
  </si>
  <si>
    <t>Date debut collaboration</t>
  </si>
  <si>
    <t>Date fin collaboration</t>
  </si>
  <si>
    <t>Niveau de partenariat</t>
  </si>
  <si>
    <t>Contribution financiere prevue (FCFA)</t>
  </si>
  <si>
    <t>Contribution financiere recue (FCFA)</t>
  </si>
  <si>
    <t>Ecart contribution (FCFA)</t>
  </si>
  <si>
    <t>Type de contribution principale</t>
  </si>
  <si>
    <t>Nb projets associes</t>
  </si>
  <si>
    <t>Nb conventions</t>
  </si>
  <si>
    <t>Alerte convention a renouveler (&lt;=60j)</t>
  </si>
  <si>
    <t>Nb documents</t>
  </si>
  <si>
    <t>Note globale evaluation (/5)</t>
  </si>
  <si>
    <t>Date derniere evaluation</t>
  </si>
  <si>
    <t>Nb risques identifies</t>
  </si>
  <si>
    <t>Risque eleve/critique present</t>
  </si>
  <si>
    <t>Nb contacts secondaires</t>
  </si>
  <si>
    <t>Nb opportunites en cours</t>
  </si>
  <si>
    <t>Nb actions de prospection</t>
  </si>
  <si>
    <t>ID responsable interne</t>
  </si>
  <si>
    <t>Nom responsable interne</t>
  </si>
  <si>
    <t>Fonction responsable interne</t>
  </si>
  <si>
    <t>Telephone responsable interne</t>
  </si>
  <si>
    <t>Email responsable interne</t>
  </si>
  <si>
    <t>Autre reseau</t>
  </si>
  <si>
    <t>Newsletter (Oui/Non)</t>
  </si>
  <si>
    <t>Contact presse</t>
  </si>
  <si>
    <t>Doublon potentiel</t>
  </si>
  <si>
    <t>ANALYSE PAR ZONE (DEPARTEMENT)</t>
  </si>
  <si>
    <t>Lekoumou</t>
  </si>
  <si>
    <t>CONTACTS SECONDAIRES DES PARTENAIRES</t>
  </si>
  <si>
    <t>ID contact</t>
  </si>
  <si>
    <t>Principal</t>
  </si>
  <si>
    <t>PROJETS ASSOCIES AUX PARTENAIRES</t>
  </si>
  <si>
    <t>Role du partenaire</t>
  </si>
  <si>
    <t>Date debut</t>
  </si>
  <si>
    <t>Date fin</t>
  </si>
  <si>
    <t>CONVENTIONS ET ACCORDS</t>
  </si>
  <si>
    <t>Type de convention</t>
  </si>
  <si>
    <t>Date signature</t>
  </si>
  <si>
    <t>Jours avant echeance</t>
  </si>
  <si>
    <t>DOCUMENTS DES PARTENAIRES</t>
  </si>
  <si>
    <t>Emplacement/lien</t>
  </si>
  <si>
    <t>HISTORIQUE DE COLLABORATION</t>
  </si>
  <si>
    <t>Projet/Activite concerne</t>
  </si>
  <si>
    <t>Action</t>
  </si>
  <si>
    <t>EVALUATION DES PARTENAIRES</t>
  </si>
  <si>
    <t>Qualite collaboration (1-5)</t>
  </si>
  <si>
    <t>Respect engagements (1-5)</t>
  </si>
  <si>
    <t>Reactivite (1-5)</t>
  </si>
  <si>
    <t>Contribution (1-5)</t>
  </si>
  <si>
    <t>Fiabilite (1-5)</t>
  </si>
  <si>
    <t>Note globale</t>
  </si>
  <si>
    <t>Commentaires</t>
  </si>
  <si>
    <t>RISQUES LIES AUX PARTENARIATS</t>
  </si>
  <si>
    <t>Risque</t>
  </si>
  <si>
    <t>OPPORTUNITES DE COLLABORATION</t>
  </si>
  <si>
    <t>Opportunite identifiee</t>
  </si>
  <si>
    <t>Projet potentiel</t>
  </si>
  <si>
    <t>Prochaine action</t>
  </si>
  <si>
    <t>PROSPECTION ET DEVELOPPEMENT DE PARTENARIATS</t>
  </si>
  <si>
    <t>Date premier contact</t>
  </si>
  <si>
    <t>Moyen de contact</t>
  </si>
  <si>
    <t>Personne contactee</t>
  </si>
  <si>
    <t>Objet</t>
  </si>
  <si>
    <t>Date de relance</t>
  </si>
  <si>
    <t>O.N.G BK  —  GESTION DES DONATEURS &amp; OPPORTUNITES DE FINANCEMENT</t>
  </si>
  <si>
    <t>-&gt; PARTENAIRES</t>
  </si>
  <si>
    <t>Derniere mise a jour : voir cellule ci-dessous  —  Cette feuille est alimentee par PARTENAIRES et alimente PROJETS, BUDGET, RECETTES/FINANCEMENTS, DEPENSES, SUIVI-EVALUATION, RAPPORTS et TABLEAU DE BORD.</t>
  </si>
  <si>
    <t>SYNTHESE GENERALE DES DONATEURS (calcul automatique)</t>
  </si>
  <si>
    <t>Total donateurs</t>
  </si>
  <si>
    <t>Potentiels (prospects)</t>
  </si>
  <si>
    <t>Nb opportunites</t>
  </si>
  <si>
    <t>Opportunites ouvertes</t>
  </si>
  <si>
    <t>Demandes soumises</t>
  </si>
  <si>
    <t>Financements obtenus</t>
  </si>
  <si>
    <t>Montant total demande (FCFA)</t>
  </si>
  <si>
    <t>Montant total obtenu (FCFA)</t>
  </si>
  <si>
    <t>Taux de reussite (%)</t>
  </si>
  <si>
    <t>Statut du donateur</t>
  </si>
  <si>
    <t>Nb donateurs</t>
  </si>
  <si>
    <t>Type de donateur</t>
  </si>
  <si>
    <t>Domaine finance principal</t>
  </si>
  <si>
    <t>Contact etabli</t>
  </si>
  <si>
    <t>Financement obtenu</t>
  </si>
  <si>
    <t>A relancer</t>
  </si>
  <si>
    <t>TABLEAU PRINCIPAL — LISTE DES DONATEURS</t>
  </si>
  <si>
    <t>ID Donateur</t>
  </si>
  <si>
    <t>Categorie de financement</t>
  </si>
  <si>
    <t>Adresse</t>
  </si>
  <si>
    <t>Pays contact principal</t>
  </si>
  <si>
    <t>Ville contact principal</t>
  </si>
  <si>
    <t>Domaine finance secondaire</t>
  </si>
  <si>
    <t>Localite financee</t>
  </si>
  <si>
    <t>Pays finance</t>
  </si>
  <si>
    <t>Departement finance</t>
  </si>
  <si>
    <t>Commune finance</t>
  </si>
  <si>
    <t>Date premiere prise de contact</t>
  </si>
  <si>
    <t>Responsable interne</t>
  </si>
  <si>
    <t>Dernier contact</t>
  </si>
  <si>
    <t>Prochain contact</t>
  </si>
  <si>
    <t>Mode de communication</t>
  </si>
  <si>
    <t>Statut de la relation</t>
  </si>
  <si>
    <t>Nb demandes</t>
  </si>
  <si>
    <t>Nb financements obtenus</t>
  </si>
  <si>
    <t>Montant total accorde (FCFA)</t>
  </si>
  <si>
    <t>Montant total recu (FCFA)</t>
  </si>
  <si>
    <t>Dernier financement (date)</t>
  </si>
  <si>
    <t>Financement moyen (FCFA)</t>
  </si>
  <si>
    <t>Alerte a relancer</t>
  </si>
  <si>
    <t>AUSP</t>
  </si>
  <si>
    <t>Courrier</t>
  </si>
  <si>
    <t>CONTACTS SECONDAIRES DES DONATEURS</t>
  </si>
  <si>
    <t>WhatsApp</t>
  </si>
  <si>
    <t>OPPORTUNITES DE FINANCEMENT</t>
  </si>
  <si>
    <t>ID opportunite</t>
  </si>
  <si>
    <t>Nom du programme</t>
  </si>
  <si>
    <t>Titre de l'appel</t>
  </si>
  <si>
    <t>Zone geographique</t>
  </si>
  <si>
    <t>Montant minimum</t>
  </si>
  <si>
    <t>Montant maximum</t>
  </si>
  <si>
    <t>Taux de cofinancement</t>
  </si>
  <si>
    <t>Duree maximale (mois)</t>
  </si>
  <si>
    <t>Date ouverture</t>
  </si>
  <si>
    <t>Date cloture</t>
  </si>
  <si>
    <t>Lien vers l'appel</t>
  </si>
  <si>
    <t>ONG eligible</t>
  </si>
  <si>
    <t>Score global (/100)</t>
  </si>
  <si>
    <t>Candidater</t>
  </si>
  <si>
    <t>Decision</t>
  </si>
  <si>
    <t>Date de decision</t>
  </si>
  <si>
    <t>DEMANDES DE FINANCEMENT</t>
  </si>
  <si>
    <t>ID demande</t>
  </si>
  <si>
    <t>Date de soumission</t>
  </si>
  <si>
    <t>Date limite</t>
  </si>
  <si>
    <t>Date de notification</t>
  </si>
  <si>
    <t>Motif du rejet</t>
  </si>
  <si>
    <t>Commentaire</t>
  </si>
  <si>
    <t>DECAISSEMENTS</t>
  </si>
  <si>
    <t>ID decaissement</t>
  </si>
  <si>
    <t>Date recue</t>
  </si>
  <si>
    <t>Montant prevu</t>
  </si>
  <si>
    <t>CONVENTIONS DE FINANCEMENT</t>
  </si>
  <si>
    <t>Reference de convention</t>
  </si>
  <si>
    <t>Montant contractuel</t>
  </si>
  <si>
    <t>Modalites de decaissement</t>
  </si>
  <si>
    <t>Conditions particulieres</t>
  </si>
  <si>
    <t>RAPPORTING AUX DONATEURS</t>
  </si>
  <si>
    <t>Type de rapport</t>
  </si>
  <si>
    <t>HISTORIQUE DES RELATIONS</t>
  </si>
  <si>
    <t>DOCUMENTS DES DONATEURS</t>
  </si>
  <si>
    <t>SYNTHESE FINANCIERE (calcul automatique)</t>
  </si>
  <si>
    <t>Montant (FCFA)</t>
  </si>
  <si>
    <t>Total demande</t>
  </si>
  <si>
    <t>Total accorde</t>
  </si>
  <si>
    <t>Total recu</t>
  </si>
  <si>
    <t>Solde a recevoir</t>
  </si>
  <si>
    <t>Nombre de financements obtenus</t>
  </si>
  <si>
    <t>ANALYSE DES OPPORTUNITES ET TAUX DE REUSSITE</t>
  </si>
  <si>
    <t>Nombre d'opportunites</t>
  </si>
  <si>
    <t>Opportunites a venir</t>
  </si>
  <si>
    <t>Opportunites cloturees</t>
  </si>
  <si>
    <t>Opportunites ou l'ONG candidate</t>
  </si>
  <si>
    <t>Demandes approuvees (gagnees)</t>
  </si>
  <si>
    <t>Demandes rejetees (perdues)</t>
  </si>
  <si>
    <t>Taux de reussite global</t>
  </si>
  <si>
    <t>ANALYSE PAR DOMAINE (alimente le TABLEAU DE BORD)</t>
  </si>
  <si>
    <t>Opportunites</t>
  </si>
  <si>
    <t>Demandes</t>
  </si>
  <si>
    <t>Montant obtenu (FCFA)</t>
  </si>
  <si>
    <t>O.N.G BK  —  GESTION ET SUIVI BUDGETAIRE</t>
  </si>
  <si>
    <t>-&gt; DONATEURS</t>
  </si>
  <si>
    <t>Derniere mise a jour : voir cellule ci-dessous  —  Cette feuille est alimentee par PROJETS, ACTIVITES, DONATEURS et PARAMETRES, et alimente RECETTES/FINANCEMENTS, DEPENSES, RESSOURCES HUMAINES, LOGISTIQUE &amp; IMMOBILISATIONS, SUIVI-EVALUATION, RAPPORTS et TABLEAU DE BORD.</t>
  </si>
  <si>
    <t>SYNTHESE GENERALE DU BUDGET (calcul automatique)</t>
  </si>
  <si>
    <t>Budget total (FCFA)</t>
  </si>
  <si>
    <t>Budget approuve/revise (FCFA)</t>
  </si>
  <si>
    <t>Montant engage (FCFA)</t>
  </si>
  <si>
    <t>Solde disponible (FCFA)</t>
  </si>
  <si>
    <t>Taux d'execution (%)</t>
  </si>
  <si>
    <t>Nb projets budgetises</t>
  </si>
  <si>
    <t>Nb lignes budgetaires</t>
  </si>
  <si>
    <t>Annee selectionnee</t>
  </si>
  <si>
    <t>Statut budgetaire</t>
  </si>
  <si>
    <t>Nb lignes</t>
  </si>
  <si>
    <t>Type de budget</t>
  </si>
  <si>
    <t>Statut d'alerte</t>
  </si>
  <si>
    <t>Normal</t>
  </si>
  <si>
    <t>Vigilance</t>
  </si>
  <si>
    <t>Depassement</t>
  </si>
  <si>
    <t>SYNTHESE COFINANCEMENT (calcul automatique)</t>
  </si>
  <si>
    <t>Contribution ONG (FCFA)</t>
  </si>
  <si>
    <t>Contribution bailleur (FCFA)</t>
  </si>
  <si>
    <t>Contribution partenaires (FCFA)</t>
  </si>
  <si>
    <t>Autres contributions (FCFA)</t>
  </si>
  <si>
    <t>Total cofinance (FCFA)</t>
  </si>
  <si>
    <t>% ONG</t>
  </si>
  <si>
    <t>% Bailleur</t>
  </si>
  <si>
    <t>% Partenaires</t>
  </si>
  <si>
    <t>% Autres</t>
  </si>
  <si>
    <t>TABLEAU PRINCIPAL — LIGNES BUDGETAIRES</t>
  </si>
  <si>
    <t>ID Budget</t>
  </si>
  <si>
    <t>Annee budgetaire</t>
  </si>
  <si>
    <t>Exercice budgetaire</t>
  </si>
  <si>
    <t>Intitule activite</t>
  </si>
  <si>
    <t>Donateur</t>
  </si>
  <si>
    <t>ID Financement</t>
  </si>
  <si>
    <t>Categorie budgetaire</t>
  </si>
  <si>
    <t>Code ligne</t>
  </si>
  <si>
    <t>Cout unitaire (FCFA)</t>
  </si>
  <si>
    <t>Montant prevu (FCFA)</t>
  </si>
  <si>
    <t>Montant soumis (FCFA)</t>
  </si>
  <si>
    <t>Montant approuve (FCFA)</t>
  </si>
  <si>
    <t>Ecart approbation (FCFA)</t>
  </si>
  <si>
    <t>Budget revise (FCFA)</t>
  </si>
  <si>
    <t>Date revision</t>
  </si>
  <si>
    <t>Motif revision</t>
  </si>
  <si>
    <t>Version budget</t>
  </si>
  <si>
    <t>Autorite validation</t>
  </si>
  <si>
    <t>Budget de reference (FCFA)</t>
  </si>
  <si>
    <t>Solde budgetaire (FCFA)</t>
  </si>
  <si>
    <t>Solde apres engagements (FCFA)</t>
  </si>
  <si>
    <t>Ecart (%)</t>
  </si>
  <si>
    <t>Statut alerte</t>
  </si>
  <si>
    <t>% Contribution ONG</t>
  </si>
  <si>
    <t>% Contribution bailleur</t>
  </si>
  <si>
    <t>Rang projet (technique)</t>
  </si>
  <si>
    <t>Rang projet-annee (technique)</t>
  </si>
  <si>
    <t>ACT00001</t>
  </si>
  <si>
    <t>DON00001</t>
  </si>
  <si>
    <t>Donne fournisseur</t>
  </si>
  <si>
    <t>REPARTITION MENSUELLE ET TRIMESTRIELLE DU BUDGET (calcul automatique / saisie mensuelle)</t>
  </si>
  <si>
    <t>Jan</t>
  </si>
  <si>
    <t>Fev</t>
  </si>
  <si>
    <t>Mar</t>
  </si>
  <si>
    <t>Avr</t>
  </si>
  <si>
    <t>Jun</t>
  </si>
  <si>
    <t>Jul</t>
  </si>
  <si>
    <t>Aou</t>
  </si>
  <si>
    <t>Sep</t>
  </si>
  <si>
    <t>Oct</t>
  </si>
  <si>
    <t>Nov</t>
  </si>
  <si>
    <t>Dec</t>
  </si>
  <si>
    <t>Total annuel (FCFA)</t>
  </si>
  <si>
    <t>SYNTHESE PAR PROJET (calcul automatique)</t>
  </si>
  <si>
    <t>SYNTHESE PAR DOMAINE D'INTERVENTION (calcul automatique)</t>
  </si>
  <si>
    <t>SYNTHESE PAR CATEGORIE BUDGETAIRE (calcul automatique)</t>
  </si>
  <si>
    <t>SYNTHESE PAR DONATEUR (calcul automatique)</t>
  </si>
  <si>
    <t>BUDGET DE FONCTIONNEMENT (saisie manuelle)</t>
  </si>
  <si>
    <t>Categorie</t>
  </si>
  <si>
    <t>Montant realise (FCFA)</t>
  </si>
  <si>
    <t>Salaires</t>
  </si>
  <si>
    <t>Loyers</t>
  </si>
  <si>
    <t>Electricite</t>
  </si>
  <si>
    <t>Eau</t>
  </si>
  <si>
    <t>Telecommunications</t>
  </si>
  <si>
    <t>Frais administratifs</t>
  </si>
  <si>
    <t>Autres charges</t>
  </si>
  <si>
    <t>BUDGET D'INVESTISSEMENT (saisie manuelle)</t>
  </si>
  <si>
    <t>ID Investissement</t>
  </si>
  <si>
    <t>Immobilisation</t>
  </si>
  <si>
    <t>HISTORIQUE DES REVISIONS BUDGETAIRES (saisie manuelle, ne jamais ecraser)</t>
  </si>
  <si>
    <t>Version</t>
  </si>
  <si>
    <t>Montant revise (FCFA)</t>
  </si>
  <si>
    <t>Motif</t>
  </si>
  <si>
    <t>Valide par</t>
  </si>
  <si>
    <t>ALERTES BUDGETAIRES (calcul automatique)</t>
  </si>
  <si>
    <t>Type d'alerte</t>
  </si>
  <si>
    <t>Lignes budgetaires sans montant approuve</t>
  </si>
  <si>
    <t>Lignes budgetaires en depassement (&gt;100%)</t>
  </si>
  <si>
    <t>Lignes budgetaires en vigilance (80%-100%)</t>
  </si>
  <si>
    <t>Budgets non approuves (Preparation ou Soumis)</t>
  </si>
  <si>
    <t>Lignes budgetaires sans projet associe</t>
  </si>
  <si>
    <t>Lignes budgetaires sans activite associee</t>
  </si>
  <si>
    <t>Lignes budgetaires sans financement associe</t>
  </si>
  <si>
    <t>Projets sans aucune ligne budgetaire</t>
  </si>
  <si>
    <t>FILTRES ET RECHERCHE : utilisez les fleches d'auto-filtre sur l'entete du tableau principal (Annee, Projet, Activite, Donateur, Domaine, Categorie, Type de budget, Statut) et la cellule J7 'Annee selectionnee' pour filtrer les indicateurs de synthese. Recherche rapide possible par ID Budget, ID Projet, ID Activite ou Code ligne via Ctrl+F.</t>
  </si>
  <si>
    <t>O.N.G BK  —  GESTION DES RECETTES &amp; FINANCEMENTS</t>
  </si>
  <si>
    <t>-&gt; BUDGET</t>
  </si>
  <si>
    <t>Derniere mise a jour : voir cellule ci-dessous  —  Cette feuille est alimentee par DONATEURS, PROJETS, ACTIVITES, BUDGET et PARAMETRES, et alimente DEPENSES, RAPPORTS et TABLEAU DE BORD.</t>
  </si>
  <si>
    <t>SYNTHESE GENERALE DES RECETTES / FINANCEMENTS (calcul automatique)</t>
  </si>
  <si>
    <t>Montant attendu (FCFA)</t>
  </si>
  <si>
    <t>Montant recu (FCFA)</t>
  </si>
  <si>
    <t>Solde a recevoir (FCFA)</t>
  </si>
  <si>
    <t>Recettes propres (FCFA)</t>
  </si>
  <si>
    <t>Nb operations</t>
  </si>
  <si>
    <t>Nb donateurs distincts</t>
  </si>
  <si>
    <t>Nb projets finances</t>
  </si>
  <si>
    <t>Taux de decaissement (%)</t>
  </si>
  <si>
    <t>Statut de la recette</t>
  </si>
  <si>
    <t>Nb</t>
  </si>
  <si>
    <t>Type d'operation</t>
  </si>
  <si>
    <t>Retard</t>
  </si>
  <si>
    <t>Relance necessaire</t>
  </si>
  <si>
    <t>Recu integralement</t>
  </si>
  <si>
    <t>SYNTHESE PAR ANNEE (calcul automatique)</t>
  </si>
  <si>
    <t>TABLEAU PRINCIPAL — RECETTES / FINANCEMENTS</t>
  </si>
  <si>
    <t>ID Recette</t>
  </si>
  <si>
    <t>ID Decaissement (DONATEURS)</t>
  </si>
  <si>
    <t>Nom du donateur</t>
  </si>
  <si>
    <t>Responsable projet</t>
  </si>
  <si>
    <t>ID Budget (ligne budgetaire)</t>
  </si>
  <si>
    <t>Financement affecte</t>
  </si>
  <si>
    <t>Recette propre</t>
  </si>
  <si>
    <t>Date operation (effective)</t>
  </si>
  <si>
    <t>Taux de change</t>
  </si>
  <si>
    <t>Montant recu (devise orig.)</t>
  </si>
  <si>
    <t>Moyen de reception</t>
  </si>
  <si>
    <t>Compte / reference compte</t>
  </si>
  <si>
    <t>Reference transaction</t>
  </si>
  <si>
    <t>Numero de recu</t>
  </si>
  <si>
    <t>Date de valeur</t>
  </si>
  <si>
    <t>Piece justificative - type</t>
  </si>
  <si>
    <t>Piece justificative - reference</t>
  </si>
  <si>
    <t>Piece justificative - date</t>
  </si>
  <si>
    <t>Piece justificative - statut</t>
  </si>
  <si>
    <t>Piece justificative - lien/emplacement</t>
  </si>
  <si>
    <t>Responsable du suivi</t>
  </si>
  <si>
    <t>Derniere relance</t>
  </si>
  <si>
    <t>Prochaine relance</t>
  </si>
  <si>
    <t>Nombre de relances</t>
  </si>
  <si>
    <t>Moyen de contact relance</t>
  </si>
  <si>
    <t>Resultat relance</t>
  </si>
  <si>
    <t>Commentaire relance</t>
  </si>
  <si>
    <t>Rapprochement - Enregistree</t>
  </si>
  <si>
    <t>Rapprochement - Sur releve</t>
  </si>
  <si>
    <t>Rapprochement - Rapprochee</t>
  </si>
  <si>
    <t>Date de rapprochement</t>
  </si>
  <si>
    <t>Responsable rapprochement</t>
  </si>
  <si>
    <t>Rang donateur (technique)</t>
  </si>
  <si>
    <t>ALERTES (calcul automatique)</t>
  </si>
  <si>
    <t>Alerte</t>
  </si>
  <si>
    <t>Signification</t>
  </si>
  <si>
    <t>Financement en retard (date prevue depassee, rien recu)</t>
  </si>
  <si>
    <t>Une relance devait etre faite a ce jour</t>
  </si>
  <si>
    <t>Solde a recevoir superieur a 50% du montant attendu</t>
  </si>
  <si>
    <t>Financement entierement recu</t>
  </si>
  <si>
    <t>Situation normale, sans alerte particuliere</t>
  </si>
  <si>
    <t>O.N.G BK  —  GESTION ET SUIVI DES DEPENSES</t>
  </si>
  <si>
    <t>-&gt; RECETTES</t>
  </si>
  <si>
    <t>Derniere mise a jour : voir cellule ci-dessous  —  Cette feuille est alimentee par BUDGET, PROJETS, ACTIVITES, DONATEURS, RECETTES et PARAMETRES, et alimente BUDGET, PROJETS, ACTIVITES, RESSOURCES HUMAINES, LOGISTIQUE &amp; IMMOBILISATIONS, RAPPORTS et TABLEAU DE BORD.</t>
  </si>
  <si>
    <t>SYNTHESE GENERALE DES DEPENSES (calcul automatique)</t>
  </si>
  <si>
    <t>Total des depenses (FCFA)</t>
  </si>
  <si>
    <t>Depenses du mois (FCFA)</t>
  </si>
  <si>
    <t>Depenses de l'annee en cours (FCFA)</t>
  </si>
  <si>
    <t>Depenses engagees (FCFA)</t>
  </si>
  <si>
    <t>Depenses payees (FCFA)</t>
  </si>
  <si>
    <t>Depenses en attente (FCFA)</t>
  </si>
  <si>
    <t>Budget consomme (%)</t>
  </si>
  <si>
    <t>Statut de la depense</t>
  </si>
  <si>
    <t>Type de depense</t>
  </si>
  <si>
    <t>Centre de cout</t>
  </si>
  <si>
    <t>Depassement budgetaire</t>
  </si>
  <si>
    <t>Demande soumise</t>
  </si>
  <si>
    <t>Pieces manquantes</t>
  </si>
  <si>
    <t>En validation</t>
  </si>
  <si>
    <t>Programme</t>
  </si>
  <si>
    <t>Depense non validee</t>
  </si>
  <si>
    <t>Engagement non paye</t>
  </si>
  <si>
    <t>Fonctionnement</t>
  </si>
  <si>
    <t>Paiement en attente</t>
  </si>
  <si>
    <t>Partiellement payee</t>
  </si>
  <si>
    <t>Investissement</t>
  </si>
  <si>
    <t>Paiement partiel</t>
  </si>
  <si>
    <t>Payee</t>
  </si>
  <si>
    <t>Rapprochement manquant</t>
  </si>
  <si>
    <t>Rejetee</t>
  </si>
  <si>
    <t>Dossier complet et paye</t>
  </si>
  <si>
    <t>Rapprochee</t>
  </si>
  <si>
    <t>Depenses (FCFA)</t>
  </si>
  <si>
    <t>ANALYSE PAR PROJET (calcul automatique)</t>
  </si>
  <si>
    <t>Budget (FCFA)</t>
  </si>
  <si>
    <t>Engage (FCFA)</t>
  </si>
  <si>
    <t>Depense (FCFA)</t>
  </si>
  <si>
    <t>ANALYSE PAR DONATEUR / FINANCEMENT (calcul automatique)</t>
  </si>
  <si>
    <t>ANALYSE PAR PERIODE - MENSUELLE (annee selectionnee en I8) (calcul automatique)</t>
  </si>
  <si>
    <t>TABLEAU PRINCIPAL — DEPENSES</t>
  </si>
  <si>
    <t>ID Depense</t>
  </si>
  <si>
    <t>Code ligne budgetaire</t>
  </si>
  <si>
    <t>Beneficiaire du paiement</t>
  </si>
  <si>
    <t>Telephone beneficiaire</t>
  </si>
  <si>
    <t>E-mail beneficiaire</t>
  </si>
  <si>
    <t>Objet de la depense</t>
  </si>
  <si>
    <t>Description detaillee</t>
  </si>
  <si>
    <t>Prix unitaire (devise orig.)</t>
  </si>
  <si>
    <t>Montant HT (devise orig.)</t>
  </si>
  <si>
    <t>Taxes (devise orig.)</t>
  </si>
  <si>
    <t>Autres frais (devise orig.)</t>
  </si>
  <si>
    <t>Montant TTC (devise orig.)</t>
  </si>
  <si>
    <t>Montant TTC (FCFA)</t>
  </si>
  <si>
    <t>Mode de paiement</t>
  </si>
  <si>
    <t>Banque / Compte utilise</t>
  </si>
  <si>
    <t>Reference du paiement</t>
  </si>
  <si>
    <t>Nom du demandeur</t>
  </si>
  <si>
    <t>Fonction demandeur</t>
  </si>
  <si>
    <t>Date de demande</t>
  </si>
  <si>
    <t>Validateur</t>
  </si>
  <si>
    <t>Fonction validateur</t>
  </si>
  <si>
    <t>Date de validation</t>
  </si>
  <si>
    <t>Decision de validation</t>
  </si>
  <si>
    <t>Depense engagee (Oui/Non)</t>
  </si>
  <si>
    <t>Date d'engagement</t>
  </si>
  <si>
    <t>Reference engagement</t>
  </si>
  <si>
    <t>Paiement effectue (Oui/Non)</t>
  </si>
  <si>
    <t>Date de paiement</t>
  </si>
  <si>
    <t>Montant paye (FCFA)</t>
  </si>
  <si>
    <t>Solde a payer (FCFA)</t>
  </si>
  <si>
    <t>Piece justificative - disponible (Oui/Non)</t>
  </si>
  <si>
    <t>Dossier complet (Oui/Non)</t>
  </si>
  <si>
    <t>Rapprochement bancaire effectue (Oui/Non)</t>
  </si>
  <si>
    <t>Compte comptable</t>
  </si>
  <si>
    <t>Code analytique</t>
  </si>
  <si>
    <t>Date operation (retenue pour analyse)</t>
  </si>
  <si>
    <t>Budget disponible avant depense (FCFA)</t>
  </si>
  <si>
    <t>Budget restant apres depense (FCFA)</t>
  </si>
  <si>
    <t>Poids sur budget de la ligne (%)</t>
  </si>
  <si>
    <t>Rang categorie budgetaire (technique)</t>
  </si>
  <si>
    <t>BUD0001</t>
  </si>
  <si>
    <t>Fournisseur</t>
  </si>
  <si>
    <t>O.N.G BK  —  GESTION DES RESSOURCES HUMAINES</t>
  </si>
  <si>
    <t>-&gt; DEPENSES</t>
  </si>
  <si>
    <t>Derniere mise a jour : voir cellule ci-dessous  —  Cette feuille est alimentee par PARAMETRES, PROJETS et ACTIVITES, et alimente BUDGET, DEPENSES, LOGISTIQUE &amp; IMMOBILISATIONS, SUIVI-EVALUATION, RAPPORTS et TABLEAU DE BORD.</t>
  </si>
  <si>
    <t>LEGENDE : texte bleu = champ a completer manuellement | texte vert italique = donnee calculee automatiquement | ne pas modifier les colonnes calculees | cellule grisee = calcul automatique | les donnees de remuneration (colonnes AF a AK) sont confidentielles : a ne pas afficher dans le TABLEAU DE BORD general.</t>
  </si>
  <si>
    <t>SYNTHESE GENERALE DES RESSOURCES HUMAINES (calcul automatique)</t>
  </si>
  <si>
    <t>Permanents (CDI)</t>
  </si>
  <si>
    <t>Contractuels (CDD)</t>
  </si>
  <si>
    <t>Consultants / Prestataires</t>
  </si>
  <si>
    <t>Benevoles / Volontaires</t>
  </si>
  <si>
    <t>Nouveaux (12 derniers mois)</t>
  </si>
  <si>
    <t>Contrats a renouveler (&lt;=60j)</t>
  </si>
  <si>
    <t xml:space="preserve"> </t>
  </si>
  <si>
    <t>Statut du personnel</t>
  </si>
  <si>
    <t>Type de collaboration</t>
  </si>
  <si>
    <t>Service / Departement</t>
  </si>
  <si>
    <t>Alerte RH</t>
  </si>
  <si>
    <t>Contrats expires</t>
  </si>
  <si>
    <t>Documents manquants</t>
  </si>
  <si>
    <t>Competences/certifs a renouveler (&lt;=60j)</t>
  </si>
  <si>
    <t>Conges en attente de validation</t>
  </si>
  <si>
    <t>Actifs avec contrat a jour</t>
  </si>
  <si>
    <t>TABLEAU PRINCIPAL — LISTE DU PERSONNEL</t>
  </si>
  <si>
    <t>ID RH</t>
  </si>
  <si>
    <t>Etat civil</t>
  </si>
  <si>
    <t>Poste / intitule precis</t>
  </si>
  <si>
    <t>Departement / Service</t>
  </si>
  <si>
    <t>Niveau hierarchique</t>
  </si>
  <si>
    <t>Responsable direct</t>
  </si>
  <si>
    <t>Date d'entree</t>
  </si>
  <si>
    <t>Annee d'entree</t>
  </si>
  <si>
    <t>Anciennete</t>
  </si>
  <si>
    <t>Type de contrat</t>
  </si>
  <si>
    <t>Date debut contrat</t>
  </si>
  <si>
    <t>Date fin contrat</t>
  </si>
  <si>
    <t>Duree contrat</t>
  </si>
  <si>
    <t>Renouvelable</t>
  </si>
  <si>
    <t>Statut du contrat</t>
  </si>
  <si>
    <t>Salaire / honoraires de base (FCFA)</t>
  </si>
  <si>
    <t>Frequence de paiement</t>
  </si>
  <si>
    <t>Indemnites (FCFA)</t>
  </si>
  <si>
    <t>Primes (FCFA)</t>
  </si>
  <si>
    <t>Total brut (FCFA)</t>
  </si>
  <si>
    <t>Contact d'urgence - Nom</t>
  </si>
  <si>
    <t>Contact d'urgence - Relation</t>
  </si>
  <si>
    <t>Contact d'urgence - Telephone</t>
  </si>
  <si>
    <t>Date de depart</t>
  </si>
  <si>
    <t>Motif de depart</t>
  </si>
  <si>
    <t>AFFECTATIONS AUX PROJETS</t>
  </si>
  <si>
    <t>Fonction sur le projet</t>
  </si>
  <si>
    <t>% affectation</t>
  </si>
  <si>
    <t>AFFECTATIONS AUX ACTIVITES</t>
  </si>
  <si>
    <t>FORMATIONS DU PERSONNEL</t>
  </si>
  <si>
    <t>ID formation</t>
  </si>
  <si>
    <t>Organisme</t>
  </si>
  <si>
    <t>Duree</t>
  </si>
  <si>
    <t>Cout (FCFA)</t>
  </si>
  <si>
    <t>Certificat obtenu</t>
  </si>
  <si>
    <t>COMPETENCES</t>
  </si>
  <si>
    <t>Competence</t>
  </si>
  <si>
    <t>Annee d'acquisition</t>
  </si>
  <si>
    <t>Certification</t>
  </si>
  <si>
    <t>Date expiration</t>
  </si>
  <si>
    <t>DIPLOMES ET QUALIFICATIONS</t>
  </si>
  <si>
    <t>EVALUATIONS DU PERSONNEL</t>
  </si>
  <si>
    <t>Performance</t>
  </si>
  <si>
    <t>Objectifs</t>
  </si>
  <si>
    <t>Resultats</t>
  </si>
  <si>
    <t>Points forts</t>
  </si>
  <si>
    <t>Points a ameliorer</t>
  </si>
  <si>
    <t>Note (/5)</t>
  </si>
  <si>
    <t>CONGES</t>
  </si>
  <si>
    <t>Type de conge</t>
  </si>
  <si>
    <t>Nb jours</t>
  </si>
  <si>
    <t>MISSIONS</t>
  </si>
  <si>
    <t>ID mission</t>
  </si>
  <si>
    <t>Destination</t>
  </si>
  <si>
    <t>Date depart</t>
  </si>
  <si>
    <t>Date retour</t>
  </si>
  <si>
    <t>Budget mission (FCFA)</t>
  </si>
  <si>
    <t>Rapport disponible</t>
  </si>
  <si>
    <t>PAIEMENTS RH</t>
  </si>
  <si>
    <t>PRESENCE</t>
  </si>
  <si>
    <t>DOCUMENTS ADMINISTRATIFS</t>
  </si>
  <si>
    <t>Disponible</t>
  </si>
  <si>
    <t>Lien / emplacement</t>
  </si>
  <si>
    <t>SYNTHESE RH (calcul automatique)</t>
  </si>
  <si>
    <t>Benevoles</t>
  </si>
  <si>
    <t>Contrats a renouveler</t>
  </si>
  <si>
    <t>ANALYSE PAR SERVICE</t>
  </si>
  <si>
    <t>ANALYSE PAR PROJET</t>
  </si>
  <si>
    <t>Effectif affecte</t>
  </si>
  <si>
    <t>% moyen d'affectation</t>
  </si>
  <si>
    <t>ANALYSE HOMMES / FEMMES</t>
  </si>
  <si>
    <t>%</t>
  </si>
  <si>
    <t>RECHERCHE / FILTRES : utilisez le filtre automatique (AutoFiltre) du tableau principal pour filtrer par ID RH, Nom, Fonction, Service, Type de contrat, Statut, Projet ou Annee. Utilisez la cellule L8 pour filtrer la synthese generale par annee d'entree (ou "Total").</t>
  </si>
  <si>
    <t>O.N.G BK  —  SUIVI - EVALUATION &amp; IMPACT (SERA / MEAL)</t>
  </si>
  <si>
    <t>-&gt; RESSOURCES HUMAINES</t>
  </si>
  <si>
    <t>Cette feuille utilise les ID PROJET (PROJETS) et ID ACTIVITE (ACTIVITES) et alimente automatiquement RAPPORTS et TABLEAU DE BORD.</t>
  </si>
  <si>
    <t>SYNTHESE GENERALE DU SUIVI-EVALUATION (calcul automatique)</t>
  </si>
  <si>
    <t>Indicateurs suivis</t>
  </si>
  <si>
    <t>Projets couverts</t>
  </si>
  <si>
    <t>Activites liees</t>
  </si>
  <si>
    <t>Cibles atteintes</t>
  </si>
  <si>
    <t>Cibles non atteintes</t>
  </si>
  <si>
    <t>Taux moyen de realisation</t>
  </si>
  <si>
    <t>Beneficiaires cibles</t>
  </si>
  <si>
    <t>Beneficiaires atteints</t>
  </si>
  <si>
    <t>Taux de couverture moyen</t>
  </si>
  <si>
    <t>Projets bonne performance</t>
  </si>
  <si>
    <t>Projets a surveiller</t>
  </si>
  <si>
    <t>Statut global</t>
  </si>
  <si>
    <t>TABLEAU PRINCIPAL — SUIVI DES INDICATEURS DE PERFORMANCE</t>
  </si>
  <si>
    <t>ID Indicateur</t>
  </si>
  <si>
    <t>Activite liee</t>
  </si>
  <si>
    <t>Niveau (chaine de resultats)</t>
  </si>
  <si>
    <t>Resultat / produit attendu</t>
  </si>
  <si>
    <t>Intitule de l'indicateur</t>
  </si>
  <si>
    <t>Definition</t>
  </si>
  <si>
    <t>Type d'indicateur</t>
  </si>
  <si>
    <t>Unite de mesure</t>
  </si>
  <si>
    <t>Methode de calcul</t>
  </si>
  <si>
    <t>Frequence de suivi</t>
  </si>
  <si>
    <t>Fonction du responsable</t>
  </si>
  <si>
    <t>Valeur de reference (baseline)</t>
  </si>
  <si>
    <t>Annee baseline</t>
  </si>
  <si>
    <t>Source baseline</t>
  </si>
  <si>
    <t>Cible globale</t>
  </si>
  <si>
    <t>Cible periode</t>
  </si>
  <si>
    <t>Date de mesure</t>
  </si>
  <si>
    <t>Ecart</t>
  </si>
  <si>
    <t>Statut cible</t>
  </si>
  <si>
    <t>Hommes atteints</t>
  </si>
  <si>
    <t>Femmes atteintes</t>
  </si>
  <si>
    <t>Jeunes atteints</t>
  </si>
  <si>
    <t>Taux de couverture</t>
  </si>
  <si>
    <t>Commune</t>
  </si>
  <si>
    <t>Source de verification</t>
  </si>
  <si>
    <t>Outil utilise</t>
  </si>
  <si>
    <t>Collecteur</t>
  </si>
  <si>
    <t>Qualite des donnees</t>
  </si>
  <si>
    <t>Risque / probleme lie</t>
  </si>
  <si>
    <t>RISQUES, PROBLEMES &amp; PLAN D'ACTION CORRECTIVE</t>
  </si>
  <si>
    <t>Risque / Probleme</t>
  </si>
  <si>
    <t>Cause</t>
  </si>
  <si>
    <t>Action corrective</t>
  </si>
  <si>
    <t>ID Responsable</t>
  </si>
  <si>
    <t>LECONS APPRISES &amp; BONNES PRATIQUES</t>
  </si>
  <si>
    <t>Situation / Contexte</t>
  </si>
  <si>
    <t>Lecon apprise</t>
  </si>
  <si>
    <t>Ce qui a fonctionne</t>
  </si>
  <si>
    <t>Ce qui n'a pas fonctionne</t>
  </si>
  <si>
    <t>Bonne pratique / Innovation</t>
  </si>
  <si>
    <t>Recommandation</t>
  </si>
  <si>
    <t>EVALUATIONS</t>
  </si>
  <si>
    <t>Type d'evaluation</t>
  </si>
  <si>
    <t>Methodologie</t>
  </si>
  <si>
    <t>Principaux resultats</t>
  </si>
  <si>
    <t>Conclusions</t>
  </si>
  <si>
    <t>O.N.G BK  —  CENTRE DE RAPPORTING &amp; ANALYSE</t>
  </si>
  <si>
    <t>Genere automatiquement a partir des donnees enregistrees dans les autres feuilles du classeur — Donnons la joie a la jeunesse</t>
  </si>
  <si>
    <t>LEGENDE : texte vert italique = donnee recuperee automatiquement depuis une autre feuille du classeur  |  (*) = valeur cumulee (Total general), la feuille source ne comportant pas de champ Annee permettant un filtrage  |  aucune valeur n'est saisie manuellement dans cette feuille</t>
  </si>
  <si>
    <t>FILTRES CENTRAUX</t>
  </si>
  <si>
    <t>Annee selectionnee :</t>
  </si>
  <si>
    <t>Projet (fiche detail) :</t>
  </si>
  <si>
    <t>Donateur (fiche detail) :</t>
  </si>
  <si>
    <t>Date de generation :</t>
  </si>
  <si>
    <t>Domaine de reference (rapport §13) :</t>
  </si>
  <si>
    <t>Voir tableau ci-dessous (tous domaines)</t>
  </si>
  <si>
    <t>1.  TABLEAU DE SYNTHESE GENERALE</t>
  </si>
  <si>
    <t>Projets actifs (en cours)</t>
  </si>
  <si>
    <t>Beneficiaires (total)</t>
  </si>
  <si>
    <t>Personnel actif</t>
  </si>
  <si>
    <t>Partenaires (total)</t>
  </si>
  <si>
    <t>(*)</t>
  </si>
  <si>
    <t>Donateurs (total)</t>
  </si>
  <si>
    <t>Financements obtenus (FCFA)</t>
  </si>
  <si>
    <t>Recettes recues (FCFA)</t>
  </si>
  <si>
    <t>2.  RAPPORT INSTITUTIONNEL</t>
  </si>
  <si>
    <t>Vision</t>
  </si>
  <si>
    <t>Nombre de domaines d'intervention</t>
  </si>
  <si>
    <t>Nombre de projets (cumul)</t>
  </si>
  <si>
    <t>Nombre de beneficiaires (cumul)</t>
  </si>
  <si>
    <t>Nombre de partenaires (cumul)</t>
  </si>
  <si>
    <t>Nombre de donateurs (cumul)</t>
  </si>
  <si>
    <t>3.  RAPPORT FINANCIER (annee : voir filtre central)</t>
  </si>
  <si>
    <t>Montant</t>
  </si>
  <si>
    <t>Budget total prevu (FCFA)</t>
  </si>
  <si>
    <t>Budget approuve / de reference (FCFA)</t>
  </si>
  <si>
    <t>Financements recus (donateurs, FCFA)</t>
  </si>
  <si>
    <t>Solde budgetaire (Budget - Depenses, FCFA)</t>
  </si>
  <si>
    <t>Solde de financement (Recettes - Depenses, FCFA)</t>
  </si>
  <si>
    <t>4.  RAPPORT DES RECETTES / FINANCEMENTS</t>
  </si>
  <si>
    <t>Nb d'operations de recette</t>
  </si>
  <si>
    <t>Nb donateurs distincts ayant contribue</t>
  </si>
  <si>
    <t>Taux de decaissement</t>
  </si>
  <si>
    <t>5.  RAPPORT DES DEPENSES PAR CATEGORIE BUDGETAIRE</t>
  </si>
  <si>
    <t>Ecart (FCFA)</t>
  </si>
  <si>
    <t>Taux (%)</t>
  </si>
  <si>
    <t>6.  RAPPORT DES BAILLEURS / DONATEURS</t>
  </si>
  <si>
    <t>Montant demande (FCFA)</t>
  </si>
  <si>
    <t>Montant accorde (FCFA)</t>
  </si>
  <si>
    <t>A recevoir (FCFA)</t>
  </si>
  <si>
    <t>Taux reussite (%)</t>
  </si>
  <si>
    <t>Fiche detail du donateur selectionne (voir filtre central) :</t>
  </si>
  <si>
    <t>7.  RAPPORT DES PROJETS</t>
  </si>
  <si>
    <t>Taux exec. (%)</t>
  </si>
  <si>
    <t>Avancement (%)</t>
  </si>
  <si>
    <t>Fiche detaillee du projet selectionne (voir filtre central « Projet ») :</t>
  </si>
  <si>
    <t>Titre complet</t>
  </si>
  <si>
    <t>Donateur / source de financement</t>
  </si>
  <si>
    <t>Taux de realisation des activites</t>
  </si>
  <si>
    <t>Taux d'avancement global</t>
  </si>
  <si>
    <t>8.  RAPPORT DES ACTIVITES</t>
  </si>
  <si>
    <t>9.  RAPPORT DES BENEFICIAIRES &amp; GENRE</t>
  </si>
  <si>
    <t>Beneficiaires cibles (cumul, projets)</t>
  </si>
  <si>
    <t>Beneficiaires atteints (total)</t>
  </si>
  <si>
    <t xml:space="preserve">  dont Hommes</t>
  </si>
  <si>
    <t xml:space="preserve">  dont Femmes</t>
  </si>
  <si>
    <t xml:space="preserve">  dont Jeunes (18-24 ans)</t>
  </si>
  <si>
    <t xml:space="preserve">  dont Enfants (0-17 ans)</t>
  </si>
  <si>
    <t xml:space="preserve">  dont Personnes en situation de handicap</t>
  </si>
  <si>
    <t>Taux de couverture (atteints / cibles)</t>
  </si>
  <si>
    <t>Beneficiaires</t>
  </si>
  <si>
    <t>Personnel (Ressources Humaines)</t>
  </si>
  <si>
    <t>10.  RAPPORT DES RESSOURCES HUMAINES</t>
  </si>
  <si>
    <t>NB : conformement a la confidentialite RH, aucune donnee salariale individuelle n'est affichee dans ce rapport de synthese.</t>
  </si>
  <si>
    <t>11.  RAPPORT DES PARTENARIATS</t>
  </si>
  <si>
    <t>Partenaires actifs</t>
  </si>
  <si>
    <t>Partenaires techniques</t>
  </si>
  <si>
    <t>Partenaires financiers</t>
  </si>
  <si>
    <t>Partenaires institutionnels</t>
  </si>
  <si>
    <t>12.  RAPPORT SUIVI-EVALUATION</t>
  </si>
  <si>
    <t>Projets en bonne performance</t>
  </si>
  <si>
    <t>13.  RAPPORT PAR DOMAINE D'INTERVENTION</t>
  </si>
  <si>
    <t>Activites</t>
  </si>
  <si>
    <t>14.  INDICATEURS DE PERFORMANCE</t>
  </si>
  <si>
    <t>Taux d'atteinte des objectifs (indicateurs SE)</t>
  </si>
  <si>
    <t>Taux de couverture des beneficiaires</t>
  </si>
  <si>
    <t>Taux de reussite des financements (demandes)</t>
  </si>
  <si>
    <t>Taux de consommation budgetaire</t>
  </si>
  <si>
    <t>Taux de decaissement (recettes)</t>
  </si>
  <si>
    <t>15.  ALERTES DE REPORTING</t>
  </si>
  <si>
    <t>Nb de cas</t>
  </si>
  <si>
    <t>🔴 Projets sans budget approuve</t>
  </si>
  <si>
    <t>🔴 Projets en retard</t>
  </si>
  <si>
    <t>🔴 Projets en depassement budgetaire</t>
  </si>
  <si>
    <t>🔴 Projets a financement insuffisant</t>
  </si>
  <si>
    <t>🟠 Activites en retard</t>
  </si>
  <si>
    <t>🟠 Depenses sans justificatif</t>
  </si>
  <si>
    <t>🟠 Lignes budgetaires en alerte (vigilance/depassement)</t>
  </si>
  <si>
    <t>🔴 Conventions partenaires a renouveler (&lt;=60j)</t>
  </si>
  <si>
    <t>🔴 Contrats RH a renouveler (&lt;=60j)</t>
  </si>
  <si>
    <t>🟠 Donateurs a relancer</t>
  </si>
  <si>
    <t>16.  GRAPHIQUES</t>
  </si>
  <si>
    <t>Donnees source des graphiques (calculees automatiquement, annee par annee) :</t>
  </si>
  <si>
    <t>Recettes (FCFA)</t>
  </si>
  <si>
    <t>Projets par domaine -&gt;</t>
  </si>
  <si>
    <t>17.  COMMENTAIRES ET RECOMMANDATIONS</t>
  </si>
  <si>
    <t>Principales realisations :</t>
  </si>
  <si>
    <t>Difficultes rencontrees :</t>
  </si>
  <si>
    <t>Ecarts et causes :</t>
  </si>
  <si>
    <t>Mesures correctives :</t>
  </si>
  <si>
    <t>Recommandations :</t>
  </si>
  <si>
    <t>Prochaines etapes :</t>
  </si>
  <si>
    <t>18.  VALIDATION DU RAPPORT</t>
  </si>
  <si>
    <t>Verifie par</t>
  </si>
  <si>
    <t>Nom :</t>
  </si>
  <si>
    <t>Fonction :</t>
  </si>
  <si>
    <t>Date :</t>
  </si>
  <si>
    <t>Signature :</t>
  </si>
  <si>
    <t>O.N.G BK — Rapports &amp; Analyses — Document genere automatiquement — Toute mise a jour des feuilles sources actualise ce rapport.</t>
  </si>
  <si>
    <t>LESSENGUI</t>
  </si>
  <si>
    <t>Christ Juvalin</t>
  </si>
  <si>
    <t>juvalinlessengui@gmail.com</t>
  </si>
  <si>
    <t xml:space="preserve">KOUILA </t>
  </si>
  <si>
    <t>Président</t>
  </si>
  <si>
    <r>
      <t xml:space="preserve">                                                                                       </t>
    </r>
    <r>
      <rPr>
        <b/>
        <sz val="16"/>
        <color theme="0"/>
        <rFont val="Algerian"/>
        <family val="5"/>
      </rPr>
      <t xml:space="preserve">     O.N.G BK  |  TABLEAU DE BORD DE PILOTAG</t>
    </r>
    <r>
      <rPr>
        <sz val="16"/>
        <color theme="0"/>
        <rFont val="Times New Roman"/>
        <family val="2"/>
      </rPr>
      <t>E</t>
    </r>
  </si>
  <si>
    <r>
      <t xml:space="preserve">                  </t>
    </r>
    <r>
      <rPr>
        <sz val="48"/>
        <color theme="0"/>
        <rFont val="Times New Roman"/>
        <family val="2"/>
      </rPr>
      <t xml:space="preserve">  </t>
    </r>
    <r>
      <rPr>
        <b/>
        <sz val="48"/>
        <color theme="0"/>
        <rFont val="Algerian"/>
        <family val="5"/>
      </rPr>
      <t>O.N.G BK  |  TABLEAU DE BORD DE PILOTAGE</t>
    </r>
  </si>
  <si>
    <t xml:space="preserve">Ville de residence </t>
  </si>
  <si>
    <t>Borja Streel</t>
  </si>
  <si>
    <t>1(513) 203-1641</t>
  </si>
  <si>
    <t>US ARMY</t>
  </si>
  <si>
    <t>Cincinnati, Etats-Unis</t>
  </si>
  <si>
    <t xml:space="preserve">MOUKOKO MBOUNGOU  </t>
  </si>
  <si>
    <t>Ulrich</t>
  </si>
  <si>
    <t>Vice-Président</t>
  </si>
  <si>
    <t>Interprète de Conference</t>
  </si>
  <si>
    <t>Yaoundé, Cameroun</t>
  </si>
  <si>
    <t>MAKOSSO</t>
  </si>
  <si>
    <t>Chestine De-Lors</t>
  </si>
  <si>
    <t>Assistance de Direction</t>
  </si>
  <si>
    <t>Secretaire Générale</t>
  </si>
  <si>
    <t>Dakar, Senegal</t>
  </si>
  <si>
    <t>Electromécanicien</t>
  </si>
  <si>
    <t>Secretaire Général Adjoint</t>
  </si>
  <si>
    <t>Brazzaville, Congo</t>
  </si>
  <si>
    <t>MOBOTO</t>
  </si>
  <si>
    <t>Bienheureuse B.</t>
  </si>
  <si>
    <t>Trésorerie Générale</t>
  </si>
  <si>
    <t>Enseignante</t>
  </si>
  <si>
    <t>ATIMAKOA</t>
  </si>
  <si>
    <t>Barlain Djolvan</t>
  </si>
  <si>
    <t>Chargé des communication</t>
  </si>
  <si>
    <t>Journaliste</t>
  </si>
  <si>
    <t>MASSENGO</t>
  </si>
  <si>
    <t>Aimerence Grace</t>
  </si>
  <si>
    <t>Trésorerie Générale adjointe</t>
  </si>
  <si>
    <t>Brazil</t>
  </si>
  <si>
    <t>MOUKOMOUKOUYI</t>
  </si>
  <si>
    <t>Gracia</t>
  </si>
  <si>
    <t>Droit</t>
  </si>
  <si>
    <t>NKOUNKOU</t>
  </si>
  <si>
    <t>Edmon Stal</t>
  </si>
  <si>
    <t>Economiste</t>
  </si>
  <si>
    <t>NGANGA</t>
  </si>
  <si>
    <t>Christie Myria</t>
  </si>
  <si>
    <t>Medecin</t>
  </si>
  <si>
    <t>BILALA</t>
  </si>
  <si>
    <t>Kenneth Prince</t>
  </si>
  <si>
    <t xml:space="preserve">MAVOUNGOU </t>
  </si>
  <si>
    <t>Océan Cécilia</t>
  </si>
  <si>
    <t>Etudiante</t>
  </si>
  <si>
    <t xml:space="preserve">Paris,  France </t>
  </si>
  <si>
    <t>Paul</t>
  </si>
  <si>
    <t>Mayombo</t>
  </si>
  <si>
    <t>Medite</t>
  </si>
  <si>
    <t>Divenié</t>
  </si>
  <si>
    <t>Communauté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</si>
</sst>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164" formatCode="m/d/yyyy"/>
    <numFmt numFmtId="165" formatCode="0.0"/>
    <numFmt numFmtId="166" formatCode="[$-F400]h:mm:ss\ AM/PM"/>
    <numFmt numFmtId="167" formatCode="0.0%"/>
    <numFmt numFmtId="168" formatCode="0.0000"/>
    <numFmt numFmtId="169" formatCode="#,##0&quot; FCFA&quot;"/>
  </numFmts>
  <fonts count="76">
    <font>
      <sz val="11"/>
      <color theme="1"/>
      <name val="Calibri"/>
      <family val="2"/>
      <charset val="1"/>
    </font>
    <font>
      <b/>
      <sz val="16"/>
      <color rgb="FFFFFFFF"/>
      <name val="Arial"/>
      <charset val="1"/>
    </font>
    <font>
      <i/>
      <sz val="10"/>
      <color rgb="FFFFFFFF"/>
      <name val="Arial"/>
      <charset val="1"/>
    </font>
    <font>
      <i/>
      <sz val="9"/>
      <color rgb="FF5D6D7E"/>
      <name val="Arial"/>
      <charset val="1"/>
    </font>
    <font>
      <b/>
      <sz val="12"/>
      <color rgb="FFFFFFFF"/>
      <name val="Arial"/>
      <charset val="1"/>
    </font>
    <font>
      <u/>
      <sz val="10"/>
      <color rgb="FF1B4F72"/>
      <name val="Arial"/>
      <charset val="1"/>
    </font>
    <font>
      <i/>
      <sz val="8"/>
      <color rgb="FF2E86C1"/>
      <name val="Arial"/>
      <charset val="1"/>
    </font>
    <font>
      <b/>
      <sz val="10"/>
      <color rgb="FF1B4F72"/>
      <name val="Arial"/>
      <charset val="1"/>
    </font>
    <font>
      <sz val="10"/>
      <color rgb="FF5D6D7E"/>
      <name val="Arial"/>
      <charset val="1"/>
    </font>
    <font>
      <sz val="10"/>
      <name val="Arial"/>
      <charset val="1"/>
    </font>
    <font>
      <i/>
      <u/>
      <sz val="8"/>
      <color rgb="FF2E86C1"/>
      <name val="Arial"/>
      <charset val="1"/>
    </font>
    <font>
      <b/>
      <sz val="9"/>
      <color rgb="FF1B4F72"/>
      <name val="Arial"/>
      <charset val="1"/>
    </font>
    <font>
      <sz val="9"/>
      <color rgb="FF5D6D7E"/>
      <name val="Arial"/>
      <charset val="1"/>
    </font>
    <font>
      <sz val="9"/>
      <name val="Arial"/>
      <charset val="1"/>
    </font>
    <font>
      <i/>
      <sz val="9"/>
      <color rgb="FF2E86C1"/>
      <name val="Arial"/>
      <charset val="1"/>
    </font>
    <font>
      <sz val="9"/>
      <color rgb="FF2E86C1"/>
      <name val="Arial"/>
      <charset val="1"/>
    </font>
    <font>
      <b/>
      <sz val="15"/>
      <color rgb="FFFFFFFF"/>
      <name val="Arial"/>
      <charset val="1"/>
    </font>
    <font>
      <sz val="9"/>
      <color rgb="FF0000FF"/>
      <name val="Arial"/>
      <charset val="1"/>
    </font>
    <font>
      <sz val="10"/>
      <color rgb="FF0000FF"/>
      <name val="Arial"/>
      <charset val="1"/>
    </font>
    <font>
      <i/>
      <sz val="10"/>
      <color rgb="FF1E8449"/>
      <name val="Arial"/>
      <charset val="1"/>
    </font>
    <font>
      <sz val="10"/>
      <color rgb="FF000000"/>
      <name val="Arial"/>
      <charset val="1"/>
    </font>
    <font>
      <sz val="11"/>
      <color rgb="FF0000FF"/>
      <name val="Arial"/>
      <charset val="1"/>
    </font>
    <font>
      <sz val="10"/>
      <color rgb="FF1B4F72"/>
      <name val="Arial"/>
      <charset val="1"/>
    </font>
    <font>
      <b/>
      <i/>
      <sz val="10"/>
      <color rgb="FF5D6D7E"/>
      <name val="Arial"/>
      <charset val="1"/>
    </font>
    <font>
      <i/>
      <sz val="8"/>
      <color rgb="FF5D6D7E"/>
      <name val="Arial"/>
      <charset val="1"/>
    </font>
    <font>
      <b/>
      <sz val="10"/>
      <color rgb="FFFFFFFF"/>
      <name val="Arial"/>
      <charset val="1"/>
    </font>
    <font>
      <i/>
      <sz val="10"/>
      <color rgb="FF5D6D7E"/>
      <name val="Arial"/>
      <charset val="1"/>
    </font>
    <font>
      <b/>
      <u/>
      <sz val="10"/>
      <color rgb="FFFFFFFF"/>
      <name val="Arial"/>
      <charset val="1"/>
    </font>
    <font>
      <b/>
      <sz val="10"/>
      <color rgb="FF0000FF"/>
      <name val="Arial"/>
      <charset val="1"/>
    </font>
    <font>
      <b/>
      <sz val="11"/>
      <color rgb="FFFFFFFF"/>
      <name val="Arial"/>
      <charset val="1"/>
    </font>
    <font>
      <b/>
      <u/>
      <sz val="9"/>
      <color rgb="FFFFFFFF"/>
      <name val="Arial"/>
      <charset val="1"/>
    </font>
    <font>
      <b/>
      <sz val="9"/>
      <color rgb="FFFFFFFF"/>
      <name val="Arial"/>
      <charset val="1"/>
    </font>
    <font>
      <b/>
      <sz val="14"/>
      <color rgb="FF1B4F72"/>
      <name val="Arial"/>
      <charset val="1"/>
    </font>
    <font>
      <i/>
      <sz val="10"/>
      <color rgb="FF196F3D"/>
      <name val="Arial"/>
      <charset val="1"/>
    </font>
    <font>
      <i/>
      <sz val="8"/>
      <color rgb="FF808080"/>
      <name val="Arial"/>
      <charset val="1"/>
    </font>
    <font>
      <i/>
      <sz val="9"/>
      <color rgb="FF808080"/>
      <name val="Arial"/>
      <charset val="1"/>
    </font>
    <font>
      <b/>
      <sz val="8"/>
      <color rgb="FFFFFFFF"/>
      <name val="Arial"/>
      <charset val="1"/>
    </font>
    <font>
      <b/>
      <sz val="13"/>
      <color rgb="FF1B4F72"/>
      <name val="Arial"/>
      <charset val="1"/>
    </font>
    <font>
      <b/>
      <sz val="9"/>
      <name val="Arial"/>
      <charset val="1"/>
    </font>
    <font>
      <i/>
      <sz val="9"/>
      <color rgb="FF196F3D"/>
      <name val="Arial"/>
      <charset val="1"/>
    </font>
    <font>
      <b/>
      <sz val="11"/>
      <color rgb="FF1B4F72"/>
      <name val="Arial"/>
      <charset val="1"/>
    </font>
    <font>
      <sz val="9"/>
      <color rgb="FF196F3D"/>
      <name val="Arial"/>
      <charset val="1"/>
    </font>
    <font>
      <i/>
      <sz val="9"/>
      <name val="Arial"/>
      <charset val="1"/>
    </font>
    <font>
      <b/>
      <sz val="10"/>
      <color rgb="FF212F3C"/>
      <name val="Arial"/>
      <charset val="1"/>
    </font>
    <font>
      <b/>
      <i/>
      <sz val="10"/>
      <color rgb="FF1E8449"/>
      <name val="Arial"/>
      <charset val="1"/>
    </font>
    <font>
      <i/>
      <sz val="9"/>
      <color rgb="FF1E8449"/>
      <name val="Arial"/>
      <charset val="1"/>
    </font>
    <font>
      <sz val="9"/>
      <color rgb="FF1C2833"/>
      <name val="Arial"/>
      <charset val="1"/>
    </font>
    <font>
      <b/>
      <sz val="16"/>
      <color rgb="FFFFFFFF"/>
      <name val="Calibri"/>
    </font>
    <font>
      <b/>
      <sz val="11"/>
      <color rgb="FFFFFFFF"/>
      <name val="Calibri"/>
    </font>
    <font>
      <b/>
      <sz val="15"/>
      <color rgb="FFFFFFFF"/>
      <name val="Calibri"/>
    </font>
    <font>
      <b/>
      <sz val="11"/>
      <name val="Calibri"/>
    </font>
    <font>
      <b/>
      <sz val="13"/>
      <name val="Calibri"/>
    </font>
    <font>
      <b/>
      <sz val="13"/>
      <color rgb="FFFFFFFF"/>
      <name val="Calibri"/>
    </font>
    <font>
      <b/>
      <sz val="14"/>
      <color rgb="FFFFFFFF"/>
      <name val="Calibri"/>
    </font>
    <font>
      <b/>
      <sz val="12"/>
      <name val="Calibri"/>
    </font>
    <font>
      <u/>
      <sz val="11"/>
      <color theme="10"/>
      <name val="Calibri"/>
      <family val="2"/>
      <charset val="1"/>
    </font>
    <font>
      <sz val="12"/>
      <color theme="0"/>
      <name val="Times New Roman"/>
      <family val="2"/>
    </font>
    <font>
      <sz val="16"/>
      <color theme="0"/>
      <name val="Times New Roman"/>
      <family val="2"/>
    </font>
    <font>
      <b/>
      <sz val="16"/>
      <color theme="0"/>
      <name val="Algerian"/>
      <family val="5"/>
    </font>
    <font>
      <sz val="16"/>
      <color theme="1"/>
      <name val="Calibri"/>
      <family val="2"/>
      <charset val="1"/>
    </font>
    <font>
      <sz val="16"/>
      <color rgb="FFFFFFFF"/>
      <name val="Cambria"/>
      <family val="1"/>
    </font>
    <font>
      <sz val="16"/>
      <color rgb="FF666666"/>
      <name val="Cambria"/>
      <family val="1"/>
    </font>
    <font>
      <b/>
      <sz val="16"/>
      <color rgb="FFFFFFFF"/>
      <name val="Aptos"/>
      <family val="2"/>
    </font>
    <font>
      <b/>
      <sz val="16"/>
      <color rgb="FF10243E"/>
      <name val="Aptos"/>
      <family val="2"/>
    </font>
    <font>
      <i/>
      <sz val="16"/>
      <color rgb="FF6B7785"/>
      <name val="Aptos"/>
      <family val="2"/>
    </font>
    <font>
      <b/>
      <sz val="16"/>
      <color rgb="FF1677FF"/>
      <name val="Aptos"/>
      <family val="2"/>
    </font>
    <font>
      <b/>
      <sz val="16"/>
      <color rgb="FF1D2939"/>
      <name val="Aptos"/>
      <family val="2"/>
    </font>
    <font>
      <b/>
      <sz val="16"/>
      <color rgb="FF6B7785"/>
      <name val="Aptos"/>
      <family val="2"/>
    </font>
    <font>
      <b/>
      <sz val="16"/>
      <color rgb="FFC74634"/>
      <name val="Aptos"/>
      <family val="2"/>
    </font>
    <font>
      <b/>
      <sz val="16"/>
      <color rgb="FFFFFFFF"/>
      <name val="Calibri"/>
      <family val="2"/>
    </font>
    <font>
      <i/>
      <sz val="16"/>
      <color rgb="FF5B6770"/>
      <name val="Calibri"/>
      <family val="2"/>
    </font>
    <font>
      <i/>
      <sz val="16"/>
      <color rgb="FF6B7280"/>
      <name val="Calibri"/>
      <family val="2"/>
    </font>
    <font>
      <b/>
      <sz val="16"/>
      <name val="Calibri"/>
      <family val="2"/>
    </font>
    <font>
      <sz val="48"/>
      <color theme="0"/>
      <name val="Times New Roman"/>
      <family val="2"/>
    </font>
    <font>
      <b/>
      <sz val="48"/>
      <color theme="0"/>
      <name val="Algerian"/>
      <family val="5"/>
    </font>
    <font>
      <sz val="12"/>
      <color theme="1"/>
      <name val="Times New Roman"/>
      <family val="1"/>
    </font>
  </fonts>
  <fills count="30">
    <fill>
      <patternFill patternType="none"/>
    </fill>
    <fill>
      <patternFill patternType="gray125"/>
    </fill>
    <fill>
      <patternFill patternType="solid">
        <fgColor rgb="FF1B4F72"/>
        <bgColor rgb="FF17324D"/>
      </patternFill>
    </fill>
    <fill>
      <patternFill patternType="solid">
        <fgColor rgb="FFC0134F"/>
        <bgColor rgb="FFA93226"/>
      </patternFill>
    </fill>
    <fill>
      <patternFill patternType="solid">
        <fgColor rgb="FF2E86C1"/>
        <bgColor rgb="FF4F81BD"/>
      </patternFill>
    </fill>
    <fill>
      <patternFill patternType="solid">
        <fgColor rgb="FFEBF5FB"/>
        <bgColor rgb="FFF2F3F4"/>
      </patternFill>
    </fill>
    <fill>
      <patternFill patternType="solid">
        <fgColor rgb="FFFFFFFF"/>
        <bgColor rgb="FFF4FBF6"/>
      </patternFill>
    </fill>
    <fill>
      <patternFill patternType="solid">
        <fgColor rgb="FFD6EAF8"/>
        <bgColor rgb="FFDCE5ED"/>
      </patternFill>
    </fill>
    <fill>
      <patternFill patternType="solid">
        <fgColor rgb="FFF2F3F4"/>
        <bgColor rgb="FFF4F6F6"/>
      </patternFill>
    </fill>
    <fill>
      <patternFill patternType="solid">
        <fgColor rgb="FFF4FBF6"/>
        <bgColor rgb="FFF4F7FA"/>
      </patternFill>
    </fill>
    <fill>
      <patternFill patternType="solid">
        <fgColor rgb="FFF4F6F6"/>
        <bgColor rgb="FFF4F6F7"/>
      </patternFill>
    </fill>
    <fill>
      <patternFill patternType="solid">
        <fgColor rgb="FFFDEBD0"/>
        <bgColor rgb="FFFFF9C4"/>
      </patternFill>
    </fill>
    <fill>
      <patternFill patternType="solid">
        <fgColor rgb="FFFFF9C4"/>
        <bgColor rgb="FFFDEBD0"/>
      </patternFill>
    </fill>
    <fill>
      <patternFill patternType="solid">
        <fgColor rgb="FFF4F6F7"/>
        <bgColor rgb="FFF4F6F6"/>
      </patternFill>
    </fill>
    <fill>
      <patternFill patternType="solid">
        <fgColor rgb="FF17324D"/>
        <bgColor rgb="FF212F3C"/>
      </patternFill>
    </fill>
    <fill>
      <patternFill patternType="solid">
        <fgColor rgb="FF10243E"/>
        <bgColor rgb="FF1C2833"/>
      </patternFill>
    </fill>
    <fill>
      <patternFill patternType="solid">
        <fgColor rgb="FFF4F7FA"/>
        <bgColor rgb="FFF4F6F7"/>
      </patternFill>
    </fill>
    <fill>
      <patternFill patternType="solid">
        <fgColor rgb="FF1677FF"/>
        <bgColor rgb="FF2E86C1"/>
      </patternFill>
    </fill>
    <fill>
      <patternFill patternType="solid">
        <fgColor rgb="FF18B7D8"/>
        <bgColor rgb="FF16A085"/>
      </patternFill>
    </fill>
    <fill>
      <patternFill patternType="solid">
        <fgColor rgb="FF7C5CFC"/>
        <bgColor rgb="FF4F81BD"/>
      </patternFill>
    </fill>
    <fill>
      <patternFill patternType="solid">
        <fgColor rgb="FF16A085"/>
        <bgColor rgb="FF1E8449"/>
      </patternFill>
    </fill>
    <fill>
      <patternFill patternType="solid">
        <fgColor rgb="FFF2B84B"/>
        <bgColor rgb="FFF5B7B1"/>
      </patternFill>
    </fill>
    <fill>
      <patternFill patternType="solid">
        <fgColor rgb="FFE05252"/>
        <bgColor rgb="FFC0504D"/>
      </patternFill>
    </fill>
    <fill>
      <patternFill patternType="solid">
        <fgColor rgb="FF10243E"/>
      </patternFill>
    </fill>
    <fill>
      <patternFill patternType="solid">
        <fgColor rgb="FFF4F7FA"/>
      </patternFill>
    </fill>
    <fill>
      <patternFill patternType="solid">
        <fgColor rgb="FF1F4E78"/>
      </patternFill>
    </fill>
    <fill>
      <patternFill patternType="solid">
        <fgColor rgb="FF5B9BD5"/>
      </patternFill>
    </fill>
    <fill>
      <patternFill patternType="solid">
        <fgColor rgb="FFD9EAF7"/>
      </patternFill>
    </fill>
    <fill>
      <patternFill patternType="solid">
        <fgColor rgb="FF70AD47"/>
      </patternFill>
    </fill>
    <fill>
      <patternFill patternType="solid">
        <fgColor theme="4"/>
      </patternFill>
    </fill>
  </fills>
  <borders count="41">
    <border>
      <left/>
      <right/>
      <top/>
      <bottom/>
      <diagonal/>
    </border>
    <border>
      <left style="thin">
        <color rgb="FFB2BABB"/>
      </left>
      <right style="thin">
        <color rgb="FFB2BABB"/>
      </right>
      <top style="thin">
        <color rgb="FFB2BABB"/>
      </top>
      <bottom style="thin">
        <color rgb="FFB2BABB"/>
      </bottom>
      <diagonal/>
    </border>
    <border>
      <left style="thin">
        <color auto="1"/>
      </left>
      <right style="thin">
        <color auto="1"/>
      </right>
      <top style="thin">
        <color auto="1"/>
      </top>
      <bottom style="thin">
        <color auto="1"/>
      </bottom>
      <diagonal/>
    </border>
    <border>
      <left style="thin">
        <color rgb="FFBFBFBF"/>
      </left>
      <right style="thin">
        <color rgb="FFBFBFBF"/>
      </right>
      <top style="thin">
        <color rgb="FFBFBFBF"/>
      </top>
      <bottom style="thin">
        <color rgb="FFBFBFBF"/>
      </bottom>
      <diagonal/>
    </border>
    <border>
      <left style="medium">
        <color rgb="FF2E86C1"/>
      </left>
      <right style="medium">
        <color rgb="FF2E86C1"/>
      </right>
      <top style="medium">
        <color rgb="FF2E86C1"/>
      </top>
      <bottom style="medium">
        <color rgb="FF2E86C1"/>
      </bottom>
      <diagonal/>
    </border>
    <border>
      <left style="thin">
        <color rgb="FFBFBFBF"/>
      </left>
      <right/>
      <top style="thin">
        <color rgb="FFBFBFBF"/>
      </top>
      <bottom style="thin">
        <color rgb="FFBFBFBF"/>
      </bottom>
      <diagonal/>
    </border>
    <border>
      <left style="thin">
        <color rgb="FFBFC9CA"/>
      </left>
      <right style="thin">
        <color rgb="FFBFC9CA"/>
      </right>
      <top style="thin">
        <color rgb="FFBFC9CA"/>
      </top>
      <bottom style="thin">
        <color rgb="FFBFC9CA"/>
      </bottom>
      <diagonal/>
    </border>
    <border>
      <left style="thin">
        <color rgb="FFBFC9CA"/>
      </left>
      <right/>
      <top style="thin">
        <color rgb="FFBFC9CA"/>
      </top>
      <bottom style="thin">
        <color rgb="FFBFC9CA"/>
      </bottom>
      <diagonal/>
    </border>
    <border>
      <left style="thin">
        <color rgb="FFDCE5ED"/>
      </left>
      <right style="thin">
        <color rgb="FFDCE5ED"/>
      </right>
      <top style="thin">
        <color rgb="FFDCE5ED"/>
      </top>
      <bottom style="thin">
        <color rgb="FFDCE5ED"/>
      </bottom>
      <diagonal/>
    </border>
    <border>
      <left style="medium">
        <color rgb="FF1677FF"/>
      </left>
      <right style="medium">
        <color rgb="FF1677FF"/>
      </right>
      <top style="medium">
        <color rgb="FF1677FF"/>
      </top>
      <bottom style="medium">
        <color rgb="FF1677FF"/>
      </bottom>
      <diagonal/>
    </border>
    <border>
      <left style="thin">
        <color rgb="FFD9E2EC"/>
      </left>
      <right style="thin">
        <color rgb="FFDCE5ED"/>
      </right>
      <top style="thin">
        <color rgb="FFD9E2EC"/>
      </top>
      <bottom style="thin">
        <color rgb="FFD9E2EC"/>
      </bottom>
      <diagonal/>
    </border>
    <border>
      <left style="thin">
        <color rgb="FFD9E2EC"/>
      </left>
      <right style="thin">
        <color rgb="FFDCE5ED"/>
      </right>
      <top style="thin">
        <color rgb="FFD9E2EC"/>
      </top>
      <bottom style="thin">
        <color rgb="FFDCE5ED"/>
      </bottom>
      <diagonal/>
    </border>
    <border>
      <left/>
      <right/>
      <top style="thin">
        <color rgb="FFB2BABB"/>
      </top>
      <bottom style="thin">
        <color rgb="FFB2BABB"/>
      </bottom>
      <diagonal/>
    </border>
    <border>
      <left/>
      <right style="thin">
        <color rgb="FFB2BABB"/>
      </right>
      <top style="thin">
        <color rgb="FFB2BABB"/>
      </top>
      <bottom style="thin">
        <color rgb="FFB2BABB"/>
      </bottom>
      <diagonal/>
    </border>
    <border>
      <left/>
      <right/>
      <top style="medium">
        <color rgb="FF2E86C1"/>
      </top>
      <bottom/>
      <diagonal/>
    </border>
    <border>
      <left style="medium">
        <color rgb="FF2E86C1"/>
      </left>
      <right/>
      <top/>
      <bottom/>
      <diagonal/>
    </border>
    <border>
      <left/>
      <right style="medium">
        <color rgb="FF2E86C1"/>
      </right>
      <top style="medium">
        <color rgb="FF2E86C1"/>
      </top>
      <bottom/>
      <diagonal/>
    </border>
    <border>
      <left/>
      <right style="medium">
        <color rgb="FF2E86C1"/>
      </right>
      <top/>
      <bottom/>
      <diagonal/>
    </border>
    <border>
      <left style="medium">
        <color rgb="FF2E86C1"/>
      </left>
      <right/>
      <top/>
      <bottom style="medium">
        <color rgb="FF2E86C1"/>
      </bottom>
      <diagonal/>
    </border>
    <border>
      <left/>
      <right/>
      <top/>
      <bottom style="medium">
        <color rgb="FF2E86C1"/>
      </bottom>
      <diagonal/>
    </border>
    <border>
      <left/>
      <right style="medium">
        <color rgb="FF2E86C1"/>
      </right>
      <top/>
      <bottom style="medium">
        <color rgb="FF2E86C1"/>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top style="thin">
        <color rgb="FFBFC9CA"/>
      </top>
      <bottom style="thin">
        <color rgb="FFBFC9CA"/>
      </bottom>
      <diagonal/>
    </border>
    <border>
      <left/>
      <right style="thin">
        <color rgb="FFBFC9CA"/>
      </right>
      <top style="thin">
        <color rgb="FFBFC9CA"/>
      </top>
      <bottom style="thin">
        <color rgb="FFBFC9CA"/>
      </bottom>
      <diagonal/>
    </border>
    <border>
      <left/>
      <right/>
      <top style="thin">
        <color rgb="FFDCE5ED"/>
      </top>
      <bottom/>
      <diagonal/>
    </border>
    <border>
      <left/>
      <right style="thin">
        <color rgb="FFDCE5ED"/>
      </right>
      <top style="thin">
        <color rgb="FFDCE5ED"/>
      </top>
      <bottom/>
      <diagonal/>
    </border>
    <border>
      <left/>
      <right style="thin">
        <color rgb="FFDCE5ED"/>
      </right>
      <top style="thin">
        <color rgb="FFDCE5ED"/>
      </top>
      <bottom style="thin">
        <color rgb="FFDCE5ED"/>
      </bottom>
      <diagonal/>
    </border>
    <border>
      <left/>
      <right style="thin">
        <color rgb="FFDCE5ED"/>
      </right>
      <top/>
      <bottom/>
      <diagonal/>
    </border>
    <border>
      <left style="thin">
        <color rgb="FFDCE5ED"/>
      </left>
      <right/>
      <top/>
      <bottom style="thin">
        <color rgb="FFDCE5ED"/>
      </bottom>
      <diagonal/>
    </border>
    <border>
      <left/>
      <right/>
      <top/>
      <bottom style="thin">
        <color rgb="FFDCE5ED"/>
      </bottom>
      <diagonal/>
    </border>
    <border>
      <left/>
      <right style="thin">
        <color rgb="FFDCE5ED"/>
      </right>
      <top/>
      <bottom style="thin">
        <color rgb="FFDCE5ED"/>
      </bottom>
      <diagonal/>
    </border>
    <border>
      <left/>
      <right/>
      <top style="thin">
        <color rgb="FFD9E2EC"/>
      </top>
      <bottom/>
      <diagonal/>
    </border>
    <border>
      <left/>
      <right style="thin">
        <color rgb="FFDCE5ED"/>
      </right>
      <top style="thin">
        <color rgb="FFD9E2EC"/>
      </top>
      <bottom/>
      <diagonal/>
    </border>
    <border>
      <left/>
      <right/>
      <top style="thin">
        <color rgb="FFD9E2EC"/>
      </top>
      <bottom style="thin">
        <color rgb="FFD9E2EC"/>
      </bottom>
      <diagonal/>
    </border>
    <border>
      <left/>
      <right style="thin">
        <color rgb="FFDCE5ED"/>
      </right>
      <top style="thin">
        <color rgb="FFD9E2EC"/>
      </top>
      <bottom style="thin">
        <color rgb="FFD9E2EC"/>
      </bottom>
      <diagonal/>
    </border>
    <border>
      <left style="thin">
        <color rgb="FFD9E2EC"/>
      </left>
      <right/>
      <top/>
      <bottom/>
      <diagonal/>
    </border>
    <border>
      <left style="thin">
        <color rgb="FFD9E2EC"/>
      </left>
      <right/>
      <top/>
      <bottom style="thin">
        <color rgb="FFDCE5ED"/>
      </bottom>
      <diagonal/>
    </border>
    <border>
      <left/>
      <right/>
      <top style="thin">
        <color rgb="FFDCE5ED"/>
      </top>
      <bottom style="thin">
        <color rgb="FFDCE5ED"/>
      </bottom>
      <diagonal/>
    </border>
    <border>
      <left/>
      <right/>
      <top/>
      <bottom style="medium">
        <color rgb="FF10243E"/>
      </bottom>
      <diagonal/>
    </border>
    <border>
      <left/>
      <right/>
      <top/>
      <bottom style="medium">
        <color rgb="FF10243E"/>
      </bottom>
      <diagonal/>
    </border>
  </borders>
  <cellStyleXfs count="3">
    <xf numFmtId="0" fontId="0" fillId="0" borderId="0"/>
    <xf numFmtId="0" fontId="55" fillId="0" borderId="0" applyNumberFormat="0" applyFill="0" applyBorder="0" applyAlignment="0" applyProtection="0"/>
    <xf numFmtId="0" fontId="56" fillId="29" borderId="0" applyNumberFormat="0" applyBorder="0" applyAlignment="0" applyProtection="0"/>
  </cellStyleXfs>
  <cellXfs count="341">
    <xf numFmtId="0" fontId="0" fillId="0" borderId="0" xfId="0"/>
    <xf numFmtId="0" fontId="4" fillId="4" borderId="0" xfId="0" applyFont="1" applyFill="1" applyAlignment="1">
      <alignment horizontal="left" vertical="center" indent="1"/>
    </xf>
    <xf numFmtId="0" fontId="6" fillId="0" borderId="0" xfId="0" applyFont="1" applyAlignment="1">
      <alignment horizontal="left" vertical="center" wrapText="1"/>
    </xf>
    <xf numFmtId="0" fontId="7" fillId="7" borderId="1" xfId="0" applyFont="1" applyFill="1" applyBorder="1" applyAlignment="1">
      <alignment horizontal="center" vertical="center" wrapText="1"/>
    </xf>
    <xf numFmtId="0" fontId="8" fillId="8" borderId="1" xfId="0" applyFont="1" applyFill="1" applyBorder="1" applyAlignment="1">
      <alignment horizontal="left" vertical="center" indent="1"/>
    </xf>
    <xf numFmtId="0" fontId="9" fillId="0" borderId="1" xfId="0" applyFont="1" applyBorder="1" applyAlignment="1">
      <alignment horizontal="center" vertical="center"/>
    </xf>
    <xf numFmtId="0" fontId="9" fillId="0" borderId="1" xfId="0" applyFont="1" applyBorder="1" applyAlignment="1">
      <alignment horizontal="left" vertical="center" indent="1"/>
    </xf>
    <xf numFmtId="0" fontId="10" fillId="0" borderId="0" xfId="0" applyFont="1"/>
    <xf numFmtId="0" fontId="8" fillId="8" borderId="1" xfId="0" applyFont="1" applyFill="1" applyBorder="1" applyAlignment="1">
      <alignment horizontal="center" vertical="center"/>
    </xf>
    <xf numFmtId="0" fontId="11" fillId="7" borderId="2" xfId="0" applyFont="1" applyFill="1" applyBorder="1" applyAlignment="1">
      <alignment horizontal="center" vertical="center" wrapText="1"/>
    </xf>
    <xf numFmtId="0" fontId="12" fillId="8" borderId="2" xfId="0" applyFont="1" applyFill="1" applyBorder="1" applyAlignment="1">
      <alignment horizontal="center" vertical="center" wrapText="1"/>
    </xf>
    <xf numFmtId="0" fontId="13" fillId="0" borderId="2" xfId="0" applyFont="1" applyBorder="1" applyAlignment="1">
      <alignment horizontal="center" vertical="center" wrapText="1"/>
    </xf>
    <xf numFmtId="0" fontId="14" fillId="0" borderId="0" xfId="0" applyFont="1"/>
    <xf numFmtId="9" fontId="13" fillId="0" borderId="2" xfId="0" applyNumberFormat="1" applyFont="1" applyBorder="1" applyAlignment="1">
      <alignment horizontal="center" vertical="center" wrapText="1"/>
    </xf>
    <xf numFmtId="0" fontId="11" fillId="7" borderId="3" xfId="0" applyFont="1" applyFill="1" applyBorder="1" applyAlignment="1">
      <alignment horizontal="center"/>
    </xf>
    <xf numFmtId="0" fontId="12" fillId="8" borderId="3" xfId="0" applyFont="1" applyFill="1" applyBorder="1" applyAlignment="1">
      <alignment horizontal="center"/>
    </xf>
    <xf numFmtId="0" fontId="13" fillId="0" borderId="3" xfId="0" applyFont="1" applyBorder="1" applyAlignment="1">
      <alignment horizontal="left"/>
    </xf>
    <xf numFmtId="0" fontId="13" fillId="0" borderId="3" xfId="0" applyFont="1" applyBorder="1" applyAlignment="1">
      <alignment horizontal="center"/>
    </xf>
    <xf numFmtId="0" fontId="15" fillId="0" borderId="0" xfId="0" applyFont="1"/>
    <xf numFmtId="0" fontId="11" fillId="0" borderId="0" xfId="0" applyFont="1"/>
    <xf numFmtId="164" fontId="17" fillId="6" borderId="1" xfId="0" applyNumberFormat="1" applyFont="1" applyFill="1" applyBorder="1"/>
    <xf numFmtId="0" fontId="17" fillId="6" borderId="1" xfId="0" applyFont="1" applyFill="1" applyBorder="1"/>
    <xf numFmtId="0" fontId="20" fillId="0" borderId="1" xfId="0" applyFont="1" applyBorder="1" applyAlignment="1">
      <alignment horizontal="left" vertical="center" wrapText="1" indent="1"/>
    </xf>
    <xf numFmtId="0" fontId="18" fillId="0" borderId="1" xfId="0" applyFont="1" applyBorder="1" applyAlignment="1">
      <alignment horizontal="left" vertical="center" wrapText="1" indent="1"/>
    </xf>
    <xf numFmtId="0" fontId="19" fillId="9" borderId="1" xfId="0" applyFont="1" applyFill="1" applyBorder="1" applyAlignment="1">
      <alignment horizontal="left" vertical="center" wrapText="1" indent="1"/>
    </xf>
    <xf numFmtId="0" fontId="23" fillId="10" borderId="1" xfId="0" applyFont="1" applyFill="1" applyBorder="1" applyAlignment="1">
      <alignment horizontal="center" vertical="center"/>
    </xf>
    <xf numFmtId="0" fontId="27" fillId="2" borderId="0" xfId="0" applyFont="1" applyFill="1" applyAlignment="1">
      <alignment horizontal="center" vertical="center" wrapText="1"/>
    </xf>
    <xf numFmtId="0" fontId="30" fillId="3" borderId="0" xfId="0" applyFont="1" applyFill="1" applyAlignment="1">
      <alignment horizontal="center" vertical="center" wrapText="1"/>
    </xf>
    <xf numFmtId="0" fontId="12" fillId="0" borderId="0" xfId="0" applyFont="1" applyAlignment="1">
      <alignment horizontal="left" vertical="center"/>
    </xf>
    <xf numFmtId="0" fontId="31" fillId="2" borderId="3" xfId="0" applyFont="1" applyFill="1" applyBorder="1" applyAlignment="1">
      <alignment horizontal="center" vertical="center" wrapText="1"/>
    </xf>
    <xf numFmtId="49" fontId="32" fillId="5" borderId="3" xfId="0" applyNumberFormat="1" applyFont="1" applyFill="1" applyBorder="1" applyAlignment="1">
      <alignment horizontal="center" vertical="center" wrapText="1"/>
    </xf>
    <xf numFmtId="0" fontId="32" fillId="5" borderId="3" xfId="0" applyFont="1" applyFill="1" applyBorder="1" applyAlignment="1">
      <alignment horizontal="center" vertical="center" wrapText="1"/>
    </xf>
    <xf numFmtId="0" fontId="7" fillId="7" borderId="3" xfId="0" applyFont="1" applyFill="1" applyBorder="1" applyAlignment="1">
      <alignment horizontal="center" vertical="center" wrapText="1"/>
    </xf>
    <xf numFmtId="0" fontId="13" fillId="0" borderId="3" xfId="0" applyFont="1" applyBorder="1"/>
    <xf numFmtId="0" fontId="33" fillId="8" borderId="3" xfId="0" applyFont="1" applyFill="1" applyBorder="1" applyAlignment="1">
      <alignment horizontal="center" vertical="center" wrapText="1"/>
    </xf>
    <xf numFmtId="0" fontId="18" fillId="0" borderId="3" xfId="0" applyFont="1" applyBorder="1"/>
    <xf numFmtId="0" fontId="33" fillId="8" borderId="3" xfId="0" applyFont="1" applyFill="1" applyBorder="1" applyAlignment="1">
      <alignment horizontal="left" vertical="center"/>
    </xf>
    <xf numFmtId="0" fontId="18" fillId="0" borderId="3" xfId="0" applyFont="1" applyBorder="1" applyAlignment="1">
      <alignment horizontal="left" vertical="center"/>
    </xf>
    <xf numFmtId="164" fontId="18" fillId="0" borderId="3" xfId="0" applyNumberFormat="1" applyFont="1" applyBorder="1" applyAlignment="1">
      <alignment horizontal="left" vertical="center"/>
    </xf>
    <xf numFmtId="1" fontId="18" fillId="0" borderId="3" xfId="0" applyNumberFormat="1" applyFont="1" applyBorder="1" applyAlignment="1">
      <alignment horizontal="left" vertical="center"/>
    </xf>
    <xf numFmtId="0" fontId="33" fillId="8" borderId="3" xfId="0" applyFont="1" applyFill="1" applyBorder="1"/>
    <xf numFmtId="164" fontId="18" fillId="0" borderId="3" xfId="0" applyNumberFormat="1" applyFont="1" applyBorder="1"/>
    <xf numFmtId="3" fontId="18" fillId="0" borderId="3" xfId="0" applyNumberFormat="1" applyFont="1" applyBorder="1"/>
    <xf numFmtId="0" fontId="30" fillId="2" borderId="0" xfId="0" applyFont="1" applyFill="1" applyAlignment="1">
      <alignment horizontal="center" vertical="center" wrapText="1"/>
    </xf>
    <xf numFmtId="0" fontId="36" fillId="2" borderId="3" xfId="0" applyFont="1" applyFill="1" applyBorder="1" applyAlignment="1">
      <alignment horizontal="center" vertical="center" wrapText="1"/>
    </xf>
    <xf numFmtId="49" fontId="37" fillId="5" borderId="3" xfId="0" applyNumberFormat="1" applyFont="1" applyFill="1" applyBorder="1" applyAlignment="1">
      <alignment horizontal="center" vertical="center" wrapText="1"/>
    </xf>
    <xf numFmtId="0" fontId="37" fillId="5" borderId="3" xfId="0" applyFont="1" applyFill="1" applyBorder="1" applyAlignment="1">
      <alignment horizontal="center" vertical="center" wrapText="1"/>
    </xf>
    <xf numFmtId="3" fontId="37" fillId="5" borderId="3" xfId="0" applyNumberFormat="1" applyFont="1" applyFill="1" applyBorder="1" applyAlignment="1">
      <alignment horizontal="center" vertical="center" wrapText="1"/>
    </xf>
    <xf numFmtId="9" fontId="37" fillId="5" borderId="3" xfId="0" applyNumberFormat="1" applyFont="1" applyFill="1" applyBorder="1" applyAlignment="1">
      <alignment horizontal="center" vertical="center" wrapText="1"/>
    </xf>
    <xf numFmtId="0" fontId="18" fillId="0" borderId="3" xfId="0" applyFont="1" applyBorder="1" applyAlignment="1">
      <alignment horizontal="left" vertical="top" wrapText="1"/>
    </xf>
    <xf numFmtId="164" fontId="18" fillId="0" borderId="3" xfId="0" applyNumberFormat="1" applyFont="1" applyBorder="1" applyAlignment="1">
      <alignment horizontal="center" vertical="center" wrapText="1"/>
    </xf>
    <xf numFmtId="3" fontId="18" fillId="0" borderId="3" xfId="0" applyNumberFormat="1" applyFont="1" applyBorder="1" applyAlignment="1">
      <alignment horizontal="center" vertical="center" wrapText="1"/>
    </xf>
    <xf numFmtId="3" fontId="33" fillId="8" borderId="3" xfId="0" applyNumberFormat="1" applyFont="1" applyFill="1" applyBorder="1" applyAlignment="1">
      <alignment horizontal="center" vertical="center" wrapText="1"/>
    </xf>
    <xf numFmtId="9" fontId="33" fillId="8" borderId="3" xfId="0" applyNumberFormat="1" applyFont="1" applyFill="1" applyBorder="1" applyAlignment="1">
      <alignment horizontal="center" vertical="center" wrapText="1"/>
    </xf>
    <xf numFmtId="9" fontId="18" fillId="0" borderId="3" xfId="0" applyNumberFormat="1" applyFont="1" applyBorder="1" applyAlignment="1">
      <alignment horizontal="center" vertical="center" wrapText="1"/>
    </xf>
    <xf numFmtId="0" fontId="27" fillId="2" borderId="0" xfId="0" applyFont="1" applyFill="1"/>
    <xf numFmtId="0" fontId="38" fillId="0" borderId="3" xfId="0" applyFont="1" applyBorder="1" applyAlignment="1">
      <alignment horizontal="center" vertical="center" wrapText="1"/>
    </xf>
    <xf numFmtId="0" fontId="18" fillId="0" borderId="3" xfId="0" applyFont="1" applyBorder="1" applyAlignment="1">
      <alignment horizontal="center" vertical="center" wrapText="1"/>
    </xf>
    <xf numFmtId="0" fontId="20" fillId="0" borderId="0" xfId="0" applyFont="1"/>
    <xf numFmtId="0" fontId="33" fillId="8" borderId="0" xfId="0" applyFont="1" applyFill="1"/>
    <xf numFmtId="0" fontId="18" fillId="0" borderId="3" xfId="0" applyFont="1" applyBorder="1" applyAlignment="1">
      <alignment horizontal="left" vertical="center" wrapText="1"/>
    </xf>
    <xf numFmtId="0" fontId="33" fillId="8" borderId="3" xfId="0" applyFont="1" applyFill="1" applyBorder="1" applyAlignment="1">
      <alignment horizontal="left" vertical="center" wrapText="1"/>
    </xf>
    <xf numFmtId="20" fontId="18" fillId="0" borderId="3" xfId="0" applyNumberFormat="1" applyFont="1" applyBorder="1" applyAlignment="1">
      <alignment horizontal="center" vertical="center" wrapText="1"/>
    </xf>
    <xf numFmtId="165" fontId="33" fillId="8" borderId="3" xfId="0" applyNumberFormat="1" applyFont="1" applyFill="1" applyBorder="1" applyAlignment="1">
      <alignment horizontal="center" vertical="center" wrapText="1"/>
    </xf>
    <xf numFmtId="0" fontId="0" fillId="8" borderId="3" xfId="0" applyFill="1" applyBorder="1" applyAlignment="1">
      <alignment horizontal="center" vertical="center" wrapText="1"/>
    </xf>
    <xf numFmtId="166" fontId="18" fillId="0" borderId="3" xfId="0" applyNumberFormat="1" applyFont="1" applyBorder="1" applyAlignment="1">
      <alignment horizontal="center" vertical="center" wrapText="1"/>
    </xf>
    <xf numFmtId="164" fontId="18" fillId="0" borderId="3" xfId="0" applyNumberFormat="1" applyFont="1" applyBorder="1" applyAlignment="1">
      <alignment horizontal="left" vertical="center" wrapText="1"/>
    </xf>
    <xf numFmtId="0" fontId="20" fillId="0" borderId="3" xfId="0" applyFont="1" applyBorder="1" applyAlignment="1">
      <alignment horizontal="left" vertical="center" wrapText="1"/>
    </xf>
    <xf numFmtId="0" fontId="13" fillId="0" borderId="0" xfId="0" applyFont="1" applyAlignment="1">
      <alignment horizontal="left" vertical="center" wrapText="1"/>
    </xf>
    <xf numFmtId="0" fontId="33" fillId="8" borderId="0" xfId="0" applyFont="1" applyFill="1" applyAlignment="1">
      <alignment horizontal="center" vertical="center" wrapText="1"/>
    </xf>
    <xf numFmtId="1" fontId="18" fillId="0" borderId="3" xfId="0" applyNumberFormat="1" applyFont="1" applyBorder="1" applyAlignment="1">
      <alignment horizontal="center" vertical="center" wrapText="1"/>
    </xf>
    <xf numFmtId="164" fontId="33" fillId="8" borderId="3" xfId="0" applyNumberFormat="1" applyFont="1" applyFill="1" applyBorder="1" applyAlignment="1">
      <alignment horizontal="center" vertical="center" wrapText="1"/>
    </xf>
    <xf numFmtId="0" fontId="9" fillId="0" borderId="3" xfId="0" applyFont="1" applyBorder="1" applyAlignment="1">
      <alignment horizontal="left" vertical="center" wrapText="1"/>
    </xf>
    <xf numFmtId="0" fontId="25" fillId="2" borderId="0" xfId="0" applyFont="1" applyFill="1" applyAlignment="1">
      <alignment horizontal="center" vertical="center"/>
    </xf>
    <xf numFmtId="0" fontId="38" fillId="0" borderId="0" xfId="0" applyFont="1" applyAlignment="1">
      <alignment horizontal="center" vertical="center" wrapText="1"/>
    </xf>
    <xf numFmtId="0" fontId="33" fillId="8" borderId="0" xfId="0" applyFont="1" applyFill="1" applyAlignment="1">
      <alignment horizontal="center" vertical="center"/>
    </xf>
    <xf numFmtId="3" fontId="33" fillId="8" borderId="0" xfId="0" applyNumberFormat="1" applyFont="1" applyFill="1" applyAlignment="1">
      <alignment horizontal="center" vertical="center"/>
    </xf>
    <xf numFmtId="167" fontId="33" fillId="8" borderId="0" xfId="0" applyNumberFormat="1" applyFont="1" applyFill="1" applyAlignment="1">
      <alignment horizontal="center" vertical="center"/>
    </xf>
    <xf numFmtId="0" fontId="38" fillId="0" borderId="0" xfId="0" applyFont="1" applyAlignment="1">
      <alignment horizontal="center" vertical="center"/>
    </xf>
    <xf numFmtId="0" fontId="0" fillId="0" borderId="0" xfId="0" applyAlignment="1">
      <alignment horizontal="left" vertical="center"/>
    </xf>
    <xf numFmtId="0" fontId="7" fillId="7" borderId="0" xfId="0" applyFont="1" applyFill="1" applyAlignment="1">
      <alignment horizontal="center" vertical="center" wrapText="1"/>
    </xf>
    <xf numFmtId="0" fontId="18" fillId="0" borderId="0" xfId="0" applyFont="1" applyAlignment="1">
      <alignment horizontal="center" vertical="center"/>
    </xf>
    <xf numFmtId="164" fontId="18" fillId="0" borderId="0" xfId="0" applyNumberFormat="1" applyFont="1" applyAlignment="1">
      <alignment horizontal="center" vertical="center"/>
    </xf>
    <xf numFmtId="164" fontId="33" fillId="8" borderId="0" xfId="0" applyNumberFormat="1" applyFont="1" applyFill="1" applyAlignment="1">
      <alignment horizontal="center" vertical="center"/>
    </xf>
    <xf numFmtId="3" fontId="18" fillId="0" borderId="0" xfId="0" applyNumberFormat="1" applyFont="1" applyAlignment="1">
      <alignment horizontal="center" vertical="center"/>
    </xf>
    <xf numFmtId="167" fontId="18" fillId="0" borderId="0" xfId="0" applyNumberFormat="1" applyFont="1" applyAlignment="1">
      <alignment horizontal="center" vertical="center"/>
    </xf>
    <xf numFmtId="0" fontId="7" fillId="7" borderId="0" xfId="0" applyFont="1" applyFill="1" applyAlignment="1">
      <alignment horizontal="center" vertical="center"/>
    </xf>
    <xf numFmtId="0" fontId="9" fillId="0" borderId="0" xfId="0" applyFont="1" applyAlignment="1">
      <alignment horizontal="left" vertical="center"/>
    </xf>
    <xf numFmtId="1" fontId="33" fillId="8" borderId="0" xfId="0" applyNumberFormat="1" applyFont="1" applyFill="1" applyAlignment="1">
      <alignment horizontal="center" vertical="center"/>
    </xf>
    <xf numFmtId="0" fontId="25" fillId="2" borderId="0" xfId="0" applyFont="1" applyFill="1" applyAlignment="1">
      <alignment horizontal="center" vertical="center" wrapText="1"/>
    </xf>
    <xf numFmtId="0" fontId="38" fillId="0" borderId="0" xfId="0" applyFont="1" applyAlignment="1">
      <alignment horizontal="left" vertical="center" wrapText="1"/>
    </xf>
    <xf numFmtId="164" fontId="39" fillId="0" borderId="0" xfId="0" applyNumberFormat="1" applyFont="1" applyAlignment="1">
      <alignment horizontal="left" vertical="center" wrapText="1"/>
    </xf>
    <xf numFmtId="0" fontId="25" fillId="2" borderId="2" xfId="0" applyFont="1" applyFill="1" applyBorder="1" applyAlignment="1">
      <alignment horizontal="center" vertical="center" wrapText="1"/>
    </xf>
    <xf numFmtId="0" fontId="40" fillId="5" borderId="2" xfId="0" applyFont="1" applyFill="1" applyBorder="1" applyAlignment="1">
      <alignment horizontal="center" vertical="center" wrapText="1"/>
    </xf>
    <xf numFmtId="3" fontId="40" fillId="5" borderId="2" xfId="0" applyNumberFormat="1" applyFont="1" applyFill="1" applyBorder="1" applyAlignment="1">
      <alignment horizontal="center" vertical="center" wrapText="1"/>
    </xf>
    <xf numFmtId="9" fontId="40" fillId="5" borderId="2" xfId="0" applyNumberFormat="1" applyFont="1" applyFill="1" applyBorder="1" applyAlignment="1">
      <alignment horizontal="center" vertical="center" wrapText="1"/>
    </xf>
    <xf numFmtId="0" fontId="39" fillId="0" borderId="2" xfId="0" applyFont="1" applyBorder="1" applyAlignment="1">
      <alignment horizontal="center" vertical="center" wrapText="1"/>
    </xf>
    <xf numFmtId="0" fontId="17" fillId="0" borderId="2" xfId="0" applyFont="1" applyBorder="1" applyAlignment="1">
      <alignment horizontal="center" vertical="center" wrapText="1"/>
    </xf>
    <xf numFmtId="164" fontId="17" fillId="0" borderId="2" xfId="0" applyNumberFormat="1" applyFont="1" applyBorder="1" applyAlignment="1">
      <alignment horizontal="center" vertical="center" wrapText="1"/>
    </xf>
    <xf numFmtId="3" fontId="17" fillId="0" borderId="2" xfId="0" applyNumberFormat="1" applyFont="1" applyBorder="1" applyAlignment="1">
      <alignment horizontal="center" vertical="center" wrapText="1"/>
    </xf>
    <xf numFmtId="3" fontId="39" fillId="0" borderId="2" xfId="0" applyNumberFormat="1" applyFont="1" applyBorder="1" applyAlignment="1">
      <alignment horizontal="center" vertical="center" wrapText="1"/>
    </xf>
    <xf numFmtId="9" fontId="39" fillId="0" borderId="2" xfId="0" applyNumberFormat="1" applyFont="1" applyBorder="1" applyAlignment="1">
      <alignment horizontal="center" vertical="center" wrapText="1"/>
    </xf>
    <xf numFmtId="0" fontId="13" fillId="0" borderId="2" xfId="0" applyFont="1" applyBorder="1" applyAlignment="1">
      <alignment horizontal="left" vertical="center" wrapText="1"/>
    </xf>
    <xf numFmtId="0" fontId="31" fillId="2" borderId="0" xfId="0" applyFont="1" applyFill="1" applyAlignment="1">
      <alignment horizontal="center" vertical="center" wrapText="1"/>
    </xf>
    <xf numFmtId="164" fontId="38" fillId="0" borderId="0" xfId="0" applyNumberFormat="1" applyFont="1"/>
    <xf numFmtId="3" fontId="40" fillId="0" borderId="0" xfId="0" applyNumberFormat="1" applyFont="1" applyAlignment="1">
      <alignment horizontal="center" vertical="center" wrapText="1"/>
    </xf>
    <xf numFmtId="9" fontId="40" fillId="0" borderId="0" xfId="0" applyNumberFormat="1" applyFont="1" applyAlignment="1">
      <alignment horizontal="center" vertical="center" wrapText="1"/>
    </xf>
    <xf numFmtId="0" fontId="40" fillId="0" borderId="0" xfId="0" applyFont="1" applyAlignment="1">
      <alignment horizontal="center" vertical="center" wrapText="1"/>
    </xf>
    <xf numFmtId="0" fontId="11" fillId="7" borderId="0" xfId="0" applyFont="1" applyFill="1" applyAlignment="1">
      <alignment horizontal="center" vertical="center" wrapText="1"/>
    </xf>
    <xf numFmtId="0" fontId="0" fillId="0" borderId="0" xfId="0" applyAlignment="1">
      <alignment horizontal="left" vertical="center" wrapText="1"/>
    </xf>
    <xf numFmtId="0" fontId="41" fillId="0" borderId="0" xfId="0" applyFont="1" applyAlignment="1">
      <alignment horizontal="center" vertical="center" wrapText="1"/>
    </xf>
    <xf numFmtId="1" fontId="0" fillId="0" borderId="0" xfId="0" applyNumberFormat="1" applyAlignment="1">
      <alignment horizontal="center" vertical="center" wrapText="1"/>
    </xf>
    <xf numFmtId="3" fontId="41" fillId="0" borderId="0" xfId="0" applyNumberFormat="1" applyFont="1" applyAlignment="1">
      <alignment horizontal="center" vertical="center" wrapText="1"/>
    </xf>
    <xf numFmtId="0" fontId="39" fillId="0" borderId="0" xfId="0" applyFont="1" applyAlignment="1">
      <alignment horizontal="center" vertical="center" wrapText="1"/>
    </xf>
    <xf numFmtId="0" fontId="17" fillId="0" borderId="0" xfId="0" applyFont="1" applyAlignment="1">
      <alignment horizontal="center" vertical="center" wrapText="1"/>
    </xf>
    <xf numFmtId="0" fontId="39" fillId="0" borderId="0" xfId="0" applyFont="1" applyAlignment="1">
      <alignment horizontal="left" vertical="center" wrapText="1"/>
    </xf>
    <xf numFmtId="164" fontId="17" fillId="0" borderId="0" xfId="0" applyNumberFormat="1" applyFont="1" applyAlignment="1">
      <alignment horizontal="center" vertical="center" wrapText="1"/>
    </xf>
    <xf numFmtId="1" fontId="39" fillId="0" borderId="0" xfId="0" applyNumberFormat="1" applyFont="1" applyAlignment="1">
      <alignment horizontal="center" vertical="center" wrapText="1"/>
    </xf>
    <xf numFmtId="168" fontId="17" fillId="0" borderId="0" xfId="0" applyNumberFormat="1" applyFont="1" applyAlignment="1">
      <alignment horizontal="center" vertical="center" wrapText="1"/>
    </xf>
    <xf numFmtId="3" fontId="17" fillId="0" borderId="0" xfId="0" applyNumberFormat="1" applyFont="1" applyAlignment="1">
      <alignment horizontal="center" vertical="center" wrapText="1"/>
    </xf>
    <xf numFmtId="3" fontId="39" fillId="0" borderId="0" xfId="0" applyNumberFormat="1" applyFont="1" applyAlignment="1">
      <alignment horizontal="center" vertical="center" wrapText="1"/>
    </xf>
    <xf numFmtId="0" fontId="17" fillId="0" borderId="0" xfId="0" applyFont="1" applyAlignment="1">
      <alignment horizontal="left" vertical="center" wrapText="1"/>
    </xf>
    <xf numFmtId="0" fontId="41" fillId="0" borderId="0" xfId="0" applyFont="1" applyAlignment="1">
      <alignment horizontal="left" vertical="center" wrapText="1"/>
    </xf>
    <xf numFmtId="1" fontId="41" fillId="0" borderId="0" xfId="0" applyNumberFormat="1" applyFont="1" applyAlignment="1">
      <alignment horizontal="center" vertical="center" wrapText="1"/>
    </xf>
    <xf numFmtId="0" fontId="38" fillId="0" borderId="0" xfId="0" applyFont="1" applyAlignment="1">
      <alignment horizontal="left" vertical="center"/>
    </xf>
    <xf numFmtId="164" fontId="38" fillId="0" borderId="0" xfId="0" applyNumberFormat="1" applyFont="1" applyAlignment="1">
      <alignment horizontal="center" vertical="center"/>
    </xf>
    <xf numFmtId="3" fontId="40" fillId="0" borderId="0" xfId="0" applyNumberFormat="1" applyFont="1" applyAlignment="1">
      <alignment horizontal="center" vertical="center"/>
    </xf>
    <xf numFmtId="3" fontId="0" fillId="0" borderId="0" xfId="0" applyNumberFormat="1" applyAlignment="1">
      <alignment horizontal="center" vertical="center"/>
    </xf>
    <xf numFmtId="167" fontId="40" fillId="0" borderId="0" xfId="0" applyNumberFormat="1" applyFont="1" applyAlignment="1">
      <alignment horizontal="center" vertical="center"/>
    </xf>
    <xf numFmtId="0" fontId="13" fillId="0" borderId="0" xfId="0" applyFont="1" applyAlignment="1">
      <alignment horizontal="left" vertical="center"/>
    </xf>
    <xf numFmtId="0" fontId="39" fillId="0" borderId="0" xfId="0" applyFont="1" applyAlignment="1">
      <alignment horizontal="center" vertical="center"/>
    </xf>
    <xf numFmtId="1" fontId="17" fillId="0" borderId="0" xfId="0" applyNumberFormat="1" applyFont="1" applyAlignment="1">
      <alignment horizontal="center" vertical="center"/>
    </xf>
    <xf numFmtId="3" fontId="39" fillId="0" borderId="0" xfId="0" applyNumberFormat="1" applyFont="1" applyAlignment="1">
      <alignment horizontal="center" vertical="center"/>
    </xf>
    <xf numFmtId="0" fontId="39" fillId="0" borderId="0" xfId="0" applyFont="1" applyAlignment="1">
      <alignment horizontal="left" vertical="center"/>
    </xf>
    <xf numFmtId="167" fontId="39" fillId="0" borderId="0" xfId="0" applyNumberFormat="1" applyFont="1" applyAlignment="1">
      <alignment horizontal="center" vertical="center"/>
    </xf>
    <xf numFmtId="0" fontId="17" fillId="0" borderId="0" xfId="0" applyFont="1" applyAlignment="1">
      <alignment horizontal="center" vertical="center"/>
    </xf>
    <xf numFmtId="0" fontId="17" fillId="0" borderId="0" xfId="0" applyFont="1" applyAlignment="1">
      <alignment horizontal="left" vertical="center"/>
    </xf>
    <xf numFmtId="3" fontId="17" fillId="0" borderId="0" xfId="0" applyNumberFormat="1" applyFont="1" applyAlignment="1">
      <alignment horizontal="center" vertical="center"/>
    </xf>
    <xf numFmtId="168" fontId="17" fillId="0" borderId="0" xfId="0" applyNumberFormat="1" applyFont="1" applyAlignment="1">
      <alignment horizontal="center" vertical="center"/>
    </xf>
    <xf numFmtId="164" fontId="17" fillId="0" borderId="0" xfId="0" applyNumberFormat="1" applyFont="1" applyAlignment="1">
      <alignment horizontal="center" vertical="center"/>
    </xf>
    <xf numFmtId="0" fontId="0" fillId="0" borderId="0" xfId="0" applyAlignment="1">
      <alignment horizontal="center" vertical="center"/>
    </xf>
    <xf numFmtId="0" fontId="38" fillId="0" borderId="0" xfId="0" applyFont="1"/>
    <xf numFmtId="164" fontId="33" fillId="0" borderId="0" xfId="0" applyNumberFormat="1" applyFont="1"/>
    <xf numFmtId="1" fontId="33" fillId="8" borderId="3" xfId="0" applyNumberFormat="1" applyFont="1" applyFill="1" applyBorder="1" applyAlignment="1">
      <alignment horizontal="center" vertical="center" wrapText="1"/>
    </xf>
    <xf numFmtId="0" fontId="39" fillId="0" borderId="3" xfId="0" applyFont="1" applyBorder="1" applyAlignment="1">
      <alignment horizontal="center"/>
    </xf>
    <xf numFmtId="0" fontId="7" fillId="7" borderId="3" xfId="0" applyFont="1" applyFill="1" applyBorder="1" applyAlignment="1">
      <alignment horizontal="center"/>
    </xf>
    <xf numFmtId="0" fontId="33" fillId="8" borderId="3" xfId="0" applyFont="1" applyFill="1" applyBorder="1" applyAlignment="1">
      <alignment horizontal="center"/>
    </xf>
    <xf numFmtId="0" fontId="18" fillId="0" borderId="3" xfId="0" applyFont="1" applyBorder="1" applyAlignment="1">
      <alignment horizontal="center"/>
    </xf>
    <xf numFmtId="164" fontId="18" fillId="0" borderId="3" xfId="0" applyNumberFormat="1" applyFont="1" applyBorder="1" applyAlignment="1">
      <alignment horizontal="center"/>
    </xf>
    <xf numFmtId="0" fontId="18" fillId="0" borderId="3" xfId="0" applyFont="1" applyBorder="1" applyAlignment="1">
      <alignment horizontal="left"/>
    </xf>
    <xf numFmtId="3" fontId="18" fillId="11" borderId="3" xfId="0" applyNumberFormat="1" applyFont="1" applyFill="1" applyBorder="1" applyAlignment="1">
      <alignment horizontal="center"/>
    </xf>
    <xf numFmtId="3" fontId="33" fillId="8" borderId="3" xfId="0" applyNumberFormat="1" applyFont="1" applyFill="1" applyBorder="1" applyAlignment="1">
      <alignment horizontal="center"/>
    </xf>
    <xf numFmtId="0" fontId="39" fillId="8" borderId="3" xfId="0" applyFont="1" applyFill="1" applyBorder="1" applyAlignment="1">
      <alignment horizontal="center"/>
    </xf>
    <xf numFmtId="0" fontId="17" fillId="0" borderId="3" xfId="0" applyFont="1" applyBorder="1" applyAlignment="1">
      <alignment horizontal="center"/>
    </xf>
    <xf numFmtId="164" fontId="17" fillId="0" borderId="3" xfId="0" applyNumberFormat="1" applyFont="1" applyBorder="1" applyAlignment="1">
      <alignment horizontal="center"/>
    </xf>
    <xf numFmtId="9" fontId="17" fillId="0" borderId="3" xfId="0" applyNumberFormat="1" applyFont="1" applyBorder="1" applyAlignment="1">
      <alignment horizontal="center"/>
    </xf>
    <xf numFmtId="164" fontId="11" fillId="7" borderId="3" xfId="0" applyNumberFormat="1" applyFont="1" applyFill="1" applyBorder="1" applyAlignment="1">
      <alignment horizontal="center"/>
    </xf>
    <xf numFmtId="3" fontId="17" fillId="0" borderId="3" xfId="0" applyNumberFormat="1" applyFont="1" applyBorder="1" applyAlignment="1">
      <alignment horizontal="center"/>
    </xf>
    <xf numFmtId="3" fontId="11" fillId="7" borderId="3" xfId="0" applyNumberFormat="1" applyFont="1" applyFill="1" applyBorder="1" applyAlignment="1">
      <alignment horizontal="center"/>
    </xf>
    <xf numFmtId="1" fontId="17" fillId="0" borderId="3" xfId="0" applyNumberFormat="1" applyFont="1" applyBorder="1" applyAlignment="1">
      <alignment horizontal="center"/>
    </xf>
    <xf numFmtId="1" fontId="11" fillId="7" borderId="3" xfId="0" applyNumberFormat="1" applyFont="1" applyFill="1" applyBorder="1" applyAlignment="1">
      <alignment horizontal="center"/>
    </xf>
    <xf numFmtId="1" fontId="39" fillId="8" borderId="3" xfId="0" applyNumberFormat="1" applyFont="1" applyFill="1" applyBorder="1" applyAlignment="1">
      <alignment horizontal="center"/>
    </xf>
    <xf numFmtId="0" fontId="13" fillId="8" borderId="3" xfId="0" applyFont="1" applyFill="1" applyBorder="1" applyAlignment="1">
      <alignment horizontal="center"/>
    </xf>
    <xf numFmtId="0" fontId="11" fillId="7" borderId="3" xfId="0" applyFont="1" applyFill="1" applyBorder="1"/>
    <xf numFmtId="0" fontId="39" fillId="8" borderId="3" xfId="0" applyFont="1" applyFill="1" applyBorder="1"/>
    <xf numFmtId="9" fontId="39" fillId="8" borderId="3" xfId="0" applyNumberFormat="1" applyFont="1" applyFill="1" applyBorder="1" applyAlignment="1">
      <alignment horizontal="center"/>
    </xf>
    <xf numFmtId="0" fontId="3" fillId="0" borderId="0" xfId="0" applyFont="1"/>
    <xf numFmtId="0" fontId="31" fillId="2" borderId="3" xfId="0" applyFont="1" applyFill="1" applyBorder="1" applyAlignment="1">
      <alignment horizontal="left" vertical="center"/>
    </xf>
    <xf numFmtId="0" fontId="7" fillId="5" borderId="3" xfId="0" applyFont="1" applyFill="1" applyBorder="1" applyAlignment="1">
      <alignment horizontal="center" vertical="center"/>
    </xf>
    <xf numFmtId="0" fontId="33" fillId="8" borderId="3" xfId="0" applyFont="1" applyFill="1" applyBorder="1" applyAlignment="1">
      <alignment horizontal="center" vertical="center"/>
    </xf>
    <xf numFmtId="9" fontId="33" fillId="8" borderId="3" xfId="0" applyNumberFormat="1" applyFont="1" applyFill="1" applyBorder="1" applyAlignment="1">
      <alignment horizontal="center" vertical="center"/>
    </xf>
    <xf numFmtId="0" fontId="33" fillId="8" borderId="3" xfId="0" applyFont="1" applyFill="1" applyBorder="1" applyAlignment="1">
      <alignment horizontal="left" vertical="top" wrapText="1"/>
    </xf>
    <xf numFmtId="0" fontId="33" fillId="0" borderId="3" xfId="0" applyFont="1" applyBorder="1" applyAlignment="1">
      <alignment horizontal="left" vertical="center"/>
    </xf>
    <xf numFmtId="0" fontId="0" fillId="0" borderId="3" xfId="0" applyBorder="1"/>
    <xf numFmtId="0" fontId="33" fillId="0" borderId="3" xfId="0" applyFont="1" applyBorder="1" applyAlignment="1">
      <alignment horizontal="left" vertical="top" wrapText="1"/>
    </xf>
    <xf numFmtId="0" fontId="33" fillId="0" borderId="3" xfId="0" applyFont="1" applyBorder="1" applyAlignment="1">
      <alignment horizontal="center" vertical="center"/>
    </xf>
    <xf numFmtId="9" fontId="33" fillId="0" borderId="3" xfId="0" applyNumberFormat="1" applyFont="1" applyBorder="1" applyAlignment="1">
      <alignment horizontal="center" vertical="center"/>
    </xf>
    <xf numFmtId="0" fontId="43" fillId="0" borderId="0" xfId="0" applyFont="1"/>
    <xf numFmtId="0" fontId="17" fillId="12" borderId="6" xfId="0" applyFont="1" applyFill="1" applyBorder="1" applyAlignment="1">
      <alignment horizontal="center"/>
    </xf>
    <xf numFmtId="164" fontId="44" fillId="0" borderId="6" xfId="0" applyNumberFormat="1" applyFont="1" applyBorder="1" applyAlignment="1">
      <alignment horizontal="center"/>
    </xf>
    <xf numFmtId="0" fontId="11" fillId="7" borderId="6" xfId="0" applyFont="1" applyFill="1" applyBorder="1" applyAlignment="1">
      <alignment horizontal="center" vertical="center" wrapText="1"/>
    </xf>
    <xf numFmtId="3" fontId="44" fillId="0" borderId="6" xfId="0" applyNumberFormat="1" applyFont="1" applyBorder="1" applyAlignment="1">
      <alignment horizontal="center" vertical="center"/>
    </xf>
    <xf numFmtId="3" fontId="44" fillId="13" borderId="6" xfId="0" applyNumberFormat="1" applyFont="1" applyFill="1" applyBorder="1" applyAlignment="1">
      <alignment horizontal="center" vertical="center"/>
    </xf>
    <xf numFmtId="0" fontId="0" fillId="13" borderId="0" xfId="0" applyFill="1"/>
    <xf numFmtId="0" fontId="3" fillId="13" borderId="0" xfId="0" applyFont="1" applyFill="1"/>
    <xf numFmtId="169" fontId="44" fillId="13" borderId="6" xfId="0" applyNumberFormat="1" applyFont="1" applyFill="1" applyBorder="1" applyAlignment="1">
      <alignment horizontal="center" vertical="center"/>
    </xf>
    <xf numFmtId="169" fontId="44" fillId="0" borderId="6" xfId="0" applyNumberFormat="1" applyFont="1" applyBorder="1" applyAlignment="1">
      <alignment horizontal="center" vertical="center"/>
    </xf>
    <xf numFmtId="167" fontId="44" fillId="13" borderId="6" xfId="0" applyNumberFormat="1" applyFont="1" applyFill="1" applyBorder="1" applyAlignment="1">
      <alignment horizontal="center" vertical="center"/>
    </xf>
    <xf numFmtId="167" fontId="44" fillId="0" borderId="6" xfId="0" applyNumberFormat="1" applyFont="1" applyBorder="1" applyAlignment="1">
      <alignment horizontal="center" vertical="center"/>
    </xf>
    <xf numFmtId="0" fontId="45" fillId="13" borderId="6" xfId="0" applyFont="1" applyFill="1" applyBorder="1" applyAlignment="1">
      <alignment horizontal="left" vertical="center" indent="1"/>
    </xf>
    <xf numFmtId="169" fontId="45" fillId="13" borderId="6" xfId="0" applyNumberFormat="1" applyFont="1" applyFill="1" applyBorder="1" applyAlignment="1">
      <alignment horizontal="center" vertical="center"/>
    </xf>
    <xf numFmtId="167" fontId="45" fillId="13" borderId="6" xfId="0" applyNumberFormat="1" applyFont="1" applyFill="1" applyBorder="1" applyAlignment="1">
      <alignment horizontal="center" vertical="center"/>
    </xf>
    <xf numFmtId="0" fontId="45" fillId="0" borderId="6" xfId="0" applyFont="1" applyBorder="1" applyAlignment="1">
      <alignment horizontal="left" vertical="center" indent="1"/>
    </xf>
    <xf numFmtId="169" fontId="45" fillId="0" borderId="6" xfId="0" applyNumberFormat="1" applyFont="1" applyBorder="1" applyAlignment="1">
      <alignment horizontal="center" vertical="center"/>
    </xf>
    <xf numFmtId="167" fontId="45" fillId="0" borderId="6" xfId="0" applyNumberFormat="1" applyFont="1" applyBorder="1" applyAlignment="1">
      <alignment horizontal="center" vertical="center"/>
    </xf>
    <xf numFmtId="0" fontId="45" fillId="13" borderId="6" xfId="0" applyFont="1" applyFill="1" applyBorder="1" applyAlignment="1">
      <alignment horizontal="center" vertical="center"/>
    </xf>
    <xf numFmtId="0" fontId="45" fillId="0" borderId="6" xfId="0" applyFont="1" applyBorder="1" applyAlignment="1">
      <alignment horizontal="center" vertical="center"/>
    </xf>
    <xf numFmtId="0" fontId="46" fillId="13" borderId="6" xfId="0" applyFont="1" applyFill="1" applyBorder="1" applyAlignment="1">
      <alignment horizontal="left" vertical="center" indent="1"/>
    </xf>
    <xf numFmtId="3" fontId="45" fillId="13" borderId="6" xfId="0" applyNumberFormat="1" applyFont="1" applyFill="1" applyBorder="1" applyAlignment="1">
      <alignment horizontal="center" vertical="center"/>
    </xf>
    <xf numFmtId="0" fontId="46" fillId="0" borderId="6" xfId="0" applyFont="1" applyBorder="1" applyAlignment="1">
      <alignment horizontal="left" vertical="center" indent="1"/>
    </xf>
    <xf numFmtId="3" fontId="45" fillId="0" borderId="6" xfId="0" applyNumberFormat="1" applyFont="1" applyBorder="1" applyAlignment="1">
      <alignment horizontal="center" vertical="center"/>
    </xf>
    <xf numFmtId="0" fontId="45" fillId="0" borderId="6" xfId="0" applyFont="1" applyBorder="1" applyAlignment="1">
      <alignment horizontal="center"/>
    </xf>
    <xf numFmtId="169" fontId="45" fillId="0" borderId="6" xfId="0" applyNumberFormat="1" applyFont="1" applyBorder="1" applyAlignment="1">
      <alignment horizontal="center"/>
    </xf>
    <xf numFmtId="0" fontId="52" fillId="28" borderId="0" xfId="0" applyFont="1" applyFill="1"/>
    <xf numFmtId="0" fontId="50" fillId="0" borderId="0" xfId="0" applyFont="1"/>
    <xf numFmtId="0" fontId="48" fillId="26" borderId="0" xfId="0" applyFont="1" applyFill="1"/>
    <xf numFmtId="0" fontId="50" fillId="27" borderId="0" xfId="0" applyFont="1" applyFill="1"/>
    <xf numFmtId="0" fontId="51" fillId="0" borderId="0" xfId="0" applyFont="1"/>
    <xf numFmtId="0" fontId="53" fillId="25" borderId="0" xfId="0" applyFont="1" applyFill="1"/>
    <xf numFmtId="0" fontId="54" fillId="0" borderId="0" xfId="0" applyFont="1"/>
    <xf numFmtId="0" fontId="59" fillId="0" borderId="0" xfId="0" applyFont="1"/>
    <xf numFmtId="0" fontId="60" fillId="6" borderId="0" xfId="0" applyFont="1" applyFill="1"/>
    <xf numFmtId="0" fontId="61" fillId="0" borderId="0" xfId="0" applyFont="1"/>
    <xf numFmtId="0" fontId="65" fillId="6" borderId="9" xfId="0" applyFont="1" applyFill="1" applyBorder="1" applyAlignment="1">
      <alignment horizontal="center" vertical="center"/>
    </xf>
    <xf numFmtId="0" fontId="62" fillId="15" borderId="0" xfId="0" applyFont="1" applyFill="1" applyAlignment="1">
      <alignment vertical="center"/>
    </xf>
    <xf numFmtId="0" fontId="69" fillId="26" borderId="0" xfId="0" applyFont="1" applyFill="1"/>
    <xf numFmtId="0" fontId="72" fillId="0" borderId="0" xfId="0" applyFont="1" applyAlignment="1">
      <alignment horizontal="center"/>
    </xf>
    <xf numFmtId="0" fontId="57" fillId="29" borderId="0" xfId="2" applyFont="1" applyAlignment="1">
      <alignment horizontal="left" vertical="center"/>
    </xf>
    <xf numFmtId="0" fontId="57" fillId="29" borderId="0" xfId="2" applyFont="1"/>
    <xf numFmtId="0" fontId="63" fillId="16" borderId="8" xfId="0" applyFont="1" applyFill="1" applyBorder="1" applyAlignment="1">
      <alignment horizontal="left" vertical="center"/>
    </xf>
    <xf numFmtId="0" fontId="59" fillId="0" borderId="27" xfId="0" applyFont="1" applyBorder="1"/>
    <xf numFmtId="0" fontId="62" fillId="18" borderId="10" xfId="0" applyFont="1" applyFill="1" applyBorder="1" applyAlignment="1">
      <alignment horizontal="center" vertical="center"/>
    </xf>
    <xf numFmtId="0" fontId="59" fillId="0" borderId="34" xfId="0" applyFont="1" applyBorder="1"/>
    <xf numFmtId="0" fontId="59" fillId="0" borderId="35" xfId="0" applyFont="1" applyBorder="1"/>
    <xf numFmtId="0" fontId="62" fillId="19" borderId="10" xfId="0" applyFont="1" applyFill="1" applyBorder="1" applyAlignment="1">
      <alignment horizontal="center" vertical="center"/>
    </xf>
    <xf numFmtId="0" fontId="62" fillId="21" borderId="10" xfId="0" applyFont="1" applyFill="1" applyBorder="1" applyAlignment="1">
      <alignment horizontal="center" vertical="center"/>
    </xf>
    <xf numFmtId="0" fontId="62" fillId="22" borderId="10" xfId="0" applyFont="1" applyFill="1" applyBorder="1" applyAlignment="1">
      <alignment horizontal="center" vertical="center"/>
    </xf>
    <xf numFmtId="1" fontId="66" fillId="6" borderId="11" xfId="0" applyNumberFormat="1" applyFont="1" applyFill="1" applyBorder="1" applyAlignment="1">
      <alignment horizontal="center" vertical="center"/>
    </xf>
    <xf numFmtId="0" fontId="59" fillId="0" borderId="32" xfId="0" applyFont="1" applyBorder="1"/>
    <xf numFmtId="0" fontId="59" fillId="0" borderId="33" xfId="0" applyFont="1" applyBorder="1"/>
    <xf numFmtId="0" fontId="59" fillId="0" borderId="36" xfId="0" applyFont="1" applyBorder="1"/>
    <xf numFmtId="0" fontId="59" fillId="0" borderId="0" xfId="0" applyFont="1"/>
    <xf numFmtId="0" fontId="59" fillId="0" borderId="28" xfId="0" applyFont="1" applyBorder="1"/>
    <xf numFmtId="0" fontId="59" fillId="0" borderId="37" xfId="0" applyFont="1" applyBorder="1"/>
    <xf numFmtId="0" fontId="59" fillId="0" borderId="30" xfId="0" applyFont="1" applyBorder="1"/>
    <xf numFmtId="0" fontId="59" fillId="0" borderId="31" xfId="0" applyFont="1" applyBorder="1"/>
    <xf numFmtId="0" fontId="62" fillId="17" borderId="10" xfId="0" applyFont="1" applyFill="1" applyBorder="1" applyAlignment="1">
      <alignment horizontal="center" vertical="center"/>
    </xf>
    <xf numFmtId="0" fontId="62" fillId="20" borderId="10" xfId="0" applyFont="1" applyFill="1" applyBorder="1" applyAlignment="1">
      <alignment horizontal="center" vertical="center"/>
    </xf>
    <xf numFmtId="0" fontId="64" fillId="16" borderId="8" xfId="0" applyFont="1" applyFill="1" applyBorder="1" applyAlignment="1">
      <alignment vertical="center" wrapText="1"/>
    </xf>
    <xf numFmtId="0" fontId="59" fillId="0" borderId="25" xfId="0" applyFont="1" applyBorder="1"/>
    <xf numFmtId="0" fontId="59" fillId="0" borderId="26" xfId="0" applyFont="1" applyBorder="1"/>
    <xf numFmtId="0" fontId="59" fillId="0" borderId="29" xfId="0" applyFont="1" applyBorder="1"/>
    <xf numFmtId="0" fontId="62" fillId="15" borderId="10" xfId="0" applyFont="1" applyFill="1" applyBorder="1" applyAlignment="1">
      <alignment horizontal="center" vertical="center"/>
    </xf>
    <xf numFmtId="0" fontId="62" fillId="15" borderId="0" xfId="0" applyFont="1" applyFill="1" applyAlignment="1">
      <alignment horizontal="left" vertical="center"/>
    </xf>
    <xf numFmtId="169" fontId="66" fillId="6" borderId="11" xfId="0" applyNumberFormat="1" applyFont="1" applyFill="1" applyBorder="1" applyAlignment="1">
      <alignment horizontal="center" vertical="center"/>
    </xf>
    <xf numFmtId="0" fontId="69" fillId="25" borderId="0" xfId="0" applyFont="1" applyFill="1"/>
    <xf numFmtId="0" fontId="67" fillId="16" borderId="8" xfId="0" applyFont="1" applyFill="1" applyBorder="1" applyAlignment="1">
      <alignment horizontal="left" vertical="center"/>
    </xf>
    <xf numFmtId="0" fontId="59" fillId="0" borderId="38" xfId="0" applyFont="1" applyBorder="1"/>
    <xf numFmtId="0" fontId="68" fillId="6" borderId="8" xfId="0" applyFont="1" applyFill="1" applyBorder="1" applyAlignment="1">
      <alignment horizontal="center" vertical="center"/>
    </xf>
    <xf numFmtId="0" fontId="69" fillId="23" borderId="40" xfId="0" applyFont="1" applyFill="1" applyBorder="1" applyAlignment="1">
      <alignment horizontal="left" vertical="center"/>
    </xf>
    <xf numFmtId="0" fontId="59" fillId="0" borderId="39" xfId="0" applyFont="1" applyBorder="1"/>
    <xf numFmtId="0" fontId="71" fillId="24" borderId="0" xfId="0" applyFont="1" applyFill="1" applyAlignment="1">
      <alignment horizontal="left" vertical="center" wrapText="1"/>
    </xf>
    <xf numFmtId="0" fontId="62" fillId="15" borderId="0" xfId="0" applyFont="1" applyFill="1" applyAlignment="1">
      <alignment vertical="center"/>
    </xf>
    <xf numFmtId="167" fontId="66" fillId="6" borderId="11" xfId="0" applyNumberFormat="1" applyFont="1" applyFill="1" applyBorder="1" applyAlignment="1">
      <alignment horizontal="center" vertical="center"/>
    </xf>
    <xf numFmtId="0" fontId="64" fillId="16" borderId="0" xfId="0" applyFont="1" applyFill="1" applyAlignment="1">
      <alignment horizontal="left" vertical="center" wrapText="1"/>
    </xf>
    <xf numFmtId="0" fontId="70" fillId="24" borderId="0" xfId="0" applyFont="1" applyFill="1" applyAlignment="1">
      <alignment horizontal="left" vertical="center" wrapText="1"/>
    </xf>
    <xf numFmtId="0" fontId="62" fillId="14" borderId="0" xfId="0" applyFont="1" applyFill="1" applyAlignment="1">
      <alignment horizontal="left" vertical="center"/>
    </xf>
    <xf numFmtId="0" fontId="7" fillId="5" borderId="1" xfId="0" applyFont="1" applyFill="1" applyBorder="1" applyAlignment="1">
      <alignment horizontal="left" vertical="center" wrapText="1" indent="1"/>
    </xf>
    <xf numFmtId="0" fontId="0" fillId="0" borderId="13" xfId="0" applyBorder="1"/>
    <xf numFmtId="0" fontId="18" fillId="6" borderId="1" xfId="0" applyFont="1" applyFill="1" applyBorder="1" applyAlignment="1">
      <alignment horizontal="left" vertical="center" indent="1"/>
    </xf>
    <xf numFmtId="0" fontId="0" fillId="0" borderId="12" xfId="0" applyBorder="1"/>
    <xf numFmtId="0" fontId="47" fillId="25" borderId="0" xfId="0" applyFont="1" applyFill="1"/>
    <xf numFmtId="0" fontId="0" fillId="0" borderId="0" xfId="0"/>
    <xf numFmtId="0" fontId="49" fillId="25" borderId="0" xfId="0" applyFont="1" applyFill="1"/>
    <xf numFmtId="0" fontId="22" fillId="0" borderId="1" xfId="0" applyFont="1" applyBorder="1" applyAlignment="1">
      <alignment horizontal="left" vertical="center" indent="1"/>
    </xf>
    <xf numFmtId="0" fontId="24" fillId="0" borderId="1" xfId="0" applyFont="1" applyBorder="1" applyAlignment="1">
      <alignment horizontal="left" vertical="center" wrapText="1" indent="1"/>
    </xf>
    <xf numFmtId="0" fontId="4" fillId="4" borderId="0" xfId="0" applyFont="1" applyFill="1" applyAlignment="1">
      <alignment horizontal="left" vertical="center" indent="1"/>
    </xf>
    <xf numFmtId="0" fontId="25" fillId="4" borderId="0" xfId="0" applyFont="1" applyFill="1" applyAlignment="1">
      <alignment horizontal="center" vertical="center"/>
    </xf>
    <xf numFmtId="0" fontId="3" fillId="6" borderId="0" xfId="0" applyFont="1" applyFill="1"/>
    <xf numFmtId="0" fontId="5" fillId="5" borderId="0" xfId="0" applyFont="1" applyFill="1" applyAlignment="1">
      <alignment horizontal="left" vertical="center" indent="1"/>
    </xf>
    <xf numFmtId="0" fontId="3" fillId="5" borderId="0" xfId="0" applyFont="1" applyFill="1"/>
    <xf numFmtId="0" fontId="5" fillId="6" borderId="0" xfId="0" applyFont="1" applyFill="1" applyAlignment="1">
      <alignment horizontal="left" vertical="center" indent="1"/>
    </xf>
    <xf numFmtId="0" fontId="19" fillId="6" borderId="1" xfId="0" applyFont="1" applyFill="1" applyBorder="1" applyAlignment="1">
      <alignment horizontal="left" vertical="center" indent="1"/>
    </xf>
    <xf numFmtId="0" fontId="21" fillId="6" borderId="4" xfId="0" applyFont="1" applyFill="1" applyBorder="1" applyAlignment="1">
      <alignment horizontal="left" vertical="top" wrapText="1" indent="1"/>
    </xf>
    <xf numFmtId="0" fontId="0" fillId="0" borderId="14" xfId="0" applyBorder="1"/>
    <xf numFmtId="0" fontId="0" fillId="0" borderId="16" xfId="0" applyBorder="1"/>
    <xf numFmtId="0" fontId="0" fillId="0" borderId="15" xfId="0" applyBorder="1"/>
    <xf numFmtId="0" fontId="0" fillId="0" borderId="17" xfId="0" applyBorder="1"/>
    <xf numFmtId="0" fontId="0" fillId="0" borderId="18" xfId="0" applyBorder="1"/>
    <xf numFmtId="0" fontId="0" fillId="0" borderId="19" xfId="0" applyBorder="1"/>
    <xf numFmtId="0" fontId="0" fillId="0" borderId="20" xfId="0" applyBorder="1"/>
    <xf numFmtId="0" fontId="2" fillId="3" borderId="0" xfId="0" applyFont="1" applyFill="1" applyAlignment="1">
      <alignment horizontal="left" vertical="center" indent="1"/>
    </xf>
    <xf numFmtId="0" fontId="3" fillId="0" borderId="0" xfId="0" applyFont="1" applyAlignment="1">
      <alignment horizontal="left" vertical="center" wrapText="1" indent="1"/>
    </xf>
    <xf numFmtId="0" fontId="26" fillId="8" borderId="0" xfId="0" applyFont="1" applyFill="1" applyAlignment="1">
      <alignment horizontal="center" vertical="center"/>
    </xf>
    <xf numFmtId="0" fontId="16" fillId="2" borderId="0" xfId="0" applyFont="1" applyFill="1" applyAlignment="1">
      <alignment horizontal="left" vertical="center" indent="1"/>
    </xf>
    <xf numFmtId="0" fontId="17" fillId="6" borderId="1" xfId="0" applyFont="1" applyFill="1" applyBorder="1"/>
    <xf numFmtId="0" fontId="11" fillId="0" borderId="0" xfId="0" applyFont="1"/>
    <xf numFmtId="0" fontId="35" fillId="0" borderId="0" xfId="0" applyFont="1" applyAlignment="1">
      <alignment vertical="top" wrapText="1"/>
    </xf>
    <xf numFmtId="0" fontId="29" fillId="3" borderId="0" xfId="0" applyFont="1" applyFill="1" applyAlignment="1">
      <alignment horizontal="center" vertical="center" wrapText="1"/>
    </xf>
    <xf numFmtId="0" fontId="4" fillId="4" borderId="0" xfId="0" applyFont="1" applyFill="1"/>
    <xf numFmtId="0" fontId="27" fillId="2" borderId="0" xfId="0" applyFont="1" applyFill="1" applyAlignment="1">
      <alignment horizontal="center" vertical="center" wrapText="1"/>
    </xf>
    <xf numFmtId="0" fontId="28" fillId="3" borderId="0" xfId="0" applyFont="1" applyFill="1" applyAlignment="1">
      <alignment horizontal="center" vertical="center" wrapText="1"/>
    </xf>
    <xf numFmtId="0" fontId="16" fillId="2" borderId="0" xfId="0" applyFont="1" applyFill="1" applyAlignment="1">
      <alignment horizontal="left" vertical="center"/>
    </xf>
    <xf numFmtId="164" fontId="25" fillId="3" borderId="0" xfId="0" applyNumberFormat="1" applyFont="1" applyFill="1" applyAlignment="1">
      <alignment horizontal="center" vertical="center" wrapText="1"/>
    </xf>
    <xf numFmtId="0" fontId="25" fillId="3" borderId="0" xfId="0" applyFont="1" applyFill="1" applyAlignment="1">
      <alignment horizontal="left" vertical="center"/>
    </xf>
    <xf numFmtId="0" fontId="34" fillId="0" borderId="0" xfId="0" applyFont="1" applyAlignment="1">
      <alignment vertical="top" wrapText="1"/>
    </xf>
    <xf numFmtId="0" fontId="4" fillId="4" borderId="0" xfId="0" applyFont="1" applyFill="1" applyAlignment="1">
      <alignment horizontal="left" vertical="center"/>
    </xf>
    <xf numFmtId="0" fontId="12" fillId="0" borderId="0" xfId="0" applyFont="1" applyAlignment="1">
      <alignment horizontal="left" vertical="center"/>
    </xf>
    <xf numFmtId="0" fontId="12" fillId="0" borderId="0" xfId="0" applyFont="1" applyAlignment="1">
      <alignment horizontal="left" vertical="center" wrapText="1"/>
    </xf>
    <xf numFmtId="0" fontId="4" fillId="4" borderId="0" xfId="0" applyFont="1" applyFill="1" applyAlignment="1">
      <alignment horizontal="left" vertical="center" wrapText="1"/>
    </xf>
    <xf numFmtId="0" fontId="16" fillId="2" borderId="0" xfId="0" applyFont="1" applyFill="1" applyAlignment="1">
      <alignment horizontal="left" vertical="center" wrapText="1"/>
    </xf>
    <xf numFmtId="0" fontId="25" fillId="3" borderId="0" xfId="0" applyFont="1" applyFill="1" applyAlignment="1">
      <alignment horizontal="left" vertical="center" wrapText="1"/>
    </xf>
    <xf numFmtId="0" fontId="29" fillId="4" borderId="0" xfId="0" applyFont="1" applyFill="1"/>
    <xf numFmtId="0" fontId="29" fillId="4" borderId="3" xfId="0" applyFont="1" applyFill="1" applyBorder="1" applyAlignment="1">
      <alignment horizontal="center"/>
    </xf>
    <xf numFmtId="0" fontId="0" fillId="0" borderId="22" xfId="0" applyBorder="1"/>
    <xf numFmtId="0" fontId="3" fillId="0" borderId="0" xfId="0" applyFont="1"/>
    <xf numFmtId="0" fontId="42" fillId="0" borderId="0" xfId="0" applyFont="1"/>
    <xf numFmtId="0" fontId="0" fillId="0" borderId="21" xfId="0" applyBorder="1"/>
    <xf numFmtId="0" fontId="25" fillId="3" borderId="5" xfId="0" applyFont="1" applyFill="1" applyBorder="1" applyAlignment="1">
      <alignment horizontal="left" vertical="center"/>
    </xf>
    <xf numFmtId="0" fontId="16" fillId="2" borderId="5" xfId="0" applyFont="1" applyFill="1" applyBorder="1" applyAlignment="1">
      <alignment horizontal="left" vertical="center"/>
    </xf>
    <xf numFmtId="0" fontId="4" fillId="4" borderId="5" xfId="0" applyFont="1" applyFill="1" applyBorder="1" applyAlignment="1">
      <alignment vertical="center"/>
    </xf>
    <xf numFmtId="0" fontId="45" fillId="0" borderId="0" xfId="0" applyFont="1" applyAlignment="1">
      <alignment horizontal="left" vertical="top" wrapText="1" indent="1"/>
    </xf>
    <xf numFmtId="0" fontId="43" fillId="0" borderId="0" xfId="0" applyFont="1"/>
    <xf numFmtId="0" fontId="43" fillId="0" borderId="0" xfId="0" applyFont="1" applyAlignment="1">
      <alignment horizontal="left" vertical="top" indent="1"/>
    </xf>
    <xf numFmtId="0" fontId="4" fillId="2" borderId="0" xfId="0" applyFont="1" applyFill="1" applyAlignment="1">
      <alignment horizontal="left" vertical="center" indent="1"/>
    </xf>
    <xf numFmtId="167" fontId="45" fillId="0" borderId="0" xfId="0" applyNumberFormat="1" applyFont="1"/>
    <xf numFmtId="0" fontId="43" fillId="0" borderId="0" xfId="0" applyFont="1" applyAlignment="1">
      <alignment horizontal="left" vertical="center" indent="1"/>
    </xf>
    <xf numFmtId="0" fontId="43" fillId="13" borderId="0" xfId="0" applyFont="1" applyFill="1" applyAlignment="1">
      <alignment horizontal="left" vertical="center" indent="1"/>
    </xf>
    <xf numFmtId="0" fontId="11" fillId="7" borderId="6" xfId="0" applyFont="1" applyFill="1" applyBorder="1" applyAlignment="1">
      <alignment horizontal="center" vertical="center" wrapText="1"/>
    </xf>
    <xf numFmtId="0" fontId="0" fillId="0" borderId="23" xfId="0" applyBorder="1"/>
    <xf numFmtId="0" fontId="0" fillId="0" borderId="24" xfId="0" applyBorder="1"/>
    <xf numFmtId="0" fontId="45" fillId="0" borderId="0" xfId="0" applyFont="1"/>
    <xf numFmtId="0" fontId="0" fillId="12" borderId="7" xfId="0" applyFill="1" applyBorder="1"/>
    <xf numFmtId="3" fontId="45" fillId="0" borderId="0" xfId="0" applyNumberFormat="1" applyFont="1"/>
    <xf numFmtId="169" fontId="45" fillId="0" borderId="0" xfId="0" applyNumberFormat="1" applyFont="1"/>
    <xf numFmtId="0" fontId="17" fillId="12" borderId="7" xfId="0" applyFont="1" applyFill="1" applyBorder="1" applyAlignment="1">
      <alignment horizontal="left" vertical="top" wrapText="1"/>
    </xf>
    <xf numFmtId="0" fontId="24" fillId="0" borderId="0" xfId="0" applyFont="1"/>
    <xf numFmtId="0" fontId="43" fillId="0" borderId="0" xfId="0" applyFont="1" applyAlignment="1">
      <alignment horizontal="left" vertical="top" wrapText="1"/>
    </xf>
    <xf numFmtId="164" fontId="45" fillId="0" borderId="0" xfId="0" applyNumberFormat="1" applyFont="1"/>
    <xf numFmtId="0" fontId="24" fillId="0" borderId="0" xfId="0" applyFont="1" applyAlignment="1">
      <alignment horizontal="left" vertical="center" wrapText="1" indent="1"/>
    </xf>
    <xf numFmtId="0" fontId="2" fillId="2" borderId="0" xfId="0" applyFont="1" applyFill="1" applyAlignment="1">
      <alignment horizontal="left" vertical="center" indent="1"/>
    </xf>
    <xf numFmtId="0" fontId="8" fillId="8" borderId="1" xfId="0" applyFont="1" applyFill="1" applyBorder="1" applyAlignment="1">
      <alignment horizontal="left" vertical="center" indent="1"/>
    </xf>
    <xf numFmtId="0" fontId="1" fillId="2" borderId="0" xfId="0" applyFont="1" applyFill="1" applyAlignment="1">
      <alignment horizontal="left" vertical="center" indent="1"/>
    </xf>
    <xf numFmtId="0" fontId="0" fillId="0" borderId="2" xfId="0" applyBorder="1" applyAlignment="1">
      <alignment horizontal="left" vertical="center"/>
    </xf>
    <xf numFmtId="14" fontId="0" fillId="0" borderId="2" xfId="0" applyNumberFormat="1" applyBorder="1" applyAlignment="1">
      <alignment horizontal="left" vertical="center"/>
    </xf>
    <xf numFmtId="1" fontId="0" fillId="0" borderId="2" xfId="0" applyNumberFormat="1" applyBorder="1" applyAlignment="1">
      <alignment horizontal="left" vertical="center"/>
    </xf>
    <xf numFmtId="0" fontId="55" fillId="0" borderId="2" xfId="1" applyBorder="1" applyAlignment="1">
      <alignment horizontal="left" vertical="center"/>
    </xf>
    <xf numFmtId="0" fontId="75" fillId="0" borderId="2" xfId="0" applyFont="1" applyBorder="1" applyAlignment="1">
      <alignment horizontal="left" vertical="center"/>
    </xf>
    <xf numFmtId="14" fontId="75" fillId="0" borderId="2" xfId="0" applyNumberFormat="1" applyFont="1" applyBorder="1" applyAlignment="1">
      <alignment horizontal="left" vertical="center"/>
    </xf>
    <xf numFmtId="12" fontId="75" fillId="0" borderId="2" xfId="0" applyNumberFormat="1" applyFont="1" applyBorder="1" applyAlignment="1">
      <alignment horizontal="left" vertical="center"/>
    </xf>
    <xf numFmtId="12" fontId="0" fillId="0" borderId="2" xfId="0" applyNumberFormat="1" applyBorder="1" applyAlignment="1">
      <alignment horizontal="left" vertical="center"/>
    </xf>
  </cellXfs>
  <cellStyles count="3">
    <cellStyle name="Accent1" xfId="2" builtinId="29"/>
    <cellStyle name="Lien hypertexte" xfId="1" builtinId="8"/>
    <cellStyle name="Normal" xfId="0" builtinId="0"/>
  </cellStyles>
  <dxfs count="73">
    <dxf>
      <alignment horizontal="left" vertical="center" textRotation="0" wrapText="0" indent="0" justifyLastLine="0" shrinkToFit="0" readingOrder="0"/>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color rgb="FFFFFFFF"/>
        <name val="Arial"/>
      </font>
      <fill>
        <patternFill>
          <bgColor rgb="FFC0134F"/>
        </patternFill>
      </fill>
    </dxf>
    <dxf>
      <font>
        <color rgb="FF196F3D"/>
      </font>
      <fill>
        <patternFill>
          <bgColor rgb="FFA9DFBF"/>
        </patternFill>
      </fill>
    </dxf>
    <dxf>
      <font>
        <color rgb="FF9C6500"/>
      </font>
      <fill>
        <patternFill>
          <bgColor rgb="FFFAD7A0"/>
        </patternFill>
      </fill>
    </dxf>
    <dxf>
      <font>
        <color rgb="FF9C6500"/>
      </font>
      <fill>
        <patternFill>
          <bgColor rgb="FFFAD7A0"/>
        </patternFill>
      </fill>
    </dxf>
    <dxf>
      <font>
        <color rgb="FF922B21"/>
      </font>
      <fill>
        <patternFill>
          <bgColor rgb="FFF5B7B1"/>
        </patternFill>
      </fill>
    </dxf>
    <dxf>
      <font>
        <color rgb="FF196F3D"/>
      </font>
      <fill>
        <patternFill>
          <bgColor rgb="FFA9DFBF"/>
        </patternFill>
      </fill>
    </dxf>
    <dxf>
      <font>
        <color rgb="FF9C6500"/>
      </font>
      <fill>
        <patternFill>
          <bgColor rgb="FFFAD7A0"/>
        </patternFill>
      </fill>
    </dxf>
    <dxf>
      <font>
        <color rgb="FF922B21"/>
      </font>
      <fill>
        <patternFill>
          <bgColor rgb="FFF5B7B1"/>
        </patternFill>
      </fill>
    </dxf>
    <dxf>
      <font>
        <color rgb="FF196F3D"/>
      </font>
      <fill>
        <patternFill>
          <bgColor rgb="FFA9DFBF"/>
        </patternFill>
      </fill>
    </dxf>
    <dxf>
      <font>
        <color rgb="FF9C6500"/>
      </font>
      <fill>
        <patternFill>
          <bgColor rgb="FFFAD7A0"/>
        </patternFill>
      </fill>
    </dxf>
    <dxf>
      <font>
        <color rgb="FF922B21"/>
      </font>
      <fill>
        <patternFill>
          <bgColor rgb="FFF5B7B1"/>
        </patternFill>
      </fill>
    </dxf>
    <dxf>
      <font>
        <color rgb="FF9C6500"/>
      </font>
      <fill>
        <patternFill>
          <bgColor rgb="FFFAD7A0"/>
        </patternFill>
      </fill>
    </dxf>
    <dxf>
      <font>
        <color rgb="FF196F3D"/>
      </font>
      <fill>
        <patternFill>
          <bgColor rgb="FFA9DFBF"/>
        </patternFill>
      </fill>
    </dxf>
    <dxf>
      <font>
        <color rgb="FF922B21"/>
      </font>
      <fill>
        <patternFill>
          <bgColor rgb="FFF5B7B1"/>
        </patternFill>
      </fill>
    </dxf>
    <dxf>
      <font>
        <color rgb="FF196F3D"/>
      </font>
      <fill>
        <patternFill>
          <bgColor rgb="FFA9DFBF"/>
        </patternFill>
      </fill>
    </dxf>
    <dxf>
      <font>
        <color rgb="FF9C6500"/>
      </font>
      <fill>
        <patternFill>
          <bgColor rgb="FFFAD7A0"/>
        </patternFill>
      </fill>
    </dxf>
    <dxf>
      <font>
        <color rgb="FF922B21"/>
      </font>
      <fill>
        <patternFill>
          <bgColor rgb="FFF5B7B1"/>
        </patternFill>
      </fill>
    </dxf>
    <dxf>
      <font>
        <color rgb="FF196F3D"/>
      </font>
      <fill>
        <patternFill>
          <bgColor rgb="FFA9DFBF"/>
        </patternFill>
      </fill>
    </dxf>
    <dxf>
      <font>
        <color rgb="FF9C6500"/>
      </font>
      <fill>
        <patternFill>
          <bgColor rgb="FFFAD7A0"/>
        </patternFill>
      </fill>
    </dxf>
    <dxf>
      <font>
        <color rgb="FF922B21"/>
      </font>
      <fill>
        <patternFill>
          <bgColor rgb="FFF5B7B1"/>
        </patternFill>
      </fill>
    </dxf>
    <dxf>
      <font>
        <color rgb="FF9C6500"/>
      </font>
      <fill>
        <patternFill>
          <bgColor rgb="FFFAD7A0"/>
        </patternFill>
      </fill>
    </dxf>
    <dxf>
      <font>
        <color rgb="FF922B21"/>
      </font>
      <fill>
        <patternFill>
          <bgColor rgb="FFF5B7B1"/>
        </patternFill>
      </fill>
    </dxf>
    <dxf>
      <font>
        <color rgb="FF196F3D"/>
      </font>
      <fill>
        <patternFill>
          <bgColor rgb="FFA9DFBF"/>
        </patternFill>
      </fill>
    </dxf>
    <dxf>
      <fill>
        <patternFill>
          <bgColor rgb="FFD5F5E3"/>
        </patternFill>
      </fill>
    </dxf>
    <dxf>
      <fill>
        <patternFill>
          <bgColor rgb="FFD5F5E3"/>
        </patternFill>
      </fill>
    </dxf>
    <dxf>
      <fill>
        <patternFill>
          <bgColor rgb="FFFDEBD0"/>
        </patternFill>
      </fill>
    </dxf>
    <dxf>
      <fill>
        <patternFill>
          <bgColor rgb="FFFDEBD0"/>
        </patternFill>
      </fill>
    </dxf>
    <dxf>
      <fill>
        <patternFill>
          <bgColor rgb="FFFADBD8"/>
        </patternFill>
      </fill>
    </dxf>
    <dxf>
      <fill>
        <patternFill>
          <bgColor rgb="FFFADBD8"/>
        </patternFill>
      </fill>
    </dxf>
    <dxf>
      <fill>
        <patternFill>
          <bgColor rgb="FFFADBD8"/>
        </patternFill>
      </fill>
    </dxf>
    <dxf>
      <fill>
        <patternFill>
          <bgColor rgb="FFFADBD8"/>
        </patternFill>
      </fill>
    </dxf>
    <dxf>
      <fill>
        <patternFill>
          <bgColor rgb="FFFADBD8"/>
        </patternFill>
      </fill>
    </dxf>
    <dxf>
      <fill>
        <patternFill>
          <bgColor rgb="FFFADBD8"/>
        </patternFill>
      </fill>
    </dxf>
    <dxf>
      <fill>
        <patternFill>
          <bgColor rgb="FFFADBD8"/>
        </patternFill>
      </fill>
    </dxf>
    <dxf>
      <fill>
        <patternFill>
          <bgColor rgb="FFFADBD8"/>
        </patternFill>
      </fill>
    </dxf>
    <dxf>
      <fill>
        <patternFill>
          <bgColor rgb="FFFDEBD0"/>
        </patternFill>
      </fill>
    </dxf>
    <dxf>
      <fill>
        <patternFill>
          <bgColor rgb="FFD5F5E3"/>
        </patternFill>
      </fill>
    </dxf>
    <dxf>
      <fill>
        <patternFill>
          <bgColor rgb="FFD5F5E3"/>
        </patternFill>
      </fill>
    </dxf>
    <dxf>
      <fill>
        <patternFill>
          <bgColor rgb="FFFDEBD0"/>
        </patternFill>
      </fill>
    </dxf>
    <dxf>
      <fill>
        <patternFill>
          <bgColor rgb="FFFADBD8"/>
        </patternFill>
      </fill>
    </dxf>
    <dxf>
      <fill>
        <patternFill>
          <bgColor rgb="FFFDEBD0"/>
        </patternFill>
      </fill>
    </dxf>
    <dxf>
      <fill>
        <patternFill>
          <bgColor rgb="FFD5F5E3"/>
        </patternFill>
      </fill>
    </dxf>
    <dxf>
      <fill>
        <patternFill>
          <bgColor rgb="FFFDEBD0"/>
        </patternFill>
      </fill>
    </dxf>
    <dxf>
      <fill>
        <patternFill>
          <bgColor rgb="FFFADBD8"/>
        </patternFill>
      </fill>
    </dxf>
    <dxf>
      <fill>
        <patternFill>
          <bgColor rgb="FFFDEBD0"/>
        </patternFill>
      </fill>
    </dxf>
    <dxf>
      <font>
        <b/>
        <sz val="10"/>
        <color rgb="FFA93226"/>
        <name val="Arial"/>
      </font>
      <fill>
        <patternFill>
          <bgColor rgb="FFF5B7B1"/>
        </patternFill>
      </fill>
    </dxf>
    <dxf>
      <font>
        <b/>
        <sz val="10"/>
        <color rgb="FFA93226"/>
        <name val="Arial"/>
      </font>
      <fill>
        <patternFill>
          <bgColor rgb="FFF5B7B1"/>
        </patternFill>
      </fill>
    </dxf>
    <dxf>
      <font>
        <b/>
        <sz val="10"/>
        <color rgb="FFA93226"/>
        <name val="Arial"/>
      </font>
      <fill>
        <patternFill>
          <bgColor rgb="FFF5B7B1"/>
        </patternFill>
      </fill>
    </dxf>
    <dxf>
      <font>
        <b/>
        <sz val="10"/>
        <color rgb="FFA93226"/>
        <name val="Arial"/>
      </font>
      <fill>
        <patternFill>
          <bgColor rgb="FFF5B7B1"/>
        </patternFill>
      </fill>
    </dxf>
    <dxf>
      <font>
        <color rgb="FF922B21"/>
      </font>
      <fill>
        <patternFill>
          <bgColor rgb="FFF5B7B1"/>
        </patternFill>
      </fill>
    </dxf>
    <dxf>
      <font>
        <color rgb="FF196F3D"/>
      </font>
      <fill>
        <patternFill>
          <bgColor rgb="FFA9DFBF"/>
        </patternFill>
      </fill>
    </dxf>
    <dxf>
      <font>
        <color rgb="FF9C6500"/>
      </font>
      <fill>
        <patternFill>
          <bgColor rgb="FFFAD7A0"/>
        </patternFill>
      </fill>
    </dxf>
    <dxf>
      <font>
        <color rgb="FF922B21"/>
      </font>
      <fill>
        <patternFill>
          <bgColor rgb="FFF5B7B1"/>
        </patternFill>
      </fill>
    </dxf>
    <dxf>
      <font>
        <color rgb="FF922B21"/>
      </font>
      <fill>
        <patternFill>
          <bgColor rgb="FFF5B7B1"/>
        </patternFill>
      </fill>
    </dxf>
    <dxf>
      <fill>
        <patternFill>
          <bgColor rgb="FFF5B7B1"/>
        </patternFill>
      </fill>
    </dxf>
    <dxf>
      <fill>
        <patternFill>
          <bgColor rgb="FFF5B7B1"/>
        </patternFill>
      </fill>
    </dxf>
    <dxf>
      <fill>
        <patternFill>
          <bgColor rgb="FFF5B7B1"/>
        </patternFill>
      </fill>
    </dxf>
    <dxf>
      <fill>
        <patternFill>
          <bgColor rgb="FFA9DFBF"/>
        </patternFill>
      </fill>
    </dxf>
    <dxf>
      <fill>
        <patternFill>
          <bgColor rgb="FFFAD7A0"/>
        </patternFill>
      </fill>
    </dxf>
    <dxf>
      <fill>
        <patternFill>
          <bgColor rgb="FFF5B7B1"/>
        </patternFill>
      </fill>
    </dxf>
  </dxfs>
  <tableStyles count="0" defaultTableStyle="TableStyleMedium2" defaultPivotStyle="PivotStyleLight16"/>
  <colors>
    <indexedColors>
      <rgbColor rgb="FF000000"/>
      <rgbColor rgb="FFFFFFFF"/>
      <rgbColor rgb="FFFF0000"/>
      <rgbColor rgb="FFF4F6F6"/>
      <rgbColor rgb="FF0000FF"/>
      <rgbColor rgb="FFFADBD8"/>
      <rgbColor rgb="FFF4F6F7"/>
      <rgbColor rgb="FFDCE5ED"/>
      <rgbColor rgb="FF5D6D7E"/>
      <rgbColor rgb="FF196F3D"/>
      <rgbColor rgb="FF1D2939"/>
      <rgbColor rgb="FF9C6500"/>
      <rgbColor rgb="FFC0134F"/>
      <rgbColor rgb="FF1F7A5A"/>
      <rgbColor rgb="FFBFBFBF"/>
      <rgbColor rgb="FF808080"/>
      <rgbColor rgb="FFB2BABB"/>
      <rgbColor rgb="FFA93226"/>
      <rgbColor rgb="FFFFF9C4"/>
      <rgbColor rgb="FFD6EAF8"/>
      <rgbColor rgb="FF666666"/>
      <rgbColor rgb="FFC74634"/>
      <rgbColor rgb="FF2E86C1"/>
      <rgbColor rgb="FFD9D9D9"/>
      <rgbColor rgb="FF000080"/>
      <rgbColor rgb="FFF4F7FA"/>
      <rgbColor rgb="FFF2F3F4"/>
      <rgbColor rgb="FFF4FBF6"/>
      <rgbColor rgb="FF7C5CFC"/>
      <rgbColor rgb="FF800000"/>
      <rgbColor rgb="FF1E8449"/>
      <rgbColor rgb="FF0000FF"/>
      <rgbColor rgb="FF4F81BD"/>
      <rgbColor rgb="FFEBF5FB"/>
      <rgbColor rgb="FFD5F5E3"/>
      <rgbColor rgb="FFFDEBD0"/>
      <rgbColor rgb="FFA9DFBF"/>
      <rgbColor rgb="FFF5B7B1"/>
      <rgbColor rgb="FFBFC9CA"/>
      <rgbColor rgb="FFFAD7A0"/>
      <rgbColor rgb="FF1677FF"/>
      <rgbColor rgb="FF18B7D8"/>
      <rgbColor rgb="FF6B7785"/>
      <rgbColor rgb="FFF2B84B"/>
      <rgbColor rgb="FFD9E2EC"/>
      <rgbColor rgb="FFE05252"/>
      <rgbColor rgb="FF667085"/>
      <rgbColor rgb="FFB3B3B3"/>
      <rgbColor rgb="FF17324D"/>
      <rgbColor rgb="FF16A085"/>
      <rgbColor rgb="FF10243E"/>
      <rgbColor rgb="FF1C2833"/>
      <rgbColor rgb="FF922B21"/>
      <rgbColor rgb="FFC0504D"/>
      <rgbColor rgb="FF1B4F72"/>
      <rgbColor rgb="FF212F3C"/>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1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fr-FR"/>
              <a:t>FINANCES : RECETTES VS DÉPENSES</a:t>
            </a:r>
          </a:p>
        </c:rich>
      </c:tx>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fr-FR"/>
              </a:p>
            </c:txPr>
            <c:dLblPos val="outEnd"/>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extLst>
            <c:ext xmlns:c16="http://schemas.microsoft.com/office/drawing/2014/chart" uri="{C3380CC4-5D6E-409C-BE32-E72D297353CC}">
              <c16:uniqueId val="{00000000-BCBF-4146-AF5E-69DD2966B472}"/>
            </c:ext>
          </c:extLst>
        </c:ser>
        <c:ser>
          <c:idx val="1"/>
          <c:order val="1"/>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fr-FR"/>
              </a:p>
            </c:txPr>
            <c:dLblPos val="outEnd"/>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extLst>
            <c:ext xmlns:c16="http://schemas.microsoft.com/office/drawing/2014/chart" uri="{C3380CC4-5D6E-409C-BE32-E72D297353CC}">
              <c16:uniqueId val="{00000001-BCBF-4146-AF5E-69DD2966B472}"/>
            </c:ext>
          </c:extLst>
        </c:ser>
        <c:dLbls>
          <c:dLblPos val="outEnd"/>
          <c:showLegendKey val="1"/>
          <c:showVal val="1"/>
          <c:showCatName val="1"/>
          <c:showSerName val="1"/>
          <c:showPercent val="1"/>
          <c:showBubbleSize val="1"/>
        </c:dLbls>
        <c:gapWidth val="444"/>
        <c:overlap val="-90"/>
        <c:axId val="66658988"/>
        <c:axId val="87761048"/>
      </c:barChart>
      <c:catAx>
        <c:axId val="66658988"/>
        <c:scaling>
          <c:orientation val="minMax"/>
        </c:scaling>
        <c:delete val="0"/>
        <c:axPos val="b"/>
        <c:majorGridlines>
          <c:spPr>
            <a:ln w="9525" cap="flat" cmpd="sng" algn="ctr">
              <a:solidFill>
                <a:schemeClr val="tx1">
                  <a:lumMod val="15000"/>
                  <a:lumOff val="85000"/>
                </a:schemeClr>
              </a:solidFill>
              <a:round/>
            </a:ln>
            <a:effectLst/>
          </c:spPr>
        </c:majorGridlines>
        <c:numFmt formatCode="[$-409]mm/dd/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fr-FR"/>
          </a:p>
        </c:txPr>
        <c:crossAx val="87761048"/>
        <c:crosses val="autoZero"/>
        <c:auto val="1"/>
        <c:lblAlgn val="ctr"/>
        <c:lblOffset val="100"/>
        <c:noMultiLvlLbl val="0"/>
      </c:catAx>
      <c:valAx>
        <c:axId val="87761048"/>
        <c:scaling>
          <c:orientation val="minMax"/>
        </c:scaling>
        <c:delete val="1"/>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fr-FR"/>
                  <a:t>FCFA</a:t>
                </a:r>
              </a:p>
            </c:rich>
          </c:tx>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crossAx val="66658988"/>
        <c:crosses val="autoZero"/>
        <c:crossBetween val="between"/>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1"/>
  </c:chart>
  <c:spPr>
    <a:solidFill>
      <a:schemeClr val="lt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fr-FR"/>
              <a:t>PORTEFEUILLE DES PROJETS — STATUT</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fr-FR"/>
        </a:p>
      </c:txPr>
    </c:title>
    <c:autoTitleDeleted val="0"/>
    <c:plotArea>
      <c:layout/>
      <c:doughnutChart>
        <c:varyColors val="1"/>
        <c:ser>
          <c:idx val="0"/>
          <c:order val="0"/>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fr-FR"/>
              </a:p>
            </c:txPr>
            <c:showLegendKey val="1"/>
            <c:showVal val="1"/>
            <c:showCatName val="1"/>
            <c:showSerName val="1"/>
            <c:showPercent val="1"/>
            <c:showBubbleSize val="1"/>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extLst>
            <c:ext xmlns:c16="http://schemas.microsoft.com/office/drawing/2014/chart" uri="{C3380CC4-5D6E-409C-BE32-E72D297353CC}">
              <c16:uniqueId val="{00000000-0F82-4252-8471-18A74D39DC45}"/>
            </c:ext>
          </c:extLst>
        </c:ser>
        <c:dLbls>
          <c:showLegendKey val="1"/>
          <c:showVal val="1"/>
          <c:showCatName val="1"/>
          <c:showSerName val="1"/>
          <c:showPercent val="1"/>
          <c:showBubbleSize val="1"/>
          <c:showLeaderLines val="1"/>
        </c:dLbls>
        <c:firstSliceAng val="0"/>
        <c:holeSize val="50"/>
      </c:doughnut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fr-FR"/>
        </a:p>
      </c:txPr>
    </c:legend>
    <c:plotVisOnly val="1"/>
    <c:dispBlanksAs val="gap"/>
    <c:showDLblsOverMax val="1"/>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c:style val="2"/>
  <c:chart>
    <c:title>
      <c:tx>
        <c:rich>
          <a:bodyPr rot="0"/>
          <a:lstStyle/>
          <a:p>
            <a:pPr>
              <a:defRPr sz="1300" b="0" strike="noStrike">
                <a:uFillTx/>
                <a:latin typeface="Arial"/>
              </a:defRPr>
            </a:pPr>
            <a:r>
              <a:rPr lang="fr-FR" sz="1800" b="1" strike="noStrike">
                <a:solidFill>
                  <a:srgbClr val="000000"/>
                </a:solidFill>
                <a:uFillTx/>
                <a:latin typeface="Calibri"/>
              </a:rPr>
              <a:t>BÉNÉFICIAIRES — RÉPARTITION PAR SEXE</a:t>
            </a:r>
          </a:p>
        </c:rich>
      </c:tx>
      <c:layout/>
      <c:overlay val="0"/>
      <c:spPr>
        <a:noFill/>
        <a:ln w="0">
          <a:noFill/>
          <a:prstDash val="solid"/>
        </a:ln>
      </c:spPr>
    </c:title>
    <c:autoTitleDeleted val="0"/>
    <c:plotArea>
      <c:layout/>
      <c:doughnutChart>
        <c:varyColors val="1"/>
        <c:ser>
          <c:idx val="0"/>
          <c:order val="0"/>
          <c:spPr>
            <a:solidFill>
              <a:srgbClr val="4F81BD"/>
            </a:solidFill>
            <a:ln w="0">
              <a:noFill/>
              <a:prstDash val="solid"/>
            </a:ln>
          </c:spPr>
          <c:dLbls>
            <c:spPr>
              <a:noFill/>
              <a:ln>
                <a:noFill/>
              </a:ln>
              <a:effectLst/>
            </c:spPr>
            <c:showLegendKey val="1"/>
            <c:showVal val="1"/>
            <c:showCatName val="1"/>
            <c:showSerName val="1"/>
            <c:showPercent val="1"/>
            <c:showBubbleSize val="1"/>
            <c:showLeaderLines val="1"/>
            <c:extLst>
              <c:ext xmlns:c15="http://schemas.microsoft.com/office/drawing/2012/chart" uri="{CE6537A1-D6FC-4f65-9D91-7224C49458BB}"/>
            </c:extLst>
          </c:dLbls>
          <c:extLst>
            <c:ext xmlns:c16="http://schemas.microsoft.com/office/drawing/2014/chart" uri="{C3380CC4-5D6E-409C-BE32-E72D297353CC}">
              <c16:uniqueId val="{00000000-0F40-4D8D-B6E3-24DAEC8BA69F}"/>
            </c:ext>
          </c:extLst>
        </c:ser>
        <c:dLbls>
          <c:showLegendKey val="1"/>
          <c:showVal val="1"/>
          <c:showCatName val="1"/>
          <c:showSerName val="1"/>
          <c:showPercent val="1"/>
          <c:showBubbleSize val="1"/>
          <c:showLeaderLines val="1"/>
        </c:dLbls>
        <c:firstSliceAng val="270"/>
        <c:holeSize val="58"/>
      </c:doughnutChart>
    </c:plotArea>
    <c:legend>
      <c:legendPos val="r"/>
      <c:layout/>
      <c:overlay val="0"/>
      <c:spPr>
        <a:noFill/>
        <a:ln w="0">
          <a:noFill/>
          <a:prstDash val="solid"/>
        </a:ln>
      </c:spPr>
      <c:txPr>
        <a:bodyPr/>
        <a:lstStyle/>
        <a:p>
          <a:pPr>
            <a:defRPr sz="1000" b="0" strike="noStrike">
              <a:solidFill>
                <a:srgbClr val="000000"/>
              </a:solidFill>
              <a:uFillTx/>
              <a:latin typeface="Calibri"/>
            </a:defRPr>
          </a:pPr>
          <a:endParaRPr lang="fr-FR"/>
        </a:p>
      </c:txPr>
    </c:legend>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c:style val="2"/>
  <c:chart>
    <c:title>
      <c:tx>
        <c:rich>
          <a:bodyPr rot="0"/>
          <a:lstStyle/>
          <a:p>
            <a:pPr>
              <a:defRPr sz="1300" b="0" strike="noStrike">
                <a:uFillTx/>
                <a:latin typeface="Arial"/>
              </a:defRPr>
            </a:pPr>
            <a:r>
              <a:rPr lang="fr-FR" sz="1800" b="1" strike="noStrike">
                <a:solidFill>
                  <a:srgbClr val="000000"/>
                </a:solidFill>
                <a:uFillTx/>
                <a:latin typeface="Calibri"/>
              </a:rPr>
              <a:t>ACTIVITÉS — STATUT D’AVANCEMENT</a:t>
            </a:r>
          </a:p>
        </c:rich>
      </c:tx>
      <c:layout/>
      <c:overlay val="0"/>
      <c:spPr>
        <a:noFill/>
        <a:ln w="0">
          <a:noFill/>
          <a:prstDash val="solid"/>
        </a:ln>
      </c:spPr>
    </c:title>
    <c:autoTitleDeleted val="0"/>
    <c:plotArea>
      <c:layout/>
      <c:doughnutChart>
        <c:varyColors val="1"/>
        <c:ser>
          <c:idx val="0"/>
          <c:order val="0"/>
          <c:spPr>
            <a:solidFill>
              <a:srgbClr val="4F81BD"/>
            </a:solidFill>
            <a:ln w="0">
              <a:noFill/>
              <a:prstDash val="solid"/>
            </a:ln>
          </c:spPr>
          <c:dLbls>
            <c:spPr>
              <a:noFill/>
              <a:ln>
                <a:noFill/>
              </a:ln>
              <a:effectLst/>
            </c:spPr>
            <c:showLegendKey val="1"/>
            <c:showVal val="1"/>
            <c:showCatName val="1"/>
            <c:showSerName val="1"/>
            <c:showPercent val="1"/>
            <c:showBubbleSize val="1"/>
            <c:showLeaderLines val="1"/>
            <c:extLst>
              <c:ext xmlns:c15="http://schemas.microsoft.com/office/drawing/2012/chart" uri="{CE6537A1-D6FC-4f65-9D91-7224C49458BB}"/>
            </c:extLst>
          </c:dLbls>
          <c:extLst>
            <c:ext xmlns:c16="http://schemas.microsoft.com/office/drawing/2014/chart" uri="{C3380CC4-5D6E-409C-BE32-E72D297353CC}">
              <c16:uniqueId val="{00000000-2596-4205-A78A-95F8A9A57126}"/>
            </c:ext>
          </c:extLst>
        </c:ser>
        <c:dLbls>
          <c:showLegendKey val="1"/>
          <c:showVal val="1"/>
          <c:showCatName val="1"/>
          <c:showSerName val="1"/>
          <c:showPercent val="1"/>
          <c:showBubbleSize val="1"/>
          <c:showLeaderLines val="1"/>
        </c:dLbls>
        <c:firstSliceAng val="270"/>
        <c:holeSize val="58"/>
      </c:doughnutChart>
    </c:plotArea>
    <c:legend>
      <c:legendPos val="r"/>
      <c:layout/>
      <c:overlay val="0"/>
      <c:spPr>
        <a:noFill/>
        <a:ln w="0">
          <a:noFill/>
          <a:prstDash val="solid"/>
        </a:ln>
      </c:spPr>
      <c:txPr>
        <a:bodyPr/>
        <a:lstStyle/>
        <a:p>
          <a:pPr>
            <a:defRPr sz="1000" b="0" strike="noStrike">
              <a:solidFill>
                <a:srgbClr val="000000"/>
              </a:solidFill>
              <a:uFillTx/>
              <a:latin typeface="Calibri"/>
            </a:defRPr>
          </a:pPr>
          <a:endParaRPr lang="fr-FR"/>
        </a:p>
      </c:txPr>
    </c:legend>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t>ÉVOLUTION ANNUELLE 2024 À 2033</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lineChart>
        <c:grouping val="standard"/>
        <c:varyColors val="0"/>
        <c:ser>
          <c:idx val="0"/>
          <c:order val="0"/>
          <c:spPr>
            <a:ln w="34925" cap="rnd">
              <a:solidFill>
                <a:schemeClr val="accent1"/>
              </a:solidFill>
              <a:round/>
            </a:ln>
            <a:effectLst/>
          </c:spPr>
          <c:marker>
            <c:symbol val="circle"/>
            <c:size val="6"/>
            <c:spPr>
              <a:gradFill>
                <a:gsLst>
                  <a:gs pos="0">
                    <a:schemeClr val="accent1">
                      <a:shade val="51000"/>
                    </a:schemeClr>
                  </a:gs>
                  <a:gs pos="80000">
                    <a:schemeClr val="accent1">
                      <a:shade val="93000"/>
                    </a:schemeClr>
                  </a:gs>
                  <a:gs pos="100000">
                    <a:schemeClr val="accent1">
                      <a:shade val="94000"/>
                    </a:schemeClr>
                  </a:gs>
                </a:gsLst>
                <a:lin ang="16200000" scaled="0"/>
                <a:tileRect/>
              </a:gradFill>
              <a:ln w="9525">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fr-FR"/>
              </a:p>
            </c:txPr>
            <c:showLegendKey val="0"/>
            <c:showVal val="0"/>
            <c:showCatName val="0"/>
            <c:showSerName val="1"/>
            <c:showPercent val="1"/>
            <c:showBubbleSize val="1"/>
            <c:showLeaderLines val="0"/>
            <c:extLst>
              <c:ext xmlns:c15="http://schemas.microsoft.com/office/drawing/2012/chart" uri="{CE6537A1-D6FC-4f65-9D91-7224C49458BB}">
                <c15:showLeaderLines val="0"/>
              </c:ext>
            </c:extLst>
          </c:dLbls>
          <c:smooth val="1"/>
          <c:extLst>
            <c:ext xmlns:c16="http://schemas.microsoft.com/office/drawing/2014/chart" uri="{C3380CC4-5D6E-409C-BE32-E72D297353CC}">
              <c16:uniqueId val="{00000000-05A9-4C30-ADCB-9114214AB5C8}"/>
            </c:ext>
          </c:extLst>
        </c:ser>
        <c:ser>
          <c:idx val="1"/>
          <c:order val="1"/>
          <c:spPr>
            <a:ln w="34925" cap="rnd">
              <a:solidFill>
                <a:schemeClr val="accent2"/>
              </a:solidFill>
              <a:round/>
            </a:ln>
            <a:effectLst/>
          </c:spPr>
          <c:marker>
            <c:symbol val="circle"/>
            <c:size val="6"/>
            <c:spPr>
              <a:gradFill>
                <a:gsLst>
                  <a:gs pos="0">
                    <a:schemeClr val="accent2">
                      <a:shade val="51000"/>
                    </a:schemeClr>
                  </a:gs>
                  <a:gs pos="80000">
                    <a:schemeClr val="accent2">
                      <a:shade val="93000"/>
                    </a:schemeClr>
                  </a:gs>
                  <a:gs pos="100000">
                    <a:schemeClr val="accent2">
                      <a:shade val="94000"/>
                    </a:schemeClr>
                  </a:gs>
                </a:gsLst>
                <a:lin ang="16200000" scaled="0"/>
                <a:tileRect/>
              </a:gradFill>
              <a:ln w="9525">
                <a:solidFill>
                  <a:schemeClr val="accen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fr-FR"/>
              </a:p>
            </c:txPr>
            <c:showLegendKey val="0"/>
            <c:showVal val="0"/>
            <c:showCatName val="0"/>
            <c:showSerName val="1"/>
            <c:showPercent val="1"/>
            <c:showBubbleSize val="1"/>
            <c:showLeaderLines val="0"/>
            <c:extLst>
              <c:ext xmlns:c15="http://schemas.microsoft.com/office/drawing/2012/chart" uri="{CE6537A1-D6FC-4f65-9D91-7224C49458BB}">
                <c15:showLeaderLines val="0"/>
              </c:ext>
            </c:extLst>
          </c:dLbls>
          <c:smooth val="1"/>
          <c:extLst>
            <c:ext xmlns:c16="http://schemas.microsoft.com/office/drawing/2014/chart" uri="{C3380CC4-5D6E-409C-BE32-E72D297353CC}">
              <c16:uniqueId val="{00000001-05A9-4C30-ADCB-9114214AB5C8}"/>
            </c:ext>
          </c:extLst>
        </c:ser>
        <c:dLbls>
          <c:showLegendKey val="0"/>
          <c:showVal val="0"/>
          <c:showCatName val="0"/>
          <c:showSerName val="1"/>
          <c:showPercent val="1"/>
          <c:showBubbleSize val="1"/>
        </c:dLbls>
        <c:hiLowLines>
          <c:spPr>
            <a:ln w="9525" cap="flat" cmpd="sng" algn="ctr">
              <a:solidFill>
                <a:schemeClr val="lt1"/>
              </a:solidFill>
              <a:round/>
            </a:ln>
            <a:effectLst/>
          </c:spPr>
        </c:hiLowLines>
        <c:marker val="1"/>
        <c:smooth val="0"/>
        <c:axId val="74143030"/>
        <c:axId val="37267580"/>
      </c:lineChart>
      <c:lineChart>
        <c:grouping val="standard"/>
        <c:varyColors val="0"/>
        <c:ser>
          <c:idx val="2"/>
          <c:order val="2"/>
          <c:spPr>
            <a:ln w="34925" cap="rnd">
              <a:solidFill>
                <a:schemeClr val="accent3"/>
              </a:solidFill>
              <a:round/>
            </a:ln>
            <a:effectLst/>
          </c:spPr>
          <c:marker>
            <c:symbol val="circle"/>
            <c:size val="6"/>
            <c:spPr>
              <a:gradFill>
                <a:gsLst>
                  <a:gs pos="0">
                    <a:schemeClr val="accent3">
                      <a:shade val="51000"/>
                    </a:schemeClr>
                  </a:gs>
                  <a:gs pos="80000">
                    <a:schemeClr val="accent3">
                      <a:shade val="93000"/>
                    </a:schemeClr>
                  </a:gs>
                  <a:gs pos="100000">
                    <a:schemeClr val="accent3">
                      <a:shade val="94000"/>
                    </a:schemeClr>
                  </a:gs>
                </a:gsLst>
                <a:lin ang="16200000" scaled="0"/>
                <a:tileRect/>
              </a:gradFill>
              <a:ln w="9525">
                <a:solidFill>
                  <a:schemeClr val="accent3"/>
                </a:solidFill>
                <a:round/>
              </a:ln>
              <a:effectLst/>
            </c:spPr>
          </c:marker>
          <c:smooth val="1"/>
          <c:extLst>
            <c:ext xmlns:c16="http://schemas.microsoft.com/office/drawing/2014/chart" uri="{C3380CC4-5D6E-409C-BE32-E72D297353CC}">
              <c16:uniqueId val="{00000002-05A9-4C30-ADCB-9114214AB5C8}"/>
            </c:ext>
          </c:extLst>
        </c:ser>
        <c:dLbls>
          <c:showLegendKey val="0"/>
          <c:showVal val="0"/>
          <c:showCatName val="0"/>
          <c:showSerName val="0"/>
          <c:showPercent val="0"/>
          <c:showBubbleSize val="0"/>
        </c:dLbls>
        <c:hiLowLines>
          <c:spPr>
            <a:ln w="9525" cap="flat" cmpd="sng" algn="ctr">
              <a:solidFill>
                <a:schemeClr val="lt1"/>
              </a:solidFill>
              <a:round/>
            </a:ln>
            <a:effectLst/>
          </c:spPr>
        </c:hiLowLines>
        <c:marker val="1"/>
        <c:smooth val="0"/>
        <c:axId val="68174512"/>
        <c:axId val="8180883"/>
      </c:lineChart>
      <c:catAx>
        <c:axId val="74143030"/>
        <c:scaling>
          <c:orientation val="minMax"/>
        </c:scaling>
        <c:delete val="0"/>
        <c:axPos val="b"/>
        <c:numFmt formatCode="[$-409]mm/dd/yyyy"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37267580"/>
        <c:crosses val="autoZero"/>
        <c:auto val="1"/>
        <c:lblAlgn val="ctr"/>
        <c:lblOffset val="100"/>
        <c:noMultiLvlLbl val="0"/>
      </c:catAx>
      <c:valAx>
        <c:axId val="37267580"/>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Volume</a:t>
                </a:r>
              </a:p>
            </c:rich>
          </c:tx>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74143030"/>
        <c:crosses val="autoZero"/>
        <c:crossBetween val="between"/>
      </c:valAx>
      <c:catAx>
        <c:axId val="68174512"/>
        <c:scaling>
          <c:orientation val="minMax"/>
        </c:scaling>
        <c:delete val="0"/>
        <c:axPos val="b"/>
        <c:numFmt formatCode="[$-409]mm/dd/yyyy"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8180883"/>
        <c:crosses val="autoZero"/>
        <c:auto val="1"/>
        <c:lblAlgn val="ctr"/>
        <c:lblOffset val="100"/>
        <c:noMultiLvlLbl val="0"/>
      </c:catAx>
      <c:valAx>
        <c:axId val="8180883"/>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68174512"/>
        <c:crosses val="max"/>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legend>
    <c:plotVisOnly val="1"/>
    <c:dispBlanksAs val="gap"/>
    <c:showDLblsOverMax val="1"/>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fr-FR"/>
              <a:t>COURBES MENSUELLES :</a:t>
            </a:r>
            <a:r>
              <a:rPr lang="fr-FR" baseline="0"/>
              <a:t> </a:t>
            </a:r>
            <a:r>
              <a:rPr lang="fr-FR"/>
              <a:t>RECETTES, DÉPENSES &amp; SOLDE</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fr-FR"/>
        </a:p>
      </c:txPr>
    </c:title>
    <c:autoTitleDeleted val="0"/>
    <c:plotArea>
      <c:layout/>
      <c:lineChart>
        <c:grouping val="standard"/>
        <c:varyColors val="0"/>
        <c:ser>
          <c:idx val="0"/>
          <c:order val="0"/>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ctr"/>
            <c:showLegendKey val="0"/>
            <c:showVal val="1"/>
            <c:showCatName val="0"/>
            <c:showSerName val="1"/>
            <c:showPercent val="1"/>
            <c:showBubbleSize val="1"/>
            <c:showLeaderLines val="0"/>
            <c:extLst>
              <c:ext xmlns:c15="http://schemas.microsoft.com/office/drawing/2012/chart" uri="{CE6537A1-D6FC-4f65-9D91-7224C49458BB}">
                <c15:showLeaderLines val="0"/>
              </c:ext>
            </c:extLst>
          </c:dLbls>
          <c:smooth val="1"/>
          <c:extLst>
            <c:ext xmlns:c16="http://schemas.microsoft.com/office/drawing/2014/chart" uri="{C3380CC4-5D6E-409C-BE32-E72D297353CC}">
              <c16:uniqueId val="{00000000-DCFE-4CBE-9084-C2A6832F1F0F}"/>
            </c:ext>
          </c:extLst>
        </c:ser>
        <c:ser>
          <c:idx val="1"/>
          <c:order val="1"/>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ctr"/>
            <c:showLegendKey val="0"/>
            <c:showVal val="1"/>
            <c:showCatName val="0"/>
            <c:showSerName val="1"/>
            <c:showPercent val="1"/>
            <c:showBubbleSize val="1"/>
            <c:showLeaderLines val="0"/>
            <c:extLst>
              <c:ext xmlns:c15="http://schemas.microsoft.com/office/drawing/2012/chart" uri="{CE6537A1-D6FC-4f65-9D91-7224C49458BB}">
                <c15:showLeaderLines val="0"/>
              </c:ext>
            </c:extLst>
          </c:dLbls>
          <c:smooth val="1"/>
          <c:extLst>
            <c:ext xmlns:c16="http://schemas.microsoft.com/office/drawing/2014/chart" uri="{C3380CC4-5D6E-409C-BE32-E72D297353CC}">
              <c16:uniqueId val="{00000001-DCFE-4CBE-9084-C2A6832F1F0F}"/>
            </c:ext>
          </c:extLst>
        </c:ser>
        <c:ser>
          <c:idx val="2"/>
          <c:order val="2"/>
          <c:spPr>
            <a:ln w="31750" cap="rnd">
              <a:solidFill>
                <a:schemeClr val="accent3"/>
              </a:solidFill>
              <a:round/>
            </a:ln>
            <a:effectLst/>
          </c:spPr>
          <c:marker>
            <c:symbol val="circle"/>
            <c:size val="17"/>
            <c:spPr>
              <a:solidFill>
                <a:schemeClr val="accent3"/>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ctr"/>
            <c:showLegendKey val="0"/>
            <c:showVal val="1"/>
            <c:showCatName val="0"/>
            <c:showSerName val="1"/>
            <c:showPercent val="1"/>
            <c:showBubbleSize val="1"/>
            <c:showLeaderLines val="0"/>
            <c:extLst>
              <c:ext xmlns:c15="http://schemas.microsoft.com/office/drawing/2012/chart" uri="{CE6537A1-D6FC-4f65-9D91-7224C49458BB}">
                <c15:showLeaderLines val="0"/>
              </c:ext>
            </c:extLst>
          </c:dLbls>
          <c:smooth val="1"/>
          <c:extLst>
            <c:ext xmlns:c16="http://schemas.microsoft.com/office/drawing/2014/chart" uri="{C3380CC4-5D6E-409C-BE32-E72D297353CC}">
              <c16:uniqueId val="{00000002-DCFE-4CBE-9084-C2A6832F1F0F}"/>
            </c:ext>
          </c:extLst>
        </c:ser>
        <c:dLbls>
          <c:dLblPos val="ctr"/>
          <c:showLegendKey val="0"/>
          <c:showVal val="0"/>
          <c:showCatName val="0"/>
          <c:showSerName val="1"/>
          <c:showPercent val="1"/>
          <c:showBubbleSize val="1"/>
        </c:dLbls>
        <c:hiLowLines>
          <c:spPr>
            <a:ln w="9525">
              <a:solidFill>
                <a:schemeClr val="dk1">
                  <a:lumMod val="35000"/>
                  <a:lumOff val="65000"/>
                </a:schemeClr>
              </a:solidFill>
              <a:prstDash val="dash"/>
            </a:ln>
            <a:effectLst/>
          </c:spPr>
        </c:hiLowLines>
        <c:marker val="1"/>
        <c:smooth val="0"/>
        <c:axId val="5472902"/>
        <c:axId val="61227221"/>
      </c:lineChart>
      <c:catAx>
        <c:axId val="5472902"/>
        <c:scaling>
          <c:orientation val="minMax"/>
        </c:scaling>
        <c:delete val="0"/>
        <c:axPos val="b"/>
        <c:numFmt formatCode="[$-409]mm/dd/yyyy"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fr-FR"/>
          </a:p>
        </c:txPr>
        <c:crossAx val="61227221"/>
        <c:crosses val="autoZero"/>
        <c:auto val="1"/>
        <c:lblAlgn val="ctr"/>
        <c:lblOffset val="100"/>
        <c:noMultiLvlLbl val="0"/>
      </c:catAx>
      <c:valAx>
        <c:axId val="6122722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fr-FR"/>
                  <a:t>FCFA</a:t>
                </a:r>
              </a:p>
            </c:rich>
          </c:tx>
          <c:layout/>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fr-FR"/>
            </a:p>
          </c:txPr>
        </c:title>
        <c:numFmt formatCode="General" sourceLinked="1"/>
        <c:majorTickMark val="none"/>
        <c:minorTickMark val="none"/>
        <c:tickLblPos val="nextTo"/>
        <c:crossAx val="5472902"/>
        <c:crosses val="autoZero"/>
        <c:crossBetween val="between"/>
      </c:valAx>
      <c:spPr>
        <a:noFill/>
        <a:ln>
          <a:noFill/>
        </a:ln>
        <a:effectLst/>
      </c:spPr>
    </c:plotArea>
    <c:legend>
      <c:legendPos val="b"/>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fr-FR"/>
        </a:p>
      </c:txPr>
    </c:legend>
    <c:plotVisOnly val="1"/>
    <c:dispBlanksAs val="gap"/>
    <c:showDLblsOverMax val="1"/>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fr-F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fr-FR"/>
              <a:t>Alertes opérationnelles</a:t>
            </a:r>
          </a:p>
        </c:rich>
      </c:tx>
      <c:layout/>
      <c:overlay val="1"/>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fr-FR"/>
        </a:p>
      </c:txPr>
    </c:title>
    <c:autoTitleDeleted val="0"/>
    <c:plotArea>
      <c:layout/>
      <c:barChart>
        <c:barDir val="bar"/>
        <c:grouping val="clustered"/>
        <c:varyColors val="1"/>
        <c:ser>
          <c:idx val="0"/>
          <c:order val="0"/>
          <c:tx>
            <c:strRef>
              <c:f>'TABLEAU DE BORD'!$AB$35</c:f>
              <c:strCache>
                <c:ptCount val="1"/>
              </c:strCache>
            </c:strRef>
          </c:tx>
          <c:invertIfNegative val="1"/>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val>
            <c:numRef>
              <c:f>'TABLEAU DE BORD'!$AB$36:$AB$41</c:f>
            </c:numRef>
          </c:val>
          <c:extLst>
            <c:ext xmlns:c15="http://schemas.microsoft.com/office/drawing/2012/chart" uri="{02D57815-91ED-43cb-92C2-25804820EDAC}">
              <c15:filteredCategoryTitle>
                <c15:cat>
                  <c:multiLvlStrRef>
                    <c:extLst>
                      <c:ext uri="{02D57815-91ED-43cb-92C2-25804820EDAC}">
                        <c15:formulaRef>
                          <c15:sqref>'TABLEAU DE BORD'!$AA$36:$AA$41</c15:sqref>
                        </c15:formulaRef>
                      </c:ext>
                    </c:extLst>
                  </c:multiLvlStrRef>
                </c15:cat>
              </c15:filteredCategoryTitle>
            </c:ext>
            <c:ext xmlns:c16="http://schemas.microsoft.com/office/drawing/2014/chart" uri="{C3380CC4-5D6E-409C-BE32-E72D297353CC}">
              <c16:uniqueId val="{00000000-0D59-45B0-89BA-C6047D2FA1B4}"/>
            </c:ext>
          </c:extLst>
        </c:ser>
        <c:dLbls>
          <c:showLegendKey val="1"/>
          <c:showVal val="1"/>
          <c:showCatName val="1"/>
          <c:showSerName val="1"/>
          <c:showPercent val="1"/>
          <c:showBubbleSize val="1"/>
        </c:dLbls>
        <c:gapWidth val="65"/>
        <c:axId val="10"/>
        <c:axId val="100"/>
      </c:barChart>
      <c:catAx>
        <c:axId val="10"/>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fr-FR"/>
                  <a:t>Nombre</a:t>
                </a:r>
              </a:p>
            </c:rich>
          </c:tx>
          <c:layout/>
          <c:overlay val="1"/>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fr-FR"/>
            </a:p>
          </c:txPr>
        </c:title>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fr-FR"/>
          </a:p>
        </c:txPr>
        <c:crossAx val="100"/>
        <c:crosses val="autoZero"/>
        <c:auto val="1"/>
        <c:lblAlgn val="ctr"/>
        <c:lblOffset val="100"/>
        <c:noMultiLvlLbl val="1"/>
      </c:catAx>
      <c:valAx>
        <c:axId val="100"/>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fr-FR"/>
                  <a:t>Indicateur</a:t>
                </a:r>
              </a:p>
            </c:rich>
          </c:tx>
          <c:layout/>
          <c:overlay val="1"/>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fr-FR"/>
            </a:p>
          </c:txPr>
        </c:title>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fr-FR"/>
          </a:p>
        </c:txPr>
        <c:crossAx val="10"/>
        <c:crosses val="autoZero"/>
        <c:crossBetween val="between"/>
      </c:valAx>
      <c:spPr>
        <a:noFill/>
        <a:ln>
          <a:noFill/>
        </a:ln>
        <a:effectLst/>
      </c:spPr>
    </c:plotArea>
    <c:plotVisOnly val="1"/>
    <c:dispBlanksAs val="gap"/>
    <c:showDLblsOverMax val="1"/>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fr-F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c:style val="2"/>
  <c:chart>
    <c:title>
      <c:tx>
        <c:rich>
          <a:bodyPr/>
          <a:lstStyle/>
          <a:p>
            <a:pPr>
              <a:defRPr/>
            </a:pPr>
            <a:r>
              <a:rPr lang="fr-FR"/>
              <a:t>Budget, financements et dépenses</a:t>
            </a:r>
          </a:p>
        </c:rich>
      </c:tx>
      <c:layout/>
      <c:overlay val="1"/>
    </c:title>
    <c:autoTitleDeleted val="0"/>
    <c:plotArea>
      <c:layout/>
      <c:doughnutChart>
        <c:varyColors val="1"/>
        <c:ser>
          <c:idx val="0"/>
          <c:order val="0"/>
          <c:tx>
            <c:strRef>
              <c:f>'TABLEAU DE BORD'!$AE$35</c:f>
              <c:strCache>
                <c:ptCount val="1"/>
              </c:strCache>
            </c:strRef>
          </c:tx>
          <c:spPr>
            <a:ln>
              <a:prstDash val="solid"/>
            </a:ln>
          </c:spPr>
          <c:dLbls>
            <c:spPr>
              <a:noFill/>
              <a:ln>
                <a:noFill/>
              </a:ln>
              <a:effectLst/>
            </c:spPr>
            <c:showLegendKey val="1"/>
            <c:showVal val="1"/>
            <c:showCatName val="1"/>
            <c:showSerName val="1"/>
            <c:showPercent val="1"/>
            <c:showBubbleSize val="1"/>
            <c:showLeaderLines val="1"/>
            <c:extLst>
              <c:ext xmlns:c15="http://schemas.microsoft.com/office/drawing/2012/chart" uri="{CE6537A1-D6FC-4f65-9D91-7224C49458BB}"/>
            </c:extLst>
          </c:dLbls>
          <c:val>
            <c:numRef>
              <c:f>'TABLEAU DE BORD'!$AE$36:$AE$38</c:f>
            </c:numRef>
          </c:val>
          <c:extLst>
            <c:ext xmlns:c15="http://schemas.microsoft.com/office/drawing/2012/chart" uri="{02D57815-91ED-43cb-92C2-25804820EDAC}">
              <c15:filteredCategoryTitle>
                <c15:cat>
                  <c:multiLvlStrRef>
                    <c:extLst>
                      <c:ext uri="{02D57815-91ED-43cb-92C2-25804820EDAC}">
                        <c15:formulaRef>
                          <c15:sqref>'TABLEAU DE BORD'!$AD$36:$AD$38</c15:sqref>
                        </c15:formulaRef>
                      </c:ext>
                    </c:extLst>
                  </c:multiLvlStrRef>
                </c15:cat>
              </c15:filteredCategoryTitle>
            </c:ext>
            <c:ext xmlns:c16="http://schemas.microsoft.com/office/drawing/2014/chart" uri="{C3380CC4-5D6E-409C-BE32-E72D297353CC}">
              <c16:uniqueId val="{00000000-00FF-47C1-A0B5-DCF0E713279D}"/>
            </c:ext>
          </c:extLst>
        </c:ser>
        <c:dLbls>
          <c:showLegendKey val="1"/>
          <c:showVal val="1"/>
          <c:showCatName val="1"/>
          <c:showSerName val="1"/>
          <c:showPercent val="1"/>
          <c:showBubbleSize val="1"/>
          <c:showLeaderLines val="1"/>
        </c:dLbls>
        <c:firstSliceAng val="270"/>
        <c:holeSize val="62"/>
      </c:doughnutChart>
    </c:plotArea>
    <c:legend>
      <c:legendPos val="r"/>
      <c:layout/>
      <c:overlay val="1"/>
    </c:legend>
    <c:plotVisOnly val="1"/>
    <c:dispBlanksAs val="gap"/>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fr-FR"/>
              <a:t>Évolution de l’effectif total par année d’adhésion</a:t>
            </a:r>
          </a:p>
        </c:rich>
      </c:tx>
      <c:layout/>
      <c:overlay val="1"/>
      <c:spPr>
        <a:noFill/>
        <a:ln>
          <a:noFill/>
        </a:ln>
        <a:effectLst/>
      </c:spPr>
    </c:title>
    <c:autoTitleDeleted val="0"/>
    <c:plotArea>
      <c:layout/>
      <c:lineChart>
        <c:grouping val="standard"/>
        <c:varyColors val="1"/>
        <c:ser>
          <c:idx val="0"/>
          <c:order val="0"/>
          <c:tx>
            <c:strRef>
              <c:f>'TABLEAU DE BORD'!$B$97</c:f>
              <c:strCache>
                <c:ptCount val="1"/>
                <c:pt idx="0">
                  <c:v>Effectif total</c:v>
                </c:pt>
              </c:strCache>
            </c:strRef>
          </c:tx>
          <c:marker>
            <c:symbol val="circle"/>
            <c:size val="17"/>
          </c:marker>
          <c:dPt>
            <c:idx val="0"/>
            <c:marker>
              <c:spPr>
                <a:solidFill>
                  <a:schemeClr val="accent1"/>
                </a:solidFill>
                <a:ln>
                  <a:noFill/>
                </a:ln>
                <a:effectLst/>
              </c:spPr>
            </c:marker>
            <c:bubble3D val="0"/>
            <c:spPr>
              <a:ln w="31750" cap="rnd">
                <a:solidFill>
                  <a:schemeClr val="accent1"/>
                </a:solidFill>
                <a:round/>
              </a:ln>
              <a:effectLst/>
            </c:spPr>
            <c:extLst>
              <c:ext xmlns:c16="http://schemas.microsoft.com/office/drawing/2014/chart" uri="{C3380CC4-5D6E-409C-BE32-E72D297353CC}">
                <c16:uniqueId val="{00000001-D53F-44BA-A30F-870733B63AD1}"/>
              </c:ext>
            </c:extLst>
          </c:dPt>
          <c:dPt>
            <c:idx val="1"/>
            <c:marker>
              <c:spPr>
                <a:solidFill>
                  <a:schemeClr val="accent2"/>
                </a:solidFill>
                <a:ln>
                  <a:noFill/>
                </a:ln>
                <a:effectLst/>
              </c:spPr>
            </c:marker>
            <c:bubble3D val="0"/>
            <c:spPr>
              <a:ln w="31750" cap="rnd">
                <a:solidFill>
                  <a:schemeClr val="accent2"/>
                </a:solidFill>
                <a:round/>
              </a:ln>
              <a:effectLst/>
            </c:spPr>
            <c:extLst>
              <c:ext xmlns:c16="http://schemas.microsoft.com/office/drawing/2014/chart" uri="{C3380CC4-5D6E-409C-BE32-E72D297353CC}">
                <c16:uniqueId val="{00000002-D53F-44BA-A30F-870733B63AD1}"/>
              </c:ext>
            </c:extLst>
          </c:dPt>
          <c:dPt>
            <c:idx val="2"/>
            <c:marker>
              <c:spPr>
                <a:solidFill>
                  <a:schemeClr val="accent3"/>
                </a:solidFill>
                <a:ln>
                  <a:noFill/>
                </a:ln>
                <a:effectLst/>
              </c:spPr>
            </c:marker>
            <c:bubble3D val="0"/>
            <c:spPr>
              <a:ln w="31750" cap="rnd">
                <a:solidFill>
                  <a:schemeClr val="accent3"/>
                </a:solidFill>
                <a:round/>
              </a:ln>
              <a:effectLst/>
            </c:spPr>
            <c:extLst>
              <c:ext xmlns:c16="http://schemas.microsoft.com/office/drawing/2014/chart" uri="{C3380CC4-5D6E-409C-BE32-E72D297353CC}">
                <c16:uniqueId val="{00000003-D53F-44BA-A30F-870733B63AD1}"/>
              </c:ext>
            </c:extLst>
          </c:dPt>
          <c:dPt>
            <c:idx val="3"/>
            <c:marker>
              <c:spPr>
                <a:solidFill>
                  <a:schemeClr val="accent4"/>
                </a:solidFill>
                <a:ln>
                  <a:noFill/>
                </a:ln>
                <a:effectLst/>
              </c:spPr>
            </c:marker>
            <c:bubble3D val="0"/>
            <c:spPr>
              <a:ln w="31750" cap="rnd">
                <a:solidFill>
                  <a:schemeClr val="accent4"/>
                </a:solidFill>
                <a:round/>
              </a:ln>
              <a:effectLst/>
            </c:spPr>
            <c:extLst>
              <c:ext xmlns:c16="http://schemas.microsoft.com/office/drawing/2014/chart" uri="{C3380CC4-5D6E-409C-BE32-E72D297353CC}">
                <c16:uniqueId val="{00000004-D53F-44BA-A30F-870733B63AD1}"/>
              </c:ext>
            </c:extLst>
          </c:dPt>
          <c:dPt>
            <c:idx val="4"/>
            <c:marker>
              <c:spPr>
                <a:solidFill>
                  <a:schemeClr val="accent5"/>
                </a:solidFill>
                <a:ln>
                  <a:noFill/>
                </a:ln>
                <a:effectLst/>
              </c:spPr>
            </c:marker>
            <c:bubble3D val="0"/>
            <c:spPr>
              <a:ln w="31750" cap="rnd">
                <a:solidFill>
                  <a:schemeClr val="accent5"/>
                </a:solidFill>
                <a:round/>
              </a:ln>
              <a:effectLst/>
            </c:spPr>
            <c:extLst>
              <c:ext xmlns:c16="http://schemas.microsoft.com/office/drawing/2014/chart" uri="{C3380CC4-5D6E-409C-BE32-E72D297353CC}">
                <c16:uniqueId val="{00000005-D53F-44BA-A30F-870733B63AD1}"/>
              </c:ext>
            </c:extLst>
          </c:dPt>
          <c:dPt>
            <c:idx val="5"/>
            <c:marker>
              <c:spPr>
                <a:solidFill>
                  <a:schemeClr val="accent6"/>
                </a:solidFill>
                <a:ln>
                  <a:noFill/>
                </a:ln>
                <a:effectLst/>
              </c:spPr>
            </c:marker>
            <c:bubble3D val="0"/>
            <c:spPr>
              <a:ln w="31750" cap="rnd">
                <a:solidFill>
                  <a:schemeClr val="accent6"/>
                </a:solidFill>
                <a:round/>
              </a:ln>
              <a:effectLst/>
            </c:spPr>
            <c:extLst>
              <c:ext xmlns:c16="http://schemas.microsoft.com/office/drawing/2014/chart" uri="{C3380CC4-5D6E-409C-BE32-E72D297353CC}">
                <c16:uniqueId val="{00000006-D53F-44BA-A30F-870733B63AD1}"/>
              </c:ext>
            </c:extLst>
          </c:dPt>
          <c:dPt>
            <c:idx val="6"/>
            <c:marker>
              <c:spPr>
                <a:solidFill>
                  <a:schemeClr val="accent1">
                    <a:lumMod val="60000"/>
                  </a:schemeClr>
                </a:solidFill>
                <a:ln>
                  <a:noFill/>
                </a:ln>
                <a:effectLst/>
              </c:spPr>
            </c:marker>
            <c:bubble3D val="0"/>
            <c:spPr>
              <a:ln w="31750" cap="rnd">
                <a:solidFill>
                  <a:schemeClr val="accent1">
                    <a:lumMod val="60000"/>
                  </a:schemeClr>
                </a:solidFill>
                <a:round/>
              </a:ln>
              <a:effectLst/>
            </c:spPr>
            <c:extLst>
              <c:ext xmlns:c16="http://schemas.microsoft.com/office/drawing/2014/chart" uri="{C3380CC4-5D6E-409C-BE32-E72D297353CC}">
                <c16:uniqueId val="{00000007-D53F-44BA-A30F-870733B63AD1}"/>
              </c:ext>
            </c:extLst>
          </c:dPt>
          <c:dPt>
            <c:idx val="7"/>
            <c:marker>
              <c:spPr>
                <a:solidFill>
                  <a:schemeClr val="accent2">
                    <a:lumMod val="60000"/>
                  </a:schemeClr>
                </a:solidFill>
                <a:ln>
                  <a:noFill/>
                </a:ln>
                <a:effectLst/>
              </c:spPr>
            </c:marker>
            <c:bubble3D val="0"/>
            <c:spPr>
              <a:ln w="31750" cap="rnd">
                <a:solidFill>
                  <a:schemeClr val="accent2">
                    <a:lumMod val="60000"/>
                  </a:schemeClr>
                </a:solidFill>
                <a:round/>
              </a:ln>
              <a:effectLst/>
            </c:spPr>
            <c:extLst>
              <c:ext xmlns:c16="http://schemas.microsoft.com/office/drawing/2014/chart" uri="{C3380CC4-5D6E-409C-BE32-E72D297353CC}">
                <c16:uniqueId val="{00000008-D53F-44BA-A30F-870733B63AD1}"/>
              </c:ext>
            </c:extLst>
          </c:dPt>
          <c:dPt>
            <c:idx val="8"/>
            <c:marker>
              <c:spPr>
                <a:solidFill>
                  <a:schemeClr val="accent3">
                    <a:lumMod val="60000"/>
                  </a:schemeClr>
                </a:solidFill>
                <a:ln>
                  <a:noFill/>
                </a:ln>
                <a:effectLst/>
              </c:spPr>
            </c:marker>
            <c:bubble3D val="0"/>
            <c:spPr>
              <a:ln w="31750" cap="rnd">
                <a:solidFill>
                  <a:schemeClr val="accent3">
                    <a:lumMod val="60000"/>
                  </a:schemeClr>
                </a:solidFill>
                <a:round/>
              </a:ln>
              <a:effectLst/>
            </c:spPr>
            <c:extLst>
              <c:ext xmlns:c16="http://schemas.microsoft.com/office/drawing/2014/chart" uri="{C3380CC4-5D6E-409C-BE32-E72D297353CC}">
                <c16:uniqueId val="{00000009-D53F-44BA-A30F-870733B63AD1}"/>
              </c:ext>
            </c:extLst>
          </c:dPt>
          <c:dPt>
            <c:idx val="9"/>
            <c:marker>
              <c:spPr>
                <a:solidFill>
                  <a:schemeClr val="accent4">
                    <a:lumMod val="60000"/>
                  </a:schemeClr>
                </a:solidFill>
                <a:ln>
                  <a:noFill/>
                </a:ln>
                <a:effectLst/>
              </c:spPr>
            </c:marker>
            <c:bubble3D val="0"/>
            <c:spPr>
              <a:ln w="31750" cap="rnd">
                <a:solidFill>
                  <a:schemeClr val="accent4">
                    <a:lumMod val="60000"/>
                  </a:schemeClr>
                </a:solidFill>
                <a:round/>
              </a:ln>
              <a:effectLst/>
            </c:spPr>
            <c:extLst>
              <c:ext xmlns:c16="http://schemas.microsoft.com/office/drawing/2014/chart" uri="{C3380CC4-5D6E-409C-BE32-E72D297353CC}">
                <c16:uniqueId val="{0000000A-D53F-44BA-A30F-870733B63AD1}"/>
              </c:ext>
            </c:extLst>
          </c:dPt>
          <c:dPt>
            <c:idx val="10"/>
            <c:marker>
              <c:spPr>
                <a:solidFill>
                  <a:schemeClr val="accent5">
                    <a:lumMod val="60000"/>
                  </a:schemeClr>
                </a:solidFill>
                <a:ln>
                  <a:noFill/>
                </a:ln>
                <a:effectLst/>
              </c:spPr>
            </c:marker>
            <c:bubble3D val="0"/>
            <c:spPr>
              <a:ln w="31750" cap="rnd">
                <a:solidFill>
                  <a:schemeClr val="accent5">
                    <a:lumMod val="60000"/>
                  </a:schemeClr>
                </a:solidFill>
                <a:round/>
              </a:ln>
              <a:effectLst/>
            </c:spPr>
            <c:extLst>
              <c:ext xmlns:c16="http://schemas.microsoft.com/office/drawing/2014/chart" uri="{C3380CC4-5D6E-409C-BE32-E72D297353CC}">
                <c16:uniqueId val="{0000000B-D53F-44BA-A30F-870733B63AD1}"/>
              </c:ext>
            </c:extLst>
          </c:dPt>
          <c:dPt>
            <c:idx val="11"/>
            <c:marker>
              <c:spPr>
                <a:solidFill>
                  <a:schemeClr val="accent6">
                    <a:lumMod val="60000"/>
                  </a:schemeClr>
                </a:solidFill>
                <a:ln>
                  <a:noFill/>
                </a:ln>
                <a:effectLst/>
              </c:spPr>
            </c:marker>
            <c:bubble3D val="0"/>
            <c:spPr>
              <a:ln w="31750" cap="rnd">
                <a:solidFill>
                  <a:schemeClr val="accent6">
                    <a:lumMod val="60000"/>
                  </a:schemeClr>
                </a:solidFill>
                <a:round/>
              </a:ln>
              <a:effectLst/>
            </c:spPr>
            <c:extLst>
              <c:ext xmlns:c16="http://schemas.microsoft.com/office/drawing/2014/chart" uri="{C3380CC4-5D6E-409C-BE32-E72D297353CC}">
                <c16:uniqueId val="{0000000C-D53F-44BA-A30F-870733B63AD1}"/>
              </c:ext>
            </c:extLst>
          </c:dPt>
          <c:dPt>
            <c:idx val="12"/>
            <c:marker>
              <c:spPr>
                <a:solidFill>
                  <a:schemeClr val="accent1">
                    <a:lumMod val="80000"/>
                    <a:lumOff val="20000"/>
                  </a:schemeClr>
                </a:solidFill>
                <a:ln>
                  <a:noFill/>
                </a:ln>
                <a:effectLst/>
              </c:spPr>
            </c:marker>
            <c:bubble3D val="0"/>
            <c:spPr>
              <a:ln w="31750" cap="rnd">
                <a:solidFill>
                  <a:schemeClr val="accent1">
                    <a:lumMod val="80000"/>
                    <a:lumOff val="20000"/>
                  </a:schemeClr>
                </a:solidFill>
                <a:round/>
              </a:ln>
              <a:effectLst/>
            </c:spPr>
            <c:extLst>
              <c:ext xmlns:c16="http://schemas.microsoft.com/office/drawing/2014/chart" uri="{C3380CC4-5D6E-409C-BE32-E72D297353CC}">
                <c16:uniqueId val="{0000000D-D53F-44BA-A30F-870733B63AD1}"/>
              </c:ext>
            </c:extLst>
          </c:dPt>
          <c:dPt>
            <c:idx val="13"/>
            <c:marker>
              <c:spPr>
                <a:solidFill>
                  <a:schemeClr val="accent2">
                    <a:lumMod val="80000"/>
                    <a:lumOff val="20000"/>
                  </a:schemeClr>
                </a:solidFill>
                <a:ln>
                  <a:noFill/>
                </a:ln>
                <a:effectLst/>
              </c:spPr>
            </c:marker>
            <c:bubble3D val="0"/>
            <c:spPr>
              <a:ln w="31750" cap="rnd">
                <a:solidFill>
                  <a:schemeClr val="accent2">
                    <a:lumMod val="80000"/>
                    <a:lumOff val="20000"/>
                  </a:schemeClr>
                </a:solidFill>
                <a:round/>
              </a:ln>
              <a:effectLst/>
            </c:spPr>
            <c:extLst>
              <c:ext xmlns:c16="http://schemas.microsoft.com/office/drawing/2014/chart" uri="{C3380CC4-5D6E-409C-BE32-E72D297353CC}">
                <c16:uniqueId val="{0000000E-D53F-44BA-A30F-870733B63AD1}"/>
              </c:ext>
            </c:extLst>
          </c:dPt>
          <c:dPt>
            <c:idx val="14"/>
            <c:marker>
              <c:spPr>
                <a:solidFill>
                  <a:schemeClr val="accent3">
                    <a:lumMod val="80000"/>
                    <a:lumOff val="20000"/>
                  </a:schemeClr>
                </a:solidFill>
                <a:ln>
                  <a:noFill/>
                </a:ln>
                <a:effectLst/>
              </c:spPr>
            </c:marker>
            <c:bubble3D val="0"/>
            <c:spPr>
              <a:ln w="31750" cap="rnd">
                <a:solidFill>
                  <a:schemeClr val="accent3">
                    <a:lumMod val="80000"/>
                    <a:lumOff val="20000"/>
                  </a:schemeClr>
                </a:solidFill>
                <a:round/>
              </a:ln>
              <a:effectLst/>
            </c:spPr>
            <c:extLst>
              <c:ext xmlns:c16="http://schemas.microsoft.com/office/drawing/2014/chart" uri="{C3380CC4-5D6E-409C-BE32-E72D297353CC}">
                <c16:uniqueId val="{0000000F-D53F-44BA-A30F-870733B63AD1}"/>
              </c:ext>
            </c:extLst>
          </c:dPt>
          <c:dPt>
            <c:idx val="15"/>
            <c:marker>
              <c:spPr>
                <a:solidFill>
                  <a:schemeClr val="accent4">
                    <a:lumMod val="80000"/>
                    <a:lumOff val="20000"/>
                  </a:schemeClr>
                </a:solidFill>
                <a:ln>
                  <a:noFill/>
                </a:ln>
                <a:effectLst/>
              </c:spPr>
            </c:marker>
            <c:bubble3D val="0"/>
            <c:spPr>
              <a:ln w="31750" cap="rnd">
                <a:solidFill>
                  <a:schemeClr val="accent4">
                    <a:lumMod val="80000"/>
                    <a:lumOff val="20000"/>
                  </a:schemeClr>
                </a:solidFill>
                <a:round/>
              </a:ln>
              <a:effectLst/>
            </c:spPr>
            <c:extLst>
              <c:ext xmlns:c16="http://schemas.microsoft.com/office/drawing/2014/chart" uri="{C3380CC4-5D6E-409C-BE32-E72D297353CC}">
                <c16:uniqueId val="{00000010-D53F-44BA-A30F-870733B63AD1}"/>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ctr"/>
              <c:showLegendKey val="0"/>
              <c:showVal val="1"/>
              <c:showCatName val="0"/>
              <c:showSerName val="0"/>
              <c:showPercent val="0"/>
              <c:showBubbleSize val="0"/>
              <c:extLst>
                <c:ext xmlns:c16="http://schemas.microsoft.com/office/drawing/2014/chart" uri="{C3380CC4-5D6E-409C-BE32-E72D297353CC}">
                  <c16:uniqueId val="{00000001-D53F-44BA-A30F-870733B63AD1}"/>
                </c:ext>
              </c:extLst>
            </c:dLbl>
            <c:dLbl>
              <c:idx val="1"/>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ctr"/>
              <c:showLegendKey val="0"/>
              <c:showVal val="1"/>
              <c:showCatName val="0"/>
              <c:showSerName val="0"/>
              <c:showPercent val="0"/>
              <c:showBubbleSize val="0"/>
              <c:extLst>
                <c:ext xmlns:c16="http://schemas.microsoft.com/office/drawing/2014/chart" uri="{C3380CC4-5D6E-409C-BE32-E72D297353CC}">
                  <c16:uniqueId val="{00000002-D53F-44BA-A30F-870733B63AD1}"/>
                </c:ext>
              </c:extLst>
            </c:dLbl>
            <c:dLbl>
              <c:idx val="2"/>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ctr"/>
              <c:showLegendKey val="0"/>
              <c:showVal val="1"/>
              <c:showCatName val="0"/>
              <c:showSerName val="0"/>
              <c:showPercent val="0"/>
              <c:showBubbleSize val="0"/>
              <c:extLst>
                <c:ext xmlns:c16="http://schemas.microsoft.com/office/drawing/2014/chart" uri="{C3380CC4-5D6E-409C-BE32-E72D297353CC}">
                  <c16:uniqueId val="{00000003-D53F-44BA-A30F-870733B63AD1}"/>
                </c:ext>
              </c:extLst>
            </c:dLbl>
            <c:dLbl>
              <c:idx val="3"/>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ctr"/>
              <c:showLegendKey val="0"/>
              <c:showVal val="1"/>
              <c:showCatName val="0"/>
              <c:showSerName val="0"/>
              <c:showPercent val="0"/>
              <c:showBubbleSize val="0"/>
              <c:extLst>
                <c:ext xmlns:c16="http://schemas.microsoft.com/office/drawing/2014/chart" uri="{C3380CC4-5D6E-409C-BE32-E72D297353CC}">
                  <c16:uniqueId val="{00000004-D53F-44BA-A30F-870733B63AD1}"/>
                </c:ext>
              </c:extLst>
            </c:dLbl>
            <c:dLbl>
              <c:idx val="4"/>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ctr"/>
              <c:showLegendKey val="0"/>
              <c:showVal val="1"/>
              <c:showCatName val="0"/>
              <c:showSerName val="0"/>
              <c:showPercent val="0"/>
              <c:showBubbleSize val="0"/>
              <c:extLst>
                <c:ext xmlns:c16="http://schemas.microsoft.com/office/drawing/2014/chart" uri="{C3380CC4-5D6E-409C-BE32-E72D297353CC}">
                  <c16:uniqueId val="{00000005-D53F-44BA-A30F-870733B63AD1}"/>
                </c:ext>
              </c:extLst>
            </c:dLbl>
            <c:dLbl>
              <c:idx val="5"/>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ctr"/>
              <c:showLegendKey val="0"/>
              <c:showVal val="1"/>
              <c:showCatName val="0"/>
              <c:showSerName val="0"/>
              <c:showPercent val="0"/>
              <c:showBubbleSize val="0"/>
              <c:extLst>
                <c:ext xmlns:c16="http://schemas.microsoft.com/office/drawing/2014/chart" uri="{C3380CC4-5D6E-409C-BE32-E72D297353CC}">
                  <c16:uniqueId val="{00000006-D53F-44BA-A30F-870733B63AD1}"/>
                </c:ext>
              </c:extLst>
            </c:dLbl>
            <c:dLbl>
              <c:idx val="6"/>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ctr"/>
              <c:showLegendKey val="0"/>
              <c:showVal val="1"/>
              <c:showCatName val="0"/>
              <c:showSerName val="0"/>
              <c:showPercent val="0"/>
              <c:showBubbleSize val="0"/>
              <c:extLst>
                <c:ext xmlns:c16="http://schemas.microsoft.com/office/drawing/2014/chart" uri="{C3380CC4-5D6E-409C-BE32-E72D297353CC}">
                  <c16:uniqueId val="{00000007-D53F-44BA-A30F-870733B63AD1}"/>
                </c:ext>
              </c:extLst>
            </c:dLbl>
            <c:dLbl>
              <c:idx val="7"/>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ctr"/>
              <c:showLegendKey val="0"/>
              <c:showVal val="1"/>
              <c:showCatName val="0"/>
              <c:showSerName val="0"/>
              <c:showPercent val="0"/>
              <c:showBubbleSize val="0"/>
              <c:extLst>
                <c:ext xmlns:c16="http://schemas.microsoft.com/office/drawing/2014/chart" uri="{C3380CC4-5D6E-409C-BE32-E72D297353CC}">
                  <c16:uniqueId val="{00000008-D53F-44BA-A30F-870733B63AD1}"/>
                </c:ext>
              </c:extLst>
            </c:dLbl>
            <c:dLbl>
              <c:idx val="8"/>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ctr"/>
              <c:showLegendKey val="0"/>
              <c:showVal val="1"/>
              <c:showCatName val="0"/>
              <c:showSerName val="0"/>
              <c:showPercent val="0"/>
              <c:showBubbleSize val="0"/>
              <c:extLst>
                <c:ext xmlns:c16="http://schemas.microsoft.com/office/drawing/2014/chart" uri="{C3380CC4-5D6E-409C-BE32-E72D297353CC}">
                  <c16:uniqueId val="{00000009-D53F-44BA-A30F-870733B63AD1}"/>
                </c:ext>
              </c:extLst>
            </c:dLbl>
            <c:dLbl>
              <c:idx val="9"/>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ctr"/>
              <c:showLegendKey val="0"/>
              <c:showVal val="1"/>
              <c:showCatName val="0"/>
              <c:showSerName val="0"/>
              <c:showPercent val="0"/>
              <c:showBubbleSize val="0"/>
              <c:extLst>
                <c:ext xmlns:c16="http://schemas.microsoft.com/office/drawing/2014/chart" uri="{C3380CC4-5D6E-409C-BE32-E72D297353CC}">
                  <c16:uniqueId val="{0000000A-D53F-44BA-A30F-870733B63AD1}"/>
                </c:ext>
              </c:extLst>
            </c:dLbl>
            <c:dLbl>
              <c:idx val="1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ctr"/>
              <c:showLegendKey val="0"/>
              <c:showVal val="1"/>
              <c:showCatName val="0"/>
              <c:showSerName val="0"/>
              <c:showPercent val="0"/>
              <c:showBubbleSize val="0"/>
              <c:extLst>
                <c:ext xmlns:c16="http://schemas.microsoft.com/office/drawing/2014/chart" uri="{C3380CC4-5D6E-409C-BE32-E72D297353CC}">
                  <c16:uniqueId val="{0000000B-D53F-44BA-A30F-870733B63AD1}"/>
                </c:ext>
              </c:extLst>
            </c:dLbl>
            <c:dLbl>
              <c:idx val="11"/>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ctr"/>
              <c:showLegendKey val="0"/>
              <c:showVal val="1"/>
              <c:showCatName val="0"/>
              <c:showSerName val="0"/>
              <c:showPercent val="0"/>
              <c:showBubbleSize val="0"/>
              <c:extLst>
                <c:ext xmlns:c16="http://schemas.microsoft.com/office/drawing/2014/chart" uri="{C3380CC4-5D6E-409C-BE32-E72D297353CC}">
                  <c16:uniqueId val="{0000000C-D53F-44BA-A30F-870733B63AD1}"/>
                </c:ext>
              </c:extLst>
            </c:dLbl>
            <c:dLbl>
              <c:idx val="12"/>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ctr"/>
              <c:showLegendKey val="0"/>
              <c:showVal val="1"/>
              <c:showCatName val="0"/>
              <c:showSerName val="0"/>
              <c:showPercent val="0"/>
              <c:showBubbleSize val="0"/>
              <c:extLst>
                <c:ext xmlns:c16="http://schemas.microsoft.com/office/drawing/2014/chart" uri="{C3380CC4-5D6E-409C-BE32-E72D297353CC}">
                  <c16:uniqueId val="{0000000D-D53F-44BA-A30F-870733B63AD1}"/>
                </c:ext>
              </c:extLst>
            </c:dLbl>
            <c:dLbl>
              <c:idx val="13"/>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ctr"/>
              <c:showLegendKey val="0"/>
              <c:showVal val="1"/>
              <c:showCatName val="0"/>
              <c:showSerName val="0"/>
              <c:showPercent val="0"/>
              <c:showBubbleSize val="0"/>
              <c:extLst>
                <c:ext xmlns:c16="http://schemas.microsoft.com/office/drawing/2014/chart" uri="{C3380CC4-5D6E-409C-BE32-E72D297353CC}">
                  <c16:uniqueId val="{0000000E-D53F-44BA-A30F-870733B63AD1}"/>
                </c:ext>
              </c:extLst>
            </c:dLbl>
            <c:dLbl>
              <c:idx val="14"/>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ctr"/>
              <c:showLegendKey val="0"/>
              <c:showVal val="1"/>
              <c:showCatName val="0"/>
              <c:showSerName val="0"/>
              <c:showPercent val="0"/>
              <c:showBubbleSize val="0"/>
              <c:extLst>
                <c:ext xmlns:c16="http://schemas.microsoft.com/office/drawing/2014/chart" uri="{C3380CC4-5D6E-409C-BE32-E72D297353CC}">
                  <c16:uniqueId val="{0000000F-D53F-44BA-A30F-870733B63AD1}"/>
                </c:ext>
              </c:extLst>
            </c:dLbl>
            <c:dLbl>
              <c:idx val="15"/>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ctr"/>
              <c:showLegendKey val="0"/>
              <c:showVal val="1"/>
              <c:showCatName val="0"/>
              <c:showSerName val="0"/>
              <c:showPercent val="0"/>
              <c:showBubbleSize val="0"/>
              <c:extLst>
                <c:ext xmlns:c16="http://schemas.microsoft.com/office/drawing/2014/chart" uri="{C3380CC4-5D6E-409C-BE32-E72D297353CC}">
                  <c16:uniqueId val="{00000010-D53F-44BA-A30F-870733B63AD1}"/>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numRef>
              <c:f>'TABLEAU DE BORD'!$A$98:$A$113</c:f>
              <c:numCache>
                <c:formatCode>General</c:formatCode>
                <c:ptCount val="16"/>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numCache>
            </c:numRef>
          </c:cat>
          <c:val>
            <c:numRef>
              <c:f>'TABLEAU DE BORD'!$B$98:$B$113</c:f>
              <c:numCache>
                <c:formatCode>General</c:formatCode>
                <c:ptCount val="16"/>
                <c:pt idx="0">
                  <c:v>0</c:v>
                </c:pt>
                <c:pt idx="1">
                  <c:v>0</c:v>
                </c:pt>
                <c:pt idx="2">
                  <c:v>0</c:v>
                </c:pt>
                <c:pt idx="3">
                  <c:v>0</c:v>
                </c:pt>
                <c:pt idx="4">
                  <c:v>14</c:v>
                </c:pt>
                <c:pt idx="5">
                  <c:v>0</c:v>
                </c:pt>
                <c:pt idx="6">
                  <c:v>0</c:v>
                </c:pt>
                <c:pt idx="7">
                  <c:v>0</c:v>
                </c:pt>
                <c:pt idx="8">
                  <c:v>0</c:v>
                </c:pt>
                <c:pt idx="9">
                  <c:v>0</c:v>
                </c:pt>
                <c:pt idx="10">
                  <c:v>0</c:v>
                </c:pt>
                <c:pt idx="11">
                  <c:v>0</c:v>
                </c:pt>
                <c:pt idx="12">
                  <c:v>0</c:v>
                </c:pt>
                <c:pt idx="13">
                  <c:v>0</c:v>
                </c:pt>
                <c:pt idx="14">
                  <c:v>0</c:v>
                </c:pt>
                <c:pt idx="15">
                  <c:v>0</c:v>
                </c:pt>
              </c:numCache>
            </c:numRef>
          </c:val>
          <c:smooth val="1"/>
          <c:extLst>
            <c:ext xmlns:c16="http://schemas.microsoft.com/office/drawing/2014/chart" uri="{C3380CC4-5D6E-409C-BE32-E72D297353CC}">
              <c16:uniqueId val="{00000000-D53F-44BA-A30F-870733B63AD1}"/>
            </c:ext>
          </c:extLst>
        </c:ser>
        <c:dLbls>
          <c:dLblPos val="ctr"/>
          <c:showLegendKey val="0"/>
          <c:showVal val="1"/>
          <c:showCatName val="0"/>
          <c:showSerName val="0"/>
          <c:showPercent val="0"/>
          <c:showBubbleSize val="0"/>
        </c:dLbls>
        <c:marker val="1"/>
        <c:smooth val="0"/>
        <c:axId val="10"/>
        <c:axId val="100"/>
      </c:lineChart>
      <c:catAx>
        <c:axId val="1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fr-FR"/>
                  <a:t>Année d’adhésion</a:t>
                </a:r>
              </a:p>
            </c:rich>
          </c:tx>
          <c:layout/>
          <c:overlay val="1"/>
          <c:spPr>
            <a:noFill/>
            <a:ln>
              <a:noFill/>
            </a:ln>
            <a:effectLst/>
          </c:sp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fr-FR"/>
          </a:p>
        </c:txPr>
        <c:crossAx val="100"/>
        <c:crosses val="autoZero"/>
        <c:auto val="1"/>
        <c:lblAlgn val="ctr"/>
        <c:lblOffset val="100"/>
        <c:noMultiLvlLbl val="1"/>
      </c:catAx>
      <c:valAx>
        <c:axId val="10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fr-FR"/>
                  <a:t>Nombre de membres</a:t>
                </a:r>
              </a:p>
            </c:rich>
          </c:tx>
          <c:layout/>
          <c:overlay val="1"/>
          <c:spPr>
            <a:noFill/>
            <a:ln>
              <a:noFill/>
            </a:ln>
            <a:effectLst/>
          </c:spPr>
        </c:title>
        <c:numFmt formatCode="General" sourceLinked="1"/>
        <c:majorTickMark val="none"/>
        <c:minorTickMark val="none"/>
        <c:tickLblPos val="nextTo"/>
        <c:crossAx val="10"/>
        <c:crosses val="autoZero"/>
        <c:crossBetween val="between"/>
      </c:valAx>
      <c:spPr>
        <a:noFill/>
        <a:ln>
          <a:noFill/>
        </a:ln>
        <a:effectLst/>
      </c:spPr>
    </c:plotArea>
    <c:legend>
      <c:legendPos val="b"/>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fr-FR"/>
        </a:p>
      </c:txPr>
    </c:legend>
    <c:plotVisOnly val="1"/>
    <c:dispBlanksAs val="gap"/>
    <c:showDLblsOverMax val="1"/>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fr-F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fr-FR"/>
              <a:t>Évolution Femmes vs Hommes</a:t>
            </a:r>
          </a:p>
        </c:rich>
      </c:tx>
      <c:layout/>
      <c:overlay val="1"/>
      <c:spPr>
        <a:noFill/>
        <a:ln>
          <a:noFill/>
        </a:ln>
        <a:effectLst/>
      </c:spPr>
    </c:title>
    <c:autoTitleDeleted val="0"/>
    <c:plotArea>
      <c:layout/>
      <c:lineChart>
        <c:grouping val="standard"/>
        <c:varyColors val="1"/>
        <c:ser>
          <c:idx val="0"/>
          <c:order val="0"/>
          <c:tx>
            <c:strRef>
              <c:f>'TABLEAU DE BORD'!$C$97</c:f>
              <c:strCache>
                <c:ptCount val="1"/>
                <c:pt idx="0">
                  <c:v>Femmes</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numRef>
              <c:f>'TABLEAU DE BORD'!$A$98:$A$113</c:f>
              <c:numCache>
                <c:formatCode>General</c:formatCode>
                <c:ptCount val="16"/>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numCache>
            </c:numRef>
          </c:cat>
          <c:val>
            <c:numRef>
              <c:f>'TABLEAU DE BORD'!$C$98:$C$113</c:f>
              <c:numCache>
                <c:formatCode>General</c:formatCode>
                <c:ptCount val="16"/>
                <c:pt idx="0">
                  <c:v>0</c:v>
                </c:pt>
                <c:pt idx="1">
                  <c:v>0</c:v>
                </c:pt>
                <c:pt idx="2">
                  <c:v>0</c:v>
                </c:pt>
                <c:pt idx="3">
                  <c:v>0</c:v>
                </c:pt>
                <c:pt idx="4">
                  <c:v>6</c:v>
                </c:pt>
                <c:pt idx="5">
                  <c:v>0</c:v>
                </c:pt>
                <c:pt idx="6">
                  <c:v>0</c:v>
                </c:pt>
                <c:pt idx="7">
                  <c:v>0</c:v>
                </c:pt>
                <c:pt idx="8">
                  <c:v>0</c:v>
                </c:pt>
                <c:pt idx="9">
                  <c:v>0</c:v>
                </c:pt>
                <c:pt idx="10">
                  <c:v>0</c:v>
                </c:pt>
                <c:pt idx="11">
                  <c:v>0</c:v>
                </c:pt>
                <c:pt idx="12">
                  <c:v>0</c:v>
                </c:pt>
                <c:pt idx="13">
                  <c:v>0</c:v>
                </c:pt>
                <c:pt idx="14">
                  <c:v>0</c:v>
                </c:pt>
                <c:pt idx="15">
                  <c:v>0</c:v>
                </c:pt>
              </c:numCache>
            </c:numRef>
          </c:val>
          <c:smooth val="1"/>
          <c:extLst>
            <c:ext xmlns:c16="http://schemas.microsoft.com/office/drawing/2014/chart" uri="{C3380CC4-5D6E-409C-BE32-E72D297353CC}">
              <c16:uniqueId val="{00000000-4BC0-4343-86AD-8B68B8637FD3}"/>
            </c:ext>
          </c:extLst>
        </c:ser>
        <c:ser>
          <c:idx val="1"/>
          <c:order val="1"/>
          <c:tx>
            <c:strRef>
              <c:f>'TABLEAU DE BORD'!$D$97</c:f>
              <c:strCache>
                <c:ptCount val="1"/>
                <c:pt idx="0">
                  <c:v>Hommes</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numRef>
              <c:f>'TABLEAU DE BORD'!$A$98:$A$113</c:f>
              <c:numCache>
                <c:formatCode>General</c:formatCode>
                <c:ptCount val="16"/>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numCache>
            </c:numRef>
          </c:cat>
          <c:val>
            <c:numRef>
              <c:f>'TABLEAU DE BORD'!$D$98:$D$113</c:f>
              <c:numCache>
                <c:formatCode>General</c:formatCode>
                <c:ptCount val="16"/>
                <c:pt idx="0">
                  <c:v>0</c:v>
                </c:pt>
                <c:pt idx="1">
                  <c:v>0</c:v>
                </c:pt>
                <c:pt idx="2">
                  <c:v>0</c:v>
                </c:pt>
                <c:pt idx="3">
                  <c:v>0</c:v>
                </c:pt>
                <c:pt idx="4">
                  <c:v>7</c:v>
                </c:pt>
                <c:pt idx="5">
                  <c:v>0</c:v>
                </c:pt>
                <c:pt idx="6">
                  <c:v>0</c:v>
                </c:pt>
                <c:pt idx="7">
                  <c:v>0</c:v>
                </c:pt>
                <c:pt idx="8">
                  <c:v>0</c:v>
                </c:pt>
                <c:pt idx="9">
                  <c:v>0</c:v>
                </c:pt>
                <c:pt idx="10">
                  <c:v>0</c:v>
                </c:pt>
                <c:pt idx="11">
                  <c:v>0</c:v>
                </c:pt>
                <c:pt idx="12">
                  <c:v>0</c:v>
                </c:pt>
                <c:pt idx="13">
                  <c:v>0</c:v>
                </c:pt>
                <c:pt idx="14">
                  <c:v>0</c:v>
                </c:pt>
                <c:pt idx="15">
                  <c:v>0</c:v>
                </c:pt>
              </c:numCache>
            </c:numRef>
          </c:val>
          <c:smooth val="1"/>
          <c:extLst>
            <c:ext xmlns:c16="http://schemas.microsoft.com/office/drawing/2014/chart" uri="{C3380CC4-5D6E-409C-BE32-E72D297353CC}">
              <c16:uniqueId val="{00000001-4BC0-4343-86AD-8B68B8637FD3}"/>
            </c:ext>
          </c:extLst>
        </c:ser>
        <c:dLbls>
          <c:dLblPos val="ctr"/>
          <c:showLegendKey val="0"/>
          <c:showVal val="1"/>
          <c:showCatName val="0"/>
          <c:showSerName val="0"/>
          <c:showPercent val="0"/>
          <c:showBubbleSize val="0"/>
        </c:dLbls>
        <c:marker val="1"/>
        <c:smooth val="0"/>
        <c:axId val="10"/>
        <c:axId val="100"/>
      </c:lineChart>
      <c:catAx>
        <c:axId val="1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fr-FR"/>
                  <a:t>Année d’adhésion</a:t>
                </a:r>
              </a:p>
            </c:rich>
          </c:tx>
          <c:layout/>
          <c:overlay val="1"/>
          <c:spPr>
            <a:noFill/>
            <a:ln>
              <a:noFill/>
            </a:ln>
            <a:effectLst/>
          </c:sp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fr-FR"/>
          </a:p>
        </c:txPr>
        <c:crossAx val="100"/>
        <c:crosses val="autoZero"/>
        <c:auto val="1"/>
        <c:lblAlgn val="ctr"/>
        <c:lblOffset val="100"/>
        <c:noMultiLvlLbl val="1"/>
      </c:catAx>
      <c:valAx>
        <c:axId val="10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fr-FR"/>
                  <a:t>Nombre</a:t>
                </a:r>
              </a:p>
            </c:rich>
          </c:tx>
          <c:layout/>
          <c:overlay val="1"/>
          <c:spPr>
            <a:noFill/>
            <a:ln>
              <a:noFill/>
            </a:ln>
            <a:effectLst/>
          </c:spPr>
        </c:title>
        <c:numFmt formatCode="General" sourceLinked="1"/>
        <c:majorTickMark val="none"/>
        <c:minorTickMark val="none"/>
        <c:tickLblPos val="nextTo"/>
        <c:crossAx val="10"/>
        <c:crosses val="autoZero"/>
        <c:crossBetween val="between"/>
      </c:valAx>
      <c:spPr>
        <a:noFill/>
        <a:ln>
          <a:noFill/>
        </a:ln>
        <a:effectLst/>
      </c:spPr>
    </c:plotArea>
    <c:legend>
      <c:legendPos val="b"/>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fr-FR"/>
        </a:p>
      </c:txPr>
    </c:legend>
    <c:plotVisOnly val="1"/>
    <c:dispBlanksAs val="gap"/>
    <c:showDLblsOverMax val="1"/>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fr-F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fr-FR"/>
              <a:t>Répartition Femmes / Hommes</a:t>
            </a:r>
          </a:p>
        </c:rich>
      </c:tx>
      <c:layout>
        <c:manualLayout>
          <c:xMode val="edge"/>
          <c:yMode val="edge"/>
          <c:x val="0.26551176880376337"/>
          <c:y val="0"/>
        </c:manualLayout>
      </c:layout>
      <c:overlay val="1"/>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fr-FR"/>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A59B-4C21-96FB-B3DE054465E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A59B-4C21-96FB-B3DE054465E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15:layout/>
              </c:ext>
            </c:extLst>
          </c:dLbls>
          <c:cat>
            <c:strRef>
              <c:f>'TABLEAU DE BORD'!$A$115:$A$116</c:f>
              <c:strCache>
                <c:ptCount val="2"/>
                <c:pt idx="0">
                  <c:v>Femmes</c:v>
                </c:pt>
                <c:pt idx="1">
                  <c:v>Hommes</c:v>
                </c:pt>
              </c:strCache>
            </c:strRef>
          </c:cat>
          <c:val>
            <c:numRef>
              <c:f>'TABLEAU DE BORD'!$B$115:$B$116</c:f>
              <c:numCache>
                <c:formatCode>General</c:formatCode>
                <c:ptCount val="2"/>
                <c:pt idx="0">
                  <c:v>6</c:v>
                </c:pt>
                <c:pt idx="1">
                  <c:v>7</c:v>
                </c:pt>
              </c:numCache>
            </c:numRef>
          </c:val>
          <c:extLst>
            <c:ext xmlns:c16="http://schemas.microsoft.com/office/drawing/2014/chart" uri="{C3380CC4-5D6E-409C-BE32-E72D297353CC}">
              <c16:uniqueId val="{00000000-3817-41D5-BC3C-803199F29944}"/>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fr-FR"/>
        </a:p>
      </c:txPr>
    </c:legend>
    <c:plotVisOnly val="1"/>
    <c:dispBlanksAs val="gap"/>
    <c:showDLblsOverMax val="1"/>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fr-FR" sz="1600"/>
              <a:t>Répartition BE / CCE / Membres</a:t>
            </a:r>
          </a:p>
        </c:rich>
      </c:tx>
      <c:layout>
        <c:manualLayout>
          <c:xMode val="edge"/>
          <c:yMode val="edge"/>
          <c:x val="0.16446513246210567"/>
          <c:y val="0"/>
        </c:manualLayout>
      </c:layout>
      <c:overlay val="1"/>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fr-FR"/>
        </a:p>
      </c:txPr>
    </c:title>
    <c:autoTitleDeleted val="0"/>
    <c:plotArea>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106-4830-9766-D64DAD1126F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106-4830-9766-D64DAD1126FE}"/>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7106-4830-9766-D64DAD1126FE}"/>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fr-FR"/>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'TABLEAU DE BORD'!$A$119:$A$121</c:f>
              <c:strCache>
                <c:ptCount val="3"/>
                <c:pt idx="0">
                  <c:v>BE</c:v>
                </c:pt>
                <c:pt idx="1">
                  <c:v>CCE</c:v>
                </c:pt>
                <c:pt idx="2">
                  <c:v>Membre</c:v>
                </c:pt>
              </c:strCache>
            </c:strRef>
          </c:cat>
          <c:val>
            <c:numRef>
              <c:f>'TABLEAU DE BORD'!$B$119:$B$121</c:f>
              <c:numCache>
                <c:formatCode>General</c:formatCode>
                <c:ptCount val="3"/>
                <c:pt idx="0">
                  <c:v>7</c:v>
                </c:pt>
                <c:pt idx="1">
                  <c:v>2</c:v>
                </c:pt>
                <c:pt idx="2">
                  <c:v>5</c:v>
                </c:pt>
              </c:numCache>
            </c:numRef>
          </c:val>
          <c:extLst>
            <c:ext xmlns:c16="http://schemas.microsoft.com/office/drawing/2014/chart" uri="{C3380CC4-5D6E-409C-BE32-E72D297353CC}">
              <c16:uniqueId val="{00000000-7418-4C89-BC76-AD76BAE52789}"/>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fr-FR"/>
        </a:p>
      </c:txPr>
    </c:legend>
    <c:plotVisOnly val="1"/>
    <c:dispBlanksAs val="gap"/>
    <c:showDLblsOverMax val="1"/>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fr-F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c:style val="2"/>
  <c:chart>
    <c:title>
      <c:tx>
        <c:rich>
          <a:bodyPr/>
          <a:lstStyle/>
          <a:p>
            <a:pPr>
              <a:defRPr/>
            </a:pPr>
            <a:r>
              <a:rPr lang="fr-FR"/>
              <a:t>Femmes vs Hommes par année</a:t>
            </a:r>
          </a:p>
        </c:rich>
      </c:tx>
      <c:layout/>
      <c:overlay val="1"/>
    </c:title>
    <c:autoTitleDeleted val="0"/>
    <c:plotArea>
      <c:layout/>
      <c:barChart>
        <c:barDir val="col"/>
        <c:grouping val="clustered"/>
        <c:varyColors val="1"/>
        <c:ser>
          <c:idx val="0"/>
          <c:order val="0"/>
          <c:tx>
            <c:strRef>
              <c:f>ONG!$C$482</c:f>
              <c:strCache>
                <c:ptCount val="1"/>
                <c:pt idx="0">
                  <c:v>Femmes</c:v>
                </c:pt>
              </c:strCache>
            </c:strRef>
          </c:tx>
          <c:spPr>
            <a:ln>
              <a:prstDash val="solid"/>
            </a:ln>
          </c:spPr>
          <c:invertIfNegative val="1"/>
          <c:cat>
            <c:numRef>
              <c:f>ONG!$A$483:$A$498</c:f>
              <c:numCache>
                <c:formatCode>General</c:formatCode>
                <c:ptCount val="16"/>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numCache>
            </c:numRef>
          </c:cat>
          <c:val>
            <c:numRef>
              <c:f>ONG!$C$483:$C$498</c:f>
              <c:numCache>
                <c:formatCode>General</c:formatCode>
                <c:ptCount val="16"/>
                <c:pt idx="0">
                  <c:v>0</c:v>
                </c:pt>
                <c:pt idx="1">
                  <c:v>0</c:v>
                </c:pt>
                <c:pt idx="2">
                  <c:v>0</c:v>
                </c:pt>
                <c:pt idx="3">
                  <c:v>0</c:v>
                </c:pt>
                <c:pt idx="4">
                  <c:v>6</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7BC1-44A4-998E-2867BB6CDAFA}"/>
            </c:ext>
          </c:extLst>
        </c:ser>
        <c:ser>
          <c:idx val="1"/>
          <c:order val="1"/>
          <c:tx>
            <c:strRef>
              <c:f>ONG!$D$482</c:f>
              <c:strCache>
                <c:ptCount val="1"/>
                <c:pt idx="0">
                  <c:v>Hommes</c:v>
                </c:pt>
              </c:strCache>
            </c:strRef>
          </c:tx>
          <c:spPr>
            <a:ln>
              <a:prstDash val="solid"/>
            </a:ln>
          </c:spPr>
          <c:invertIfNegative val="1"/>
          <c:cat>
            <c:numRef>
              <c:f>ONG!$A$483:$A$498</c:f>
              <c:numCache>
                <c:formatCode>General</c:formatCode>
                <c:ptCount val="16"/>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numCache>
            </c:numRef>
          </c:cat>
          <c:val>
            <c:numRef>
              <c:f>ONG!$D$483:$D$498</c:f>
              <c:numCache>
                <c:formatCode>General</c:formatCode>
                <c:ptCount val="16"/>
                <c:pt idx="0">
                  <c:v>0</c:v>
                </c:pt>
                <c:pt idx="1">
                  <c:v>0</c:v>
                </c:pt>
                <c:pt idx="2">
                  <c:v>0</c:v>
                </c:pt>
                <c:pt idx="3">
                  <c:v>0</c:v>
                </c:pt>
                <c:pt idx="4">
                  <c:v>7</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7BC1-44A4-998E-2867BB6CDAFA}"/>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a:pPr>
                <a:r>
                  <a:rPr lang="fr-FR"/>
                  <a:t>Année</a:t>
                </a:r>
              </a:p>
            </c:rich>
          </c:tx>
          <c:layout/>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fr-FR"/>
                  <a:t>Nombre de membres</a:t>
                </a:r>
              </a:p>
            </c:rich>
          </c:tx>
          <c:layout/>
          <c:overlay val="1"/>
        </c:title>
        <c:numFmt formatCode="General" sourceLinked="1"/>
        <c:majorTickMark val="none"/>
        <c:minorTickMark val="none"/>
        <c:tickLblPos val="nextTo"/>
        <c:crossAx val="10"/>
        <c:crosses val="autoZero"/>
        <c:crossBetween val="between"/>
      </c:valAx>
    </c:plotArea>
    <c:legend>
      <c:legendPos val="r"/>
      <c:layout/>
      <c:overlay val="1"/>
    </c:legend>
    <c:plotVisOnly val="1"/>
    <c:dispBlanksAs val="gap"/>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c:style val="2"/>
  <c:chart>
    <c:title>
      <c:tx>
        <c:rich>
          <a:bodyPr/>
          <a:lstStyle/>
          <a:p>
            <a:pPr>
              <a:defRPr/>
            </a:pPr>
            <a:r>
              <a:rPr lang="fr-FR"/>
              <a:t>Répartition des statuts</a:t>
            </a:r>
          </a:p>
        </c:rich>
      </c:tx>
      <c:layout/>
      <c:overlay val="1"/>
    </c:title>
    <c:autoTitleDeleted val="0"/>
    <c:plotArea>
      <c:layout/>
      <c:barChart>
        <c:barDir val="col"/>
        <c:grouping val="clustered"/>
        <c:varyColors val="1"/>
        <c:ser>
          <c:idx val="0"/>
          <c:order val="0"/>
          <c:spPr>
            <a:ln>
              <a:prstDash val="solid"/>
            </a:ln>
          </c:spPr>
          <c:invertIfNegative val="1"/>
          <c:cat>
            <c:strRef>
              <c:f>ONG!$A$476:$A$478</c:f>
              <c:strCache>
                <c:ptCount val="3"/>
                <c:pt idx="0">
                  <c:v>BE</c:v>
                </c:pt>
                <c:pt idx="1">
                  <c:v>Membres CCE</c:v>
                </c:pt>
                <c:pt idx="2">
                  <c:v>Membres</c:v>
                </c:pt>
              </c:strCache>
            </c:strRef>
          </c:cat>
          <c:val>
            <c:numRef>
              <c:f>ONG!$B$476:$B$478</c:f>
              <c:numCache>
                <c:formatCode>General</c:formatCode>
                <c:ptCount val="3"/>
                <c:pt idx="0">
                  <c:v>7</c:v>
                </c:pt>
                <c:pt idx="1">
                  <c:v>2</c:v>
                </c:pt>
                <c:pt idx="2">
                  <c:v>5</c:v>
                </c:pt>
              </c:numCache>
            </c:numRef>
          </c:val>
          <c:extLst>
            <c:ext xmlns:c16="http://schemas.microsoft.com/office/drawing/2014/chart" uri="{C3380CC4-5D6E-409C-BE32-E72D297353CC}">
              <c16:uniqueId val="{00000000-649C-4D0D-82AE-B916BC058D89}"/>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numFmt formatCode="General" sourceLinked="1"/>
        <c:majorTickMark val="none"/>
        <c:minorTickMark val="none"/>
        <c:tickLblPos val="nextTo"/>
        <c:crossAx val="10"/>
        <c:crosses val="autoZero"/>
        <c:crossBetween val="between"/>
      </c:valAx>
    </c:plotArea>
    <c:legend>
      <c:legendPos val="r"/>
      <c:layout/>
      <c:overlay val="0"/>
    </c:legend>
    <c:plotVisOnly val="1"/>
    <c:dispBlanksAs val="gap"/>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c:style val="2"/>
  <c:chart>
    <c:title>
      <c:tx>
        <c:rich>
          <a:bodyPr rot="0"/>
          <a:lstStyle/>
          <a:p>
            <a:pPr>
              <a:defRPr sz="1300" b="0" strike="noStrike">
                <a:uFillTx/>
                <a:latin typeface="Arial"/>
              </a:defRPr>
            </a:pPr>
            <a:r>
              <a:rPr sz="1800" b="1" strike="noStrike">
                <a:solidFill>
                  <a:srgbClr val="000000"/>
                </a:solidFill>
                <a:uFillTx/>
                <a:latin typeface="Calibri"/>
              </a:rPr>
              <a:t>Recettes vs Depenses par annee (FCFA)</a:t>
            </a:r>
          </a:p>
        </c:rich>
      </c:tx>
      <c:overlay val="0"/>
      <c:spPr>
        <a:noFill/>
        <a:ln w="0">
          <a:noFill/>
          <a:prstDash val="solid"/>
        </a:ln>
      </c:spPr>
    </c:title>
    <c:autoTitleDeleted val="0"/>
    <c:plotArea>
      <c:layout/>
      <c:barChart>
        <c:barDir val="col"/>
        <c:grouping val="clustered"/>
        <c:varyColors val="0"/>
        <c:ser>
          <c:idx val="0"/>
          <c:order val="0"/>
          <c:tx>
            <c:strRef>
              <c:f>RAPPORTS!$B$294</c:f>
              <c:strCache>
                <c:ptCount val="1"/>
                <c:pt idx="0">
                  <c:v>Recettes (FCFA)</c:v>
                </c:pt>
              </c:strCache>
            </c:strRef>
          </c:tx>
          <c:spPr>
            <a:solidFill>
              <a:srgbClr val="4F81BD"/>
            </a:solidFill>
            <a:ln w="0">
              <a:noFill/>
              <a:prstDash val="solid"/>
            </a:ln>
          </c:spPr>
          <c:invertIfNegative val="0"/>
          <c:dLbls>
            <c:spPr>
              <a:noFill/>
              <a:ln>
                <a:noFill/>
              </a:ln>
              <a:effectLst/>
            </c:spPr>
            <c:txPr>
              <a:bodyPr wrap="square"/>
              <a:lstStyle/>
              <a:p>
                <a:pPr>
                  <a:defRPr sz="1000" b="0" strike="noStrike">
                    <a:solidFill>
                      <a:srgbClr val="000000"/>
                    </a:solidFill>
                    <a:uFillTx/>
                    <a:latin typeface="Arial"/>
                  </a:defRPr>
                </a:pPr>
                <a:endParaRPr lang="fr-FR"/>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RAPPORTS!$A$295:$A$299</c:f>
              <c:numCache>
                <c:formatCode>General</c:formatCode>
                <c:ptCount val="5"/>
                <c:pt idx="0">
                  <c:v>2024</c:v>
                </c:pt>
                <c:pt idx="1">
                  <c:v>2025</c:v>
                </c:pt>
                <c:pt idx="2">
                  <c:v>2026</c:v>
                </c:pt>
                <c:pt idx="3">
                  <c:v>2027</c:v>
                </c:pt>
                <c:pt idx="4">
                  <c:v>2028</c:v>
                </c:pt>
              </c:numCache>
            </c:numRef>
          </c:cat>
          <c:val>
            <c:numRef>
              <c:f>RAPPORTS!$B$295:$B$299</c:f>
              <c:numCache>
                <c:formatCode>#\ ##0" FCFA"</c:formatCode>
                <c:ptCount val="5"/>
                <c:pt idx="0">
                  <c:v>0</c:v>
                </c:pt>
                <c:pt idx="1">
                  <c:v>0</c:v>
                </c:pt>
                <c:pt idx="2">
                  <c:v>0</c:v>
                </c:pt>
                <c:pt idx="3">
                  <c:v>0</c:v>
                </c:pt>
                <c:pt idx="4">
                  <c:v>0</c:v>
                </c:pt>
              </c:numCache>
            </c:numRef>
          </c:val>
          <c:extLst>
            <c:ext xmlns:c16="http://schemas.microsoft.com/office/drawing/2014/chart" uri="{C3380CC4-5D6E-409C-BE32-E72D297353CC}">
              <c16:uniqueId val="{00000000-47B9-4468-B7AB-F1A9031EF78F}"/>
            </c:ext>
          </c:extLst>
        </c:ser>
        <c:ser>
          <c:idx val="1"/>
          <c:order val="1"/>
          <c:tx>
            <c:strRef>
              <c:f>RAPPORTS!$C$294</c:f>
              <c:strCache>
                <c:ptCount val="1"/>
                <c:pt idx="0">
                  <c:v>Depenses (FCFA)</c:v>
                </c:pt>
              </c:strCache>
            </c:strRef>
          </c:tx>
          <c:spPr>
            <a:solidFill>
              <a:srgbClr val="C0504D"/>
            </a:solidFill>
            <a:ln w="0">
              <a:noFill/>
              <a:prstDash val="solid"/>
            </a:ln>
          </c:spPr>
          <c:invertIfNegative val="0"/>
          <c:dLbls>
            <c:spPr>
              <a:noFill/>
              <a:ln>
                <a:noFill/>
              </a:ln>
              <a:effectLst/>
            </c:spPr>
            <c:txPr>
              <a:bodyPr wrap="square"/>
              <a:lstStyle/>
              <a:p>
                <a:pPr>
                  <a:defRPr sz="1000" b="0" strike="noStrike">
                    <a:solidFill>
                      <a:srgbClr val="000000"/>
                    </a:solidFill>
                    <a:uFillTx/>
                    <a:latin typeface="Arial"/>
                  </a:defRPr>
                </a:pPr>
                <a:endParaRPr lang="fr-FR"/>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RAPPORTS!$A$295:$A$299</c:f>
              <c:numCache>
                <c:formatCode>General</c:formatCode>
                <c:ptCount val="5"/>
                <c:pt idx="0">
                  <c:v>2024</c:v>
                </c:pt>
                <c:pt idx="1">
                  <c:v>2025</c:v>
                </c:pt>
                <c:pt idx="2">
                  <c:v>2026</c:v>
                </c:pt>
                <c:pt idx="3">
                  <c:v>2027</c:v>
                </c:pt>
                <c:pt idx="4">
                  <c:v>2028</c:v>
                </c:pt>
              </c:numCache>
            </c:numRef>
          </c:cat>
          <c:val>
            <c:numRef>
              <c:f>RAPPORTS!$C$295:$C$299</c:f>
              <c:numCache>
                <c:formatCode>#\ ##0" FCFA"</c:formatCode>
                <c:ptCount val="5"/>
                <c:pt idx="0">
                  <c:v>0</c:v>
                </c:pt>
                <c:pt idx="1">
                  <c:v>0</c:v>
                </c:pt>
                <c:pt idx="2">
                  <c:v>0</c:v>
                </c:pt>
                <c:pt idx="3">
                  <c:v>0</c:v>
                </c:pt>
                <c:pt idx="4">
                  <c:v>0</c:v>
                </c:pt>
              </c:numCache>
            </c:numRef>
          </c:val>
          <c:extLst>
            <c:ext xmlns:c16="http://schemas.microsoft.com/office/drawing/2014/chart" uri="{C3380CC4-5D6E-409C-BE32-E72D297353CC}">
              <c16:uniqueId val="{00000001-47B9-4468-B7AB-F1A9031EF78F}"/>
            </c:ext>
          </c:extLst>
        </c:ser>
        <c:dLbls>
          <c:showLegendKey val="0"/>
          <c:showVal val="0"/>
          <c:showCatName val="0"/>
          <c:showSerName val="0"/>
          <c:showPercent val="0"/>
          <c:showBubbleSize val="0"/>
        </c:dLbls>
        <c:gapWidth val="150"/>
        <c:axId val="25266438"/>
        <c:axId val="99136918"/>
      </c:barChart>
      <c:catAx>
        <c:axId val="25266438"/>
        <c:scaling>
          <c:orientation val="minMax"/>
        </c:scaling>
        <c:delete val="0"/>
        <c:axPos val="b"/>
        <c:title>
          <c:tx>
            <c:rich>
              <a:bodyPr rot="0"/>
              <a:lstStyle/>
              <a:p>
                <a:pPr>
                  <a:defRPr sz="1300" b="0" strike="noStrike">
                    <a:uFillTx/>
                    <a:latin typeface="Arial"/>
                  </a:defRPr>
                </a:pPr>
                <a:r>
                  <a:rPr sz="1000" b="1" strike="noStrike">
                    <a:solidFill>
                      <a:srgbClr val="000000"/>
                    </a:solidFill>
                    <a:uFillTx/>
                    <a:latin typeface="Calibri"/>
                  </a:rPr>
                  <a:t>Annee</a:t>
                </a:r>
              </a:p>
            </c:rich>
          </c:tx>
          <c:overlay val="0"/>
          <c:spPr>
            <a:noFill/>
            <a:ln w="0">
              <a:noFill/>
              <a:prstDash val="solid"/>
            </a:ln>
          </c:spPr>
        </c:title>
        <c:numFmt formatCode="General" sourceLinked="0"/>
        <c:majorTickMark val="none"/>
        <c:minorTickMark val="none"/>
        <c:tickLblPos val="nextTo"/>
        <c:spPr>
          <a:ln w="0">
            <a:solidFill>
              <a:srgbClr val="B3B3B3"/>
            </a:solidFill>
            <a:prstDash val="solid"/>
          </a:ln>
        </c:spPr>
        <c:txPr>
          <a:bodyPr/>
          <a:lstStyle/>
          <a:p>
            <a:pPr>
              <a:defRPr sz="1000" b="0" strike="noStrike">
                <a:solidFill>
                  <a:srgbClr val="000000"/>
                </a:solidFill>
                <a:uFillTx/>
                <a:latin typeface="Calibri"/>
              </a:defRPr>
            </a:pPr>
            <a:endParaRPr lang="fr-FR"/>
          </a:p>
        </c:txPr>
        <c:crossAx val="99136918"/>
        <c:crosses val="autoZero"/>
        <c:auto val="1"/>
        <c:lblAlgn val="ctr"/>
        <c:lblOffset val="100"/>
        <c:noMultiLvlLbl val="0"/>
      </c:catAx>
      <c:valAx>
        <c:axId val="99136918"/>
        <c:scaling>
          <c:orientation val="minMax"/>
        </c:scaling>
        <c:delete val="0"/>
        <c:axPos val="l"/>
        <c:majorGridlines>
          <c:spPr>
            <a:ln w="0">
              <a:solidFill>
                <a:srgbClr val="B3B3B3"/>
              </a:solidFill>
              <a:prstDash val="solid"/>
            </a:ln>
          </c:spPr>
        </c:majorGridlines>
        <c:title>
          <c:tx>
            <c:rich>
              <a:bodyPr rot="-5400000"/>
              <a:lstStyle/>
              <a:p>
                <a:pPr>
                  <a:defRPr sz="1300" b="0" strike="noStrike">
                    <a:uFillTx/>
                    <a:latin typeface="Arial"/>
                  </a:defRPr>
                </a:pPr>
                <a:r>
                  <a:rPr sz="1000" b="1" strike="noStrike">
                    <a:solidFill>
                      <a:srgbClr val="000000"/>
                    </a:solidFill>
                    <a:uFillTx/>
                    <a:latin typeface="Calibri"/>
                  </a:rPr>
                  <a:t>FCFA</a:t>
                </a:r>
              </a:p>
            </c:rich>
          </c:tx>
          <c:overlay val="0"/>
          <c:spPr>
            <a:noFill/>
            <a:ln w="0">
              <a:noFill/>
              <a:prstDash val="solid"/>
            </a:ln>
          </c:spPr>
        </c:title>
        <c:numFmt formatCode="#\ ##0&quot; FCFA&quot;" sourceLinked="0"/>
        <c:majorTickMark val="none"/>
        <c:minorTickMark val="none"/>
        <c:tickLblPos val="nextTo"/>
        <c:spPr>
          <a:ln w="0">
            <a:solidFill>
              <a:srgbClr val="B3B3B3"/>
            </a:solidFill>
            <a:prstDash val="solid"/>
          </a:ln>
        </c:spPr>
        <c:txPr>
          <a:bodyPr/>
          <a:lstStyle/>
          <a:p>
            <a:pPr>
              <a:defRPr sz="1000" b="0" strike="noStrike">
                <a:solidFill>
                  <a:srgbClr val="000000"/>
                </a:solidFill>
                <a:uFillTx/>
                <a:latin typeface="Calibri"/>
              </a:defRPr>
            </a:pPr>
            <a:endParaRPr lang="fr-FR"/>
          </a:p>
        </c:txPr>
        <c:crossAx val="25266438"/>
        <c:crosses val="autoZero"/>
        <c:crossBetween val="between"/>
      </c:valAx>
    </c:plotArea>
    <c:legend>
      <c:legendPos val="r"/>
      <c:overlay val="0"/>
      <c:spPr>
        <a:noFill/>
        <a:ln w="0">
          <a:noFill/>
          <a:prstDash val="solid"/>
        </a:ln>
      </c:spPr>
      <c:txPr>
        <a:bodyPr/>
        <a:lstStyle/>
        <a:p>
          <a:pPr>
            <a:defRPr sz="1000" b="0" strike="noStrike">
              <a:solidFill>
                <a:srgbClr val="000000"/>
              </a:solidFill>
              <a:uFillTx/>
              <a:latin typeface="Calibri"/>
            </a:defRPr>
          </a:pPr>
          <a:endParaRPr lang="fr-FR"/>
        </a:p>
      </c:txPr>
    </c:legend>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c:style val="2"/>
  <c:chart>
    <c:title>
      <c:tx>
        <c:rich>
          <a:bodyPr rot="0"/>
          <a:lstStyle/>
          <a:p>
            <a:pPr>
              <a:defRPr sz="1300" b="0" strike="noStrike">
                <a:uFillTx/>
                <a:latin typeface="Arial"/>
              </a:defRPr>
            </a:pPr>
            <a:r>
              <a:rPr sz="1800" b="1" strike="noStrike">
                <a:solidFill>
                  <a:srgbClr val="000000"/>
                </a:solidFill>
                <a:uFillTx/>
                <a:latin typeface="Calibri"/>
              </a:rPr>
              <a:t>Nombre de projets par domaine d'intervention</a:t>
            </a:r>
          </a:p>
        </c:rich>
      </c:tx>
      <c:overlay val="0"/>
      <c:spPr>
        <a:noFill/>
        <a:ln w="0">
          <a:noFill/>
          <a:prstDash val="solid"/>
        </a:ln>
      </c:spPr>
    </c:title>
    <c:autoTitleDeleted val="0"/>
    <c:plotArea>
      <c:layout/>
      <c:barChart>
        <c:barDir val="bar"/>
        <c:grouping val="clustered"/>
        <c:varyColors val="0"/>
        <c:ser>
          <c:idx val="0"/>
          <c:order val="0"/>
          <c:tx>
            <c:strRef>
              <c:f>RAPPORTS!$B$252</c:f>
              <c:strCache>
                <c:ptCount val="1"/>
                <c:pt idx="0">
                  <c:v>Projets</c:v>
                </c:pt>
              </c:strCache>
            </c:strRef>
          </c:tx>
          <c:spPr>
            <a:solidFill>
              <a:srgbClr val="4F81BD"/>
            </a:solidFill>
            <a:ln w="0">
              <a:noFill/>
              <a:prstDash val="solid"/>
            </a:ln>
          </c:spPr>
          <c:invertIfNegative val="0"/>
          <c:dLbls>
            <c:spPr>
              <a:noFill/>
              <a:ln>
                <a:noFill/>
              </a:ln>
              <a:effectLst/>
            </c:spPr>
            <c:txPr>
              <a:bodyPr wrap="square"/>
              <a:lstStyle/>
              <a:p>
                <a:pPr>
                  <a:defRPr sz="1000" b="0" strike="noStrike">
                    <a:solidFill>
                      <a:srgbClr val="000000"/>
                    </a:solidFill>
                    <a:uFillTx/>
                    <a:latin typeface="Arial"/>
                  </a:defRPr>
                </a:pPr>
                <a:endParaRPr lang="fr-FR"/>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RAPPORTS!$A$253:$A$267</c:f>
              <c:strCache>
                <c:ptCount val="15"/>
                <c:pt idx="0">
                  <c:v>Education</c:v>
                </c:pt>
                <c:pt idx="1">
                  <c:v>Formation professionnelle</c:v>
                </c:pt>
                <c:pt idx="2">
                  <c:v>Entrepreneuriat</c:v>
                </c:pt>
                <c:pt idx="3">
                  <c:v>Culture</c:v>
                </c:pt>
                <c:pt idx="4">
                  <c:v>Environnement</c:v>
                </c:pt>
                <c:pt idx="5">
                  <c:v>Sante</c:v>
                </c:pt>
                <c:pt idx="6">
                  <c:v>Genre</c:v>
                </c:pt>
                <c:pt idx="7">
                  <c:v>Tourisme</c:v>
                </c:pt>
                <c:pt idx="8">
                  <c:v>Sport</c:v>
                </c:pt>
                <c:pt idx="9">
                  <c:v>Agriculture et developpement rural</c:v>
                </c:pt>
                <c:pt idx="10">
                  <c:v>Elevage</c:v>
                </c:pt>
                <c:pt idx="11">
                  <c:v>Peche et aquaculture</c:v>
                </c:pt>
                <c:pt idx="12">
                  <c:v>Securite alimentaire et nutrition</c:v>
                </c:pt>
                <c:pt idx="13">
                  <c:v>Eau, hygiene et assainissement</c:v>
                </c:pt>
                <c:pt idx="14">
                  <c:v>Protection sociale</c:v>
                </c:pt>
              </c:strCache>
            </c:strRef>
          </c:cat>
          <c:val>
            <c:numRef>
              <c:f>RAPPORTS!$B$253:$B$267</c:f>
              <c:numCache>
                <c:formatCode>#,##0</c:formatCode>
                <c:ptCount val="15"/>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0-7D02-43C1-BFAA-E25F1A809989}"/>
            </c:ext>
          </c:extLst>
        </c:ser>
        <c:dLbls>
          <c:showLegendKey val="0"/>
          <c:showVal val="0"/>
          <c:showCatName val="0"/>
          <c:showSerName val="0"/>
          <c:showPercent val="0"/>
          <c:showBubbleSize val="0"/>
        </c:dLbls>
        <c:gapWidth val="150"/>
        <c:axId val="79268471"/>
        <c:axId val="21286417"/>
      </c:barChart>
      <c:catAx>
        <c:axId val="79268471"/>
        <c:scaling>
          <c:orientation val="minMax"/>
        </c:scaling>
        <c:delete val="0"/>
        <c:axPos val="l"/>
        <c:numFmt formatCode="General" sourceLinked="0"/>
        <c:majorTickMark val="none"/>
        <c:minorTickMark val="none"/>
        <c:tickLblPos val="nextTo"/>
        <c:spPr>
          <a:ln w="0">
            <a:solidFill>
              <a:srgbClr val="B3B3B3"/>
            </a:solidFill>
            <a:prstDash val="solid"/>
          </a:ln>
        </c:spPr>
        <c:txPr>
          <a:bodyPr/>
          <a:lstStyle/>
          <a:p>
            <a:pPr>
              <a:defRPr sz="1000" b="0" strike="noStrike">
                <a:solidFill>
                  <a:srgbClr val="000000"/>
                </a:solidFill>
                <a:uFillTx/>
                <a:latin typeface="Calibri"/>
              </a:defRPr>
            </a:pPr>
            <a:endParaRPr lang="fr-FR"/>
          </a:p>
        </c:txPr>
        <c:crossAx val="21286417"/>
        <c:crosses val="autoZero"/>
        <c:auto val="1"/>
        <c:lblAlgn val="ctr"/>
        <c:lblOffset val="100"/>
        <c:noMultiLvlLbl val="0"/>
      </c:catAx>
      <c:valAx>
        <c:axId val="21286417"/>
        <c:scaling>
          <c:orientation val="minMax"/>
        </c:scaling>
        <c:delete val="0"/>
        <c:axPos val="b"/>
        <c:majorGridlines>
          <c:spPr>
            <a:ln w="0">
              <a:solidFill>
                <a:srgbClr val="B3B3B3"/>
              </a:solidFill>
              <a:prstDash val="solid"/>
            </a:ln>
          </c:spPr>
        </c:majorGridlines>
        <c:title>
          <c:tx>
            <c:rich>
              <a:bodyPr rot="0"/>
              <a:lstStyle/>
              <a:p>
                <a:pPr>
                  <a:defRPr sz="1300" b="0" strike="noStrike">
                    <a:uFillTx/>
                    <a:latin typeface="Arial"/>
                  </a:defRPr>
                </a:pPr>
                <a:r>
                  <a:rPr sz="1000" b="1" strike="noStrike">
                    <a:solidFill>
                      <a:srgbClr val="000000"/>
                    </a:solidFill>
                    <a:uFillTx/>
                    <a:latin typeface="Calibri"/>
                  </a:rPr>
                  <a:t>Nb projets</a:t>
                </a:r>
              </a:p>
            </c:rich>
          </c:tx>
          <c:overlay val="0"/>
          <c:spPr>
            <a:noFill/>
            <a:ln w="0">
              <a:noFill/>
              <a:prstDash val="solid"/>
            </a:ln>
          </c:spPr>
        </c:title>
        <c:numFmt formatCode="#,##0" sourceLinked="0"/>
        <c:majorTickMark val="none"/>
        <c:minorTickMark val="none"/>
        <c:tickLblPos val="nextTo"/>
        <c:spPr>
          <a:ln w="0">
            <a:solidFill>
              <a:srgbClr val="B3B3B3"/>
            </a:solidFill>
            <a:prstDash val="solid"/>
          </a:ln>
        </c:spPr>
        <c:txPr>
          <a:bodyPr/>
          <a:lstStyle/>
          <a:p>
            <a:pPr>
              <a:defRPr sz="1000" b="0" strike="noStrike">
                <a:solidFill>
                  <a:srgbClr val="000000"/>
                </a:solidFill>
                <a:uFillTx/>
                <a:latin typeface="Calibri"/>
              </a:defRPr>
            </a:pPr>
            <a:endParaRPr lang="fr-FR"/>
          </a:p>
        </c:txPr>
        <c:crossAx val="79268471"/>
        <c:crosses val="autoZero"/>
        <c:crossBetween val="between"/>
      </c:valAx>
    </c:plotArea>
    <c:legend>
      <c:legendPos val="r"/>
      <c:overlay val="0"/>
      <c:spPr>
        <a:noFill/>
        <a:ln w="0">
          <a:noFill/>
          <a:prstDash val="solid"/>
        </a:ln>
      </c:spPr>
      <c:txPr>
        <a:bodyPr/>
        <a:lstStyle/>
        <a:p>
          <a:pPr>
            <a:defRPr sz="1000" b="0" strike="noStrike">
              <a:solidFill>
                <a:srgbClr val="000000"/>
              </a:solidFill>
              <a:uFillTx/>
              <a:latin typeface="Calibri"/>
            </a:defRPr>
          </a:pPr>
          <a:endParaRPr lang="fr-FR"/>
        </a:p>
      </c:txPr>
    </c:legend>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editAs="oneCell">
    <xdr:from>
      <xdr:col>0</xdr:col>
      <xdr:colOff>851646</xdr:colOff>
      <xdr:row>20</xdr:row>
      <xdr:rowOff>212911</xdr:rowOff>
    </xdr:from>
    <xdr:to>
      <xdr:col>5</xdr:col>
      <xdr:colOff>740832</xdr:colOff>
      <xdr:row>34</xdr:row>
      <xdr:rowOff>45358</xdr:rowOff>
    </xdr:to>
    <xdr:graphicFrame macro="">
      <xdr:nvGraphicFramePr>
        <xdr:cNvPr id="3" name="Chart 3">
          <a:extLst>
            <a:ext uri="{FF2B5EF4-FFF2-40B4-BE49-F238E27FC236}">
              <a16:creationId xmlns:a16="http://schemas.microsoft.com/office/drawing/2014/main" id="{00000000-0008-0000-0D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861784</xdr:colOff>
      <xdr:row>20</xdr:row>
      <xdr:rowOff>179294</xdr:rowOff>
    </xdr:from>
    <xdr:to>
      <xdr:col>16</xdr:col>
      <xdr:colOff>801309</xdr:colOff>
      <xdr:row>34</xdr:row>
      <xdr:rowOff>45358</xdr:rowOff>
    </xdr:to>
    <xdr:graphicFrame macro="">
      <xdr:nvGraphicFramePr>
        <xdr:cNvPr id="4" name="Chart 4">
          <a:extLst>
            <a:ext uri="{FF2B5EF4-FFF2-40B4-BE49-F238E27FC236}">
              <a16:creationId xmlns:a16="http://schemas.microsoft.com/office/drawing/2014/main" id="{00000000-0008-0000-0D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36</xdr:row>
      <xdr:rowOff>0</xdr:rowOff>
    </xdr:from>
    <xdr:to>
      <xdr:col>5</xdr:col>
      <xdr:colOff>547687</xdr:colOff>
      <xdr:row>50</xdr:row>
      <xdr:rowOff>39687</xdr:rowOff>
    </xdr:to>
    <xdr:graphicFrame macro="">
      <xdr:nvGraphicFramePr>
        <xdr:cNvPr id="5" name="Chart 5">
          <a:extLst>
            <a:ext uri="{FF2B5EF4-FFF2-40B4-BE49-F238E27FC236}">
              <a16:creationId xmlns:a16="http://schemas.microsoft.com/office/drawing/2014/main" id="{00000000-0008-0000-0D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571500</xdr:colOff>
      <xdr:row>36</xdr:row>
      <xdr:rowOff>121227</xdr:rowOff>
    </xdr:from>
    <xdr:to>
      <xdr:col>17</xdr:col>
      <xdr:colOff>710046</xdr:colOff>
      <xdr:row>50</xdr:row>
      <xdr:rowOff>103909</xdr:rowOff>
    </xdr:to>
    <xdr:graphicFrame macro="">
      <xdr:nvGraphicFramePr>
        <xdr:cNvPr id="6" name="Chart 6">
          <a:extLst>
            <a:ext uri="{FF2B5EF4-FFF2-40B4-BE49-F238E27FC236}">
              <a16:creationId xmlns:a16="http://schemas.microsoft.com/office/drawing/2014/main" id="{00000000-0008-0000-0D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6538</xdr:colOff>
      <xdr:row>60</xdr:row>
      <xdr:rowOff>122331</xdr:rowOff>
    </xdr:from>
    <xdr:to>
      <xdr:col>6</xdr:col>
      <xdr:colOff>724181</xdr:colOff>
      <xdr:row>67</xdr:row>
      <xdr:rowOff>918882</xdr:rowOff>
    </xdr:to>
    <xdr:graphicFrame macro="">
      <xdr:nvGraphicFramePr>
        <xdr:cNvPr id="7" name="Chart 7">
          <a:extLst>
            <a:ext uri="{FF2B5EF4-FFF2-40B4-BE49-F238E27FC236}">
              <a16:creationId xmlns:a16="http://schemas.microsoft.com/office/drawing/2014/main" id="{00000000-0008-0000-0D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157815</xdr:colOff>
      <xdr:row>60</xdr:row>
      <xdr:rowOff>69569</xdr:rowOff>
    </xdr:from>
    <xdr:to>
      <xdr:col>16</xdr:col>
      <xdr:colOff>586442</xdr:colOff>
      <xdr:row>67</xdr:row>
      <xdr:rowOff>930087</xdr:rowOff>
    </xdr:to>
    <xdr:graphicFrame macro="">
      <xdr:nvGraphicFramePr>
        <xdr:cNvPr id="8" name="Chart 8">
          <a:extLst>
            <a:ext uri="{FF2B5EF4-FFF2-40B4-BE49-F238E27FC236}">
              <a16:creationId xmlns:a16="http://schemas.microsoft.com/office/drawing/2014/main" id="{00000000-0008-0000-0D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0</xdr:col>
      <xdr:colOff>839967</xdr:colOff>
      <xdr:row>72</xdr:row>
      <xdr:rowOff>168088</xdr:rowOff>
    </xdr:from>
    <xdr:ext cx="5755247" cy="3608768"/>
    <xdr:graphicFrame macro="">
      <xdr:nvGraphicFramePr>
        <xdr:cNvPr id="2" name="Chart 1">
          <a:extLst>
            <a:ext uri="{FF2B5EF4-FFF2-40B4-BE49-F238E27FC236}">
              <a16:creationId xmlns:a16="http://schemas.microsoft.com/office/drawing/2014/main" id="{00000000-0008-0000-0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oneCellAnchor>
  <xdr:oneCellAnchor>
    <xdr:from>
      <xdr:col>13</xdr:col>
      <xdr:colOff>0</xdr:colOff>
      <xdr:row>72</xdr:row>
      <xdr:rowOff>0</xdr:rowOff>
    </xdr:from>
    <xdr:ext cx="5472000" cy="2736000"/>
    <xdr:graphicFrame macro="">
      <xdr:nvGraphicFramePr>
        <xdr:cNvPr id="9" name="Chart 2">
          <a:extLst>
            <a:ext uri="{FF2B5EF4-FFF2-40B4-BE49-F238E27FC236}">
              <a16:creationId xmlns:a16="http://schemas.microsoft.com/office/drawing/2014/main" id="{00000000-0008-0000-0D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oneCellAnchor>
  <xdr:oneCellAnchor>
    <xdr:from>
      <xdr:col>4</xdr:col>
      <xdr:colOff>374343</xdr:colOff>
      <xdr:row>95</xdr:row>
      <xdr:rowOff>123706</xdr:rowOff>
    </xdr:from>
    <xdr:ext cx="7062484" cy="3869467"/>
    <xdr:graphicFrame macro="">
      <xdr:nvGraphicFramePr>
        <xdr:cNvPr id="10" name="Chart 9">
          <a:extLst>
            <a:ext uri="{FF2B5EF4-FFF2-40B4-BE49-F238E27FC236}">
              <a16:creationId xmlns:a16="http://schemas.microsoft.com/office/drawing/2014/main" id="{00000000-0008-0000-0D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oneCellAnchor>
  <xdr:oneCellAnchor>
    <xdr:from>
      <xdr:col>4</xdr:col>
      <xdr:colOff>338871</xdr:colOff>
      <xdr:row>115</xdr:row>
      <xdr:rowOff>219809</xdr:rowOff>
    </xdr:from>
    <xdr:ext cx="7125432" cy="3922810"/>
    <xdr:graphicFrame macro="">
      <xdr:nvGraphicFramePr>
        <xdr:cNvPr id="11" name="Chart 10">
          <a:extLst>
            <a:ext uri="{FF2B5EF4-FFF2-40B4-BE49-F238E27FC236}">
              <a16:creationId xmlns:a16="http://schemas.microsoft.com/office/drawing/2014/main" id="{00000000-0008-0000-0D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oneCellAnchor>
  <xdr:oneCellAnchor>
    <xdr:from>
      <xdr:col>13</xdr:col>
      <xdr:colOff>366056</xdr:colOff>
      <xdr:row>116</xdr:row>
      <xdr:rowOff>54952</xdr:rowOff>
    </xdr:from>
    <xdr:ext cx="5061681" cy="3906239"/>
    <xdr:graphicFrame macro="">
      <xdr:nvGraphicFramePr>
        <xdr:cNvPr id="12" name="Chart 11">
          <a:extLst>
            <a:ext uri="{FF2B5EF4-FFF2-40B4-BE49-F238E27FC236}">
              <a16:creationId xmlns:a16="http://schemas.microsoft.com/office/drawing/2014/main" id="{00000000-0008-0000-0D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oneCellAnchor>
  <xdr:oneCellAnchor>
    <xdr:from>
      <xdr:col>13</xdr:col>
      <xdr:colOff>332619</xdr:colOff>
      <xdr:row>95</xdr:row>
      <xdr:rowOff>117637</xdr:rowOff>
    </xdr:from>
    <xdr:ext cx="5140476" cy="3934267"/>
    <xdr:graphicFrame macro="">
      <xdr:nvGraphicFramePr>
        <xdr:cNvPr id="13" name="Chart 12">
          <a:extLst>
            <a:ext uri="{FF2B5EF4-FFF2-40B4-BE49-F238E27FC236}">
              <a16:creationId xmlns:a16="http://schemas.microsoft.com/office/drawing/2014/main" id="{00000000-0008-0000-0D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7</xdr:col>
      <xdr:colOff>0</xdr:colOff>
      <xdr:row>472</xdr:row>
      <xdr:rowOff>0</xdr:rowOff>
    </xdr:from>
    <xdr:ext cx="5760000" cy="28800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7</xdr:col>
      <xdr:colOff>0</xdr:colOff>
      <xdr:row>489</xdr:row>
      <xdr:rowOff>0</xdr:rowOff>
    </xdr:from>
    <xdr:ext cx="4320000" cy="2520000"/>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300</xdr:row>
      <xdr:rowOff>0</xdr:rowOff>
    </xdr:from>
    <xdr:to>
      <xdr:col>4</xdr:col>
      <xdr:colOff>119520</xdr:colOff>
      <xdr:row>315</xdr:row>
      <xdr:rowOff>20520</xdr:rowOff>
    </xdr:to>
    <xdr:graphicFrame macro="">
      <xdr:nvGraphicFramePr>
        <xdr:cNvPr id="2" name="Chart 1">
          <a:extLst>
            <a:ext uri="{FF2B5EF4-FFF2-40B4-BE49-F238E27FC236}">
              <a16:creationId xmlns:a16="http://schemas.microsoft.com/office/drawing/2014/main" id="{00000000-0008-0000-0C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300</xdr:row>
      <xdr:rowOff>0</xdr:rowOff>
    </xdr:from>
    <xdr:to>
      <xdr:col>12</xdr:col>
      <xdr:colOff>683280</xdr:colOff>
      <xdr:row>315</xdr:row>
      <xdr:rowOff>20520</xdr:rowOff>
    </xdr:to>
    <xdr:graphicFrame macro="">
      <xdr:nvGraphicFramePr>
        <xdr:cNvPr id="3" name="Chart 2">
          <a:extLst>
            <a:ext uri="{FF2B5EF4-FFF2-40B4-BE49-F238E27FC236}">
              <a16:creationId xmlns:a16="http://schemas.microsoft.com/office/drawing/2014/main" id="{00000000-0008-0000-0C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id="43" name="tbl_ONG_Bancaires" displayName="tbl_ONG_Bancaires" ref="A195:H199" totalsRowShown="0">
  <autoFilter ref="A195:H199"/>
  <tableColumns count="8">
    <tableColumn id="1" name="Banque"/>
    <tableColumn id="2" name="Agence"/>
    <tableColumn id="3" name="Intitule du compte"/>
    <tableColumn id="4" name="Numero de compte"/>
    <tableColumn id="5" name="Devise"/>
    <tableColumn id="6" name="Type de compte"/>
    <tableColumn id="7" name="Compte principal"/>
    <tableColumn id="8" name="Statut"/>
  </tableColumns>
  <tableStyleInfo showFirstColumn="0" showLastColumn="0" showRowStripes="1" showColumnStripes="0"/>
</table>
</file>

<file path=xl/tables/table2.xml><?xml version="1.0" encoding="utf-8"?>
<table xmlns="http://schemas.openxmlformats.org/spreadsheetml/2006/main" id="44" name="tbl_ONG_Communication" displayName="tbl_ONG_Communication" ref="A202:C212" totalsRowShown="0">
  <autoFilter ref="A202:C212"/>
  <tableColumns count="3">
    <tableColumn id="1" name="Canal"/>
    <tableColumn id="2" name="Valeur / Lien"/>
    <tableColumn id="3" name="Actif / Inactif"/>
  </tableColumns>
  <tableStyleInfo showFirstColumn="0" showLastColumn="0" showRowStripes="1" showColumnStripes="0"/>
</table>
</file>

<file path=xl/tables/table3.xml><?xml version="1.0" encoding="utf-8"?>
<table xmlns="http://schemas.openxmlformats.org/spreadsheetml/2006/main" id="45" name="tbl_ONG_Contacts" displayName="tbl_ONG_Contacts" ref="A82:E91" totalsRowShown="0">
  <autoFilter ref="A82:E91"/>
  <tableColumns count="5">
    <tableColumn id="1" name="Fonction"/>
    <tableColumn id="2" name="Nom complet"/>
    <tableColumn id="3" name="Telephone"/>
    <tableColumn id="4" name="Email"/>
    <tableColumn id="5" name="Statut"/>
  </tableColumns>
  <tableStyleInfo showFirstColumn="0" showLastColumn="0" showRowStripes="1" showColumnStripes="0"/>
</table>
</file>

<file path=xl/tables/table4.xml><?xml version="1.0" encoding="utf-8"?>
<table xmlns="http://schemas.openxmlformats.org/spreadsheetml/2006/main" id="46" name="tbl_ONG_Documents" displayName="tbl_ONG_Documents" ref="A187:G192" totalsRowShown="0">
  <autoFilter ref="A187:G192"/>
  <tableColumns count="7">
    <tableColumn id="1" name="Code"/>
    <tableColumn id="2" name="Document"/>
    <tableColumn id="3" name="Reference"/>
    <tableColumn id="4" name="Date"/>
    <tableColumn id="5" name="Date d'expiration"/>
    <tableColumn id="6" name="Statut"/>
    <tableColumn id="7" name="Emplacement"/>
  </tableColumns>
  <tableStyleInfo showFirstColumn="0" showLastColumn="0" showRowStripes="1" showColumnStripes="0"/>
</table>
</file>

<file path=xl/tables/table5.xml><?xml version="1.0" encoding="utf-8"?>
<table xmlns="http://schemas.openxmlformats.org/spreadsheetml/2006/main" id="47" name="tbl_ONG_Domaines" displayName="tbl_ONG_Domaines" ref="A126:D139" totalsRowShown="0">
  <autoFilter ref="A126:D139"/>
  <tableColumns count="4">
    <tableColumn id="1" name="Code"/>
    <tableColumn id="2" name="Domaine"/>
    <tableColumn id="3" name="Prioritaire"/>
    <tableColumn id="4" name="Statut"/>
  </tableColumns>
  <tableStyleInfo showFirstColumn="0" showLastColumn="0" showRowStripes="1" showColumnStripes="0"/>
</table>
</file>

<file path=xl/tables/table6.xml><?xml version="1.0" encoding="utf-8"?>
<table xmlns="http://schemas.openxmlformats.org/spreadsheetml/2006/main" id="48" name="tbl_ONG_Gouvernance" displayName="tbl_ONG_Gouvernance" ref="A231:F238" totalsRowShown="0">
  <autoFilter ref="A231:F238"/>
  <tableColumns count="6">
    <tableColumn id="1" name="Code"/>
    <tableColumn id="2" name="Organe"/>
    <tableColumn id="3" name="Responsable"/>
    <tableColumn id="4" name="Date de debut"/>
    <tableColumn id="5" name="Date de fin"/>
    <tableColumn id="6" name="Statut"/>
  </tableColumns>
  <tableStyleInfo showFirstColumn="0" showLastColumn="0" showRowStripes="1" showColumnStripes="0"/>
</table>
</file>

<file path=xl/tables/table7.xml><?xml version="1.0" encoding="utf-8"?>
<table xmlns="http://schemas.openxmlformats.org/spreadsheetml/2006/main" id="49" name="tbl_ONG_Historique" displayName="tbl_ONG_Historique" ref="A260:F262" totalsRowShown="0">
  <autoFilter ref="A260:F262"/>
  <tableColumns count="6">
    <tableColumn id="1" name="Date"/>
    <tableColumn id="2" name="Information modifiee"/>
    <tableColumn id="3" name="Ancienne valeur"/>
    <tableColumn id="4" name="Nouvelle valeur"/>
    <tableColumn id="5" name="Auteur de la modification"/>
    <tableColumn id="6" name="Observation"/>
  </tableColumns>
  <tableStyleInfo showFirstColumn="0" showLastColumn="0" showRowStripes="1" showColumnStripes="0"/>
</table>
</file>

<file path=xl/tables/table8.xml><?xml version="1.0" encoding="utf-8"?>
<table xmlns="http://schemas.openxmlformats.org/spreadsheetml/2006/main" id="50" name="tbl_ONG_Objectifs" displayName="tbl_ONG_Objectifs" ref="A121:E123" totalsRowShown="0">
  <autoFilter ref="A121:E123"/>
  <tableColumns count="5">
    <tableColumn id="1" name="Code"/>
    <tableColumn id="2" name="Objectif strategique"/>
    <tableColumn id="3" name="Description"/>
    <tableColumn id="4" name="Periode"/>
    <tableColumn id="5" name="Statut"/>
  </tableColumns>
  <tableStyleInfo showFirstColumn="0" showLastColumn="0" showRowStripes="1" showColumnStripes="0"/>
</table>
</file>

<file path=xl/tables/table9.xml><?xml version="1.0" encoding="utf-8"?>
<table xmlns="http://schemas.openxmlformats.org/spreadsheetml/2006/main" id="51" name="tbl_ONG_Organisation" displayName="tbl_ONG_Organisation" ref="A149:E155" totalsRowShown="0">
  <autoFilter ref="A149:E155"/>
  <tableColumns count="5">
    <tableColumn id="1" name="Code"/>
    <tableColumn id="2" name="Structure"/>
    <tableColumn id="3" name="Type"/>
    <tableColumn id="4" name="Responsable"/>
    <tableColumn id="5" name="Statut"/>
  </tableColumns>
  <tableStyleInfo showFirstColumn="0" showLastColumn="0" showRowStripes="1" showColumnStripes="0"/>
</table>
</file>

<file path=xl/tables/table10.xml><?xml version="1.0" encoding="utf-8"?>
<table xmlns="http://schemas.openxmlformats.org/spreadsheetml/2006/main" id="52" name="tbl_ONG_Partenariats" displayName="tbl_ONG_Partenariats" ref="A169:F175" totalsRowShown="0">
  <autoFilter ref="A169:F175"/>
  <tableColumns count="6">
    <tableColumn id="1" name="Code partenaire"/>
    <tableColumn id="2" name="Partenaire"/>
    <tableColumn id="3" name="Type"/>
    <tableColumn id="4" name="Domaine"/>
    <tableColumn id="5" name="Annee debut"/>
    <tableColumn id="6" name="Statut"/>
  </tableColumns>
  <tableStyleInfo showFirstColumn="0" showLastColumn="0" showRowStripes="1" showColumnStripes="0"/>
</table>
</file>

<file path=xl/tables/table11.xml><?xml version="1.0" encoding="utf-8"?>
<table xmlns="http://schemas.openxmlformats.org/spreadsheetml/2006/main" id="53" name="tbl_ONG_Reunions" displayName="tbl_ONG_Reunions" ref="A241:F246" totalsRowShown="0">
  <autoFilter ref="A241:F246"/>
  <tableColumns count="6">
    <tableColumn id="1" name="Type de reunion"/>
    <tableColumn id="2" name="Frequence"/>
    <tableColumn id="3" name="Responsable"/>
    <tableColumn id="4" name="Derniere reunion"/>
    <tableColumn id="5" name="Prochaine reunion"/>
    <tableColumn id="6" name="Statut"/>
  </tableColumns>
  <tableStyleInfo showFirstColumn="0" showLastColumn="0" showRowStripes="1" showColumnStripes="0"/>
</table>
</file>

<file path=xl/tables/table12.xml><?xml version="1.0" encoding="utf-8"?>
<table xmlns="http://schemas.openxmlformats.org/spreadsheetml/2006/main" id="54" name="tbl_ONG_SourcesFin" displayName="tbl_ONG_SourcesFin" ref="A178:D184" totalsRowShown="0">
  <autoFilter ref="A178:D184"/>
  <tableColumns count="4">
    <tableColumn id="1" name="Source"/>
    <tableColumn id="2" name="Type de financement"/>
    <tableColumn id="3" name="Description"/>
    <tableColumn id="4" name="Statut"/>
  </tableColumns>
  <tableStyleInfo showFirstColumn="0" showLastColumn="0" showRowStripes="1" showColumnStripes="0"/>
</table>
</file>

<file path=xl/tables/table13.xml><?xml version="1.0" encoding="utf-8"?>
<table xmlns="http://schemas.openxmlformats.org/spreadsheetml/2006/main" id="55" name="tbl_ONG_Valeurs" displayName="tbl_ONG_Valeurs" ref="A108:C118" totalsRowShown="0">
  <autoFilter ref="A108:C118"/>
  <tableColumns count="3">
    <tableColumn id="1" name="Code"/>
    <tableColumn id="2" name="Valeur"/>
    <tableColumn id="3" name="Description"/>
  </tableColumns>
  <tableStyleInfo showFirstColumn="0" showLastColumn="0" showRowStripes="1" showColumnStripes="0"/>
</table>
</file>

<file path=xl/tables/table14.xml><?xml version="1.0" encoding="utf-8"?>
<table xmlns="http://schemas.openxmlformats.org/spreadsheetml/2006/main" id="56" name="tbl_ONG_Zones" displayName="tbl_ONG_Zones" ref="A142:G146" totalsRowShown="0">
  <autoFilter ref="A142:G146"/>
  <tableColumns count="7">
    <tableColumn id="1" name="Localite (reference)"/>
    <tableColumn id="2" name="Pays"/>
    <tableColumn id="3" name="Departement"/>
    <tableColumn id="4" name="District/Commune"/>
    <tableColumn id="5" name="Arrondissement"/>
    <tableColumn id="6" name="Statut de la zone"/>
    <tableColumn id="7" name="Annee de debut"/>
  </tableColumns>
  <tableStyleInfo showFirstColumn="0" showLastColumn="0" showRowStripes="1" showColumnStripes="0"/>
</table>
</file>

<file path=xl/tables/table15.xml><?xml version="1.0" encoding="utf-8"?>
<table xmlns="http://schemas.openxmlformats.org/spreadsheetml/2006/main" id="57" name="TblMembresONGBK" displayName="TblMembresONGBK" ref="A269:L469" dataDxfId="0">
  <autoFilter ref="A269:L469"/>
  <tableColumns count="12">
    <tableColumn id="1" name="ID" dataDxfId="12"/>
    <tableColumn id="2" name="Nom" dataDxfId="11"/>
    <tableColumn id="3" name="Prénom" dataDxfId="10"/>
    <tableColumn id="4" name="Sexe" dataDxfId="9"/>
    <tableColumn id="5" name="Date de naissance" dataDxfId="8"/>
    <tableColumn id="6" name="Téléphone" dataDxfId="7"/>
    <tableColumn id="7" name="Email" dataDxfId="6"/>
    <tableColumn id="8" name="Statut" dataDxfId="5"/>
    <tableColumn id="9" name="Année d’adhésion" dataDxfId="4"/>
    <tableColumn id="10" name="Fonction / Observation" dataDxfId="3"/>
    <tableColumn id="11" name="Profession" dataDxfId="2"/>
    <tableColumn id="12" name="Ville de residence " dataDxfId="1"/>
  </tableColumns>
  <tableStyleInfo name="TableStyleMedium2" showFirstColumn="0" showLastColumn="0" showRowStripes="1" showColumnStripes="0"/>
</table>
</file>

<file path=xl/tables/table16.xml><?xml version="1.0" encoding="utf-8"?>
<table xmlns="http://schemas.openxmlformats.org/spreadsheetml/2006/main" id="58" name="tbl_Beneficiaires" displayName="tbl_Beneficiaires" ref="A55:BZ115" totalsRowShown="0">
  <autoFilter ref="A55:BZ115"/>
  <tableColumns count="78">
    <tableColumn id="1" name="ID Beneficiaire"/>
    <tableColumn id="2" name="Type de beneficiaire"/>
    <tableColumn id="3" name="Categorie beneficiaire"/>
    <tableColumn id="4" name="Nom"/>
    <tableColumn id="5" name="Postnom"/>
    <tableColumn id="6" name="Prenom"/>
    <tableColumn id="7" name="Nom complet"/>
    <tableColumn id="8" name="Sexe"/>
    <tableColumn id="9" name="Date de naissance"/>
    <tableColumn id="10" name="Age"/>
    <tableColumn id="11" name="Tranche d'age"/>
    <tableColumn id="12" name="Situation matrimoniale"/>
    <tableColumn id="13" name="Nationalite"/>
    <tableColumn id="14" name="ID menage"/>
    <tableColumn id="15" name="Nom du menage"/>
    <tableColumn id="16" name="Taille du menage"/>
    <tableColumn id="17" name="Responsable du menage"/>
    <tableColumn id="18" name="Nb hommes menage"/>
    <tableColumn id="19" name="Nb femmes menage"/>
    <tableColumn id="20" name="Nb enfants menage"/>
    <tableColumn id="21" name="Nb pers. vulnerables menage"/>
    <tableColumn id="22" name="Handicap"/>
    <tableColumn id="23" name="Enfant vulnerable"/>
    <tableColumn id="24" name="Pers. agee vulnerable"/>
    <tableColumn id="25" name="Femme vulnerable"/>
    <tableColumn id="26" name="Menage vulnerable"/>
    <tableColumn id="27" name="Personne deplacee"/>
    <tableColumn id="28" name="Autre vulnerabilite"/>
    <tableColumn id="29" name="Niveau instruction"/>
    <tableColumn id="30" name="Situation professionnelle"/>
    <tableColumn id="31" name="Profession"/>
    <tableColumn id="32" name="Secteur d'activite"/>
    <tableColumn id="33" name="Statut professionnel"/>
    <tableColumn id="34" name="Niveau de revenu"/>
    <tableColumn id="35" name="Activite generatrice revenus"/>
    <tableColumn id="36" name="Statut entrepreneurial"/>
    <tableColumn id="37" name="Situation economique"/>
    <tableColumn id="38" name="Localite"/>
    <tableColumn id="39" name="Pays"/>
    <tableColumn id="40" name="Departement"/>
    <tableColumn id="41" name="District/Commune"/>
    <tableColumn id="42" name="Arrondissement"/>
    <tableColumn id="43" name="Quartier/Village"/>
    <tableColumn id="44" name="Adresse / zone"/>
    <tableColumn id="45" name="Zone d'intervention"/>
    <tableColumn id="46" name="Telephone principal"/>
    <tableColumn id="47" name="Telephone secondaire"/>
    <tableColumn id="48" name="E-mail"/>
    <tableColumn id="49" name="Contact urgence (nom)"/>
    <tableColumn id="50" name="Telephone contact urgence"/>
    <tableColumn id="51" name="ID projet"/>
    <tableColumn id="52" name="Nom du projet"/>
    <tableColumn id="53" name="Domaine d'intervention"/>
    <tableColumn id="54" name="Date integration projet"/>
    <tableColumn id="55" name="Statut ds le projet"/>
    <tableColumn id="56" name="Statut du beneficiaire"/>
    <tableColumn id="57" name="Date d'inscription"/>
    <tableColumn id="58" name="Date de sortie"/>
    <tableColumn id="59" name="Motif de sortie"/>
    <tableColumn id="60" name="Consentement obtenu"/>
    <tableColumn id="61" name="Autorisation usage donnees"/>
    <tableColumn id="62" name="Autorisation photo"/>
    <tableColumn id="63" name="Autorisation communication"/>
    <tableColumn id="64" name="Source information"/>
    <tableColumn id="65" name="Date de collecte"/>
    <tableColumn id="66" name="ID agent"/>
    <tableColumn id="67" name="Nom de l'agent"/>
    <tableColumn id="68" name="Fonction agent"/>
    <tableColumn id="69" name="Methode de collecte"/>
    <tableColumn id="70" name="Type de document"/>
    <tableColumn id="71" name="N° / reference document"/>
    <tableColumn id="72" name="Document verifie"/>
    <tableColumn id="73" name="Date de verification"/>
    <tableColumn id="74" name="Anciennete (annees)"/>
    <tableColumn id="75" name="Nb activites suivies"/>
    <tableColumn id="76" name="Nb appuis recus"/>
    <tableColumn id="77" name="Alerte doublon"/>
    <tableColumn id="78" name="Observations"/>
  </tableColumns>
  <tableStyleInfo showFirstColumn="0" showLastColumn="0" showRowStripes="1" showColumnStripes="0"/>
</table>
</file>

<file path=xl/tables/table17.xml><?xml version="1.0" encoding="utf-8"?>
<table xmlns="http://schemas.openxmlformats.org/spreadsheetml/2006/main" id="59" name="tbl_Beneficiaires_Activites" displayName="tbl_Beneficiaires_Activites" ref="A119:I159" totalsRowShown="0">
  <autoFilter ref="A119:I159"/>
  <tableColumns count="9">
    <tableColumn id="1" name="ID Participation"/>
    <tableColumn id="2" name="ID Beneficiaire"/>
    <tableColumn id="3" name="ID activite"/>
    <tableColumn id="4" name="Activite"/>
    <tableColumn id="5" name="Type d'activite"/>
    <tableColumn id="6" name="Date participation"/>
    <tableColumn id="7" name="Presence"/>
    <tableColumn id="8" name="Resultat"/>
    <tableColumn id="9" name="Observation"/>
  </tableColumns>
  <tableStyleInfo showFirstColumn="0" showLastColumn="0" showRowStripes="1" showColumnStripes="0"/>
</table>
</file>

<file path=xl/tables/table18.xml><?xml version="1.0" encoding="utf-8"?>
<table xmlns="http://schemas.openxmlformats.org/spreadsheetml/2006/main" id="60" name="tbl_Beneficiaires_Appuis" displayName="tbl_Beneficiaires_Appuis" ref="A163:H203" totalsRowShown="0">
  <autoFilter ref="A163:H203"/>
  <tableColumns count="8">
    <tableColumn id="1" name="ID Appui"/>
    <tableColumn id="2" name="ID Beneficiaire"/>
    <tableColumn id="3" name="Date"/>
    <tableColumn id="4" name="Type d'appui"/>
    <tableColumn id="5" name="Quantite"/>
    <tableColumn id="6" name="Valeur estimee"/>
    <tableColumn id="7" name="Projet"/>
    <tableColumn id="8" name="Observation"/>
  </tableColumns>
  <tableStyleInfo showFirstColumn="0" showLastColumn="0" showRowStripes="1" showColumnStripes="0"/>
</table>
</file>

<file path=xl/tables/table19.xml><?xml version="1.0" encoding="utf-8"?>
<table xmlns="http://schemas.openxmlformats.org/spreadsheetml/2006/main" id="61" name="tbl_Projets" displayName="tbl_Projets" ref="A55:BI95" totalsRowShown="0">
  <autoFilter ref="A55:BI95"/>
  <tableColumns count="61">
    <tableColumn id="1" name="ID Projet"/>
    <tableColumn id="2" name="Code interne"/>
    <tableColumn id="3" name="Titre complet du projet"/>
    <tableColumn id="4" name="Acronyme"/>
    <tableColumn id="5" name="Resume"/>
    <tableColumn id="6" name="Contexte"/>
    <tableColumn id="7" name="Probleme identifie"/>
    <tableColumn id="8" name="Justification"/>
    <tableColumn id="9" name="Description intervention"/>
    <tableColumn id="10" name="Domaine d'intervention"/>
    <tableColumn id="11" name="Type de projet"/>
    <tableColumn id="12" name="Objectif general"/>
    <tableColumn id="13" name="ID responsable"/>
    <tableColumn id="14" name="Nom du responsable"/>
    <tableColumn id="15" name="Fonction responsable"/>
    <tableColumn id="16" name="Telephone responsable"/>
    <tableColumn id="17" name="Email responsable"/>
    <tableColumn id="18" name="Localite"/>
    <tableColumn id="19" name="Pays"/>
    <tableColumn id="20" name="Departement"/>
    <tableColumn id="21" name="District/Commune"/>
    <tableColumn id="22" name="Arrondissement"/>
    <tableColumn id="23" name="Zone specifique"/>
    <tableColumn id="24" name="Date debut prevue"/>
    <tableColumn id="25" name="Date debut reelle"/>
    <tableColumn id="26" name="Date fin prevue"/>
    <tableColumn id="27" name="Date fin reelle"/>
    <tableColumn id="28" name="Duree prevue (j)"/>
    <tableColumn id="29" name="Duree reelle (j)"/>
    <tableColumn id="30" name="Statut du projet"/>
    <tableColumn id="31" name="Niveau de priorite"/>
    <tableColumn id="32" name="Budget demande (FCFA)"/>
    <tableColumn id="33" name="Budget approuve (FCFA)"/>
    <tableColumn id="34" name="Financement recu (FCFA)"/>
    <tableColumn id="35" name="Depenses realisees (FCFA)"/>
    <tableColumn id="36" name="Budget disponible (FCFA)"/>
    <tableColumn id="37" name="Solde (FCFA)"/>
    <tableColumn id="38" name="Taux execution budgetaire"/>
    <tableColumn id="39" name="Nb beneficiaires prevu"/>
    <tableColumn id="40" name="Nb femmes prevu"/>
    <tableColumn id="41" name="Nb hommes prevu"/>
    <tableColumn id="42" name="Nb jeunes prevu"/>
    <tableColumn id="43" name="Nb enfants prevu"/>
    <tableColumn id="44" name="Nb menages prevu"/>
    <tableColumn id="45" name="Nb beneficiaires reels"/>
    <tableColumn id="46" name="Nb femmes reelles"/>
    <tableColumn id="47" name="Nb hommes reels"/>
    <tableColumn id="48" name="Nb pers. vulnerables reelles"/>
    <tableColumn id="49" name="Nb pers. handicap reelles"/>
    <tableColumn id="50" name="Nb activites total"/>
    <tableColumn id="51" name="Activites planifiees"/>
    <tableColumn id="52" name="Activites en cours"/>
    <tableColumn id="53" name="Activites realisees"/>
    <tableColumn id="54" name="Activites annulees"/>
    <tableColumn id="55" name="Taux realisation activites"/>
    <tableColumn id="56" name="Taux d'avancement (%)"/>
    <tableColumn id="57" name="Projet en retard"/>
    <tableColumn id="58" name="Echeance proche (&lt;30j)"/>
    <tableColumn id="59" name="Budget en depassement"/>
    <tableColumn id="60" name="Financement insuffisant"/>
    <tableColumn id="61" name="Observations"/>
  </tableColumns>
  <tableStyleInfo showFirstColumn="0" showLastColumn="0" showRowStripes="1" showColumnStripes="0"/>
</table>
</file>

<file path=xl/tables/table20.xml><?xml version="1.0" encoding="utf-8"?>
<table xmlns="http://schemas.openxmlformats.org/spreadsheetml/2006/main" id="62" name="tbl_Projets_Calendrier" displayName="tbl_Projets_Calendrier" ref="A303:G333" totalsRowShown="0">
  <autoFilter ref="A303:G333"/>
  <tableColumns count="7">
    <tableColumn id="1" name="ID Projet"/>
    <tableColumn id="2" name="Etape"/>
    <tableColumn id="3" name="Date prevue"/>
    <tableColumn id="4" name="Date reelle"/>
    <tableColumn id="5" name="Responsable"/>
    <tableColumn id="6" name="Statut"/>
    <tableColumn id="7" name="% realisation"/>
  </tableColumns>
  <tableStyleInfo showFirstColumn="0" showLastColumn="0" showRowStripes="1" showColumnStripes="0"/>
</table>
</file>

<file path=xl/tables/table21.xml><?xml version="1.0" encoding="utf-8"?>
<table xmlns="http://schemas.openxmlformats.org/spreadsheetml/2006/main" id="63" name="tbl_Projets_Documents" displayName="tbl_Projets_Documents" ref="A405:F435" totalsRowShown="0">
  <autoFilter ref="A405:F435"/>
  <tableColumns count="6">
    <tableColumn id="1" name="ID Projet"/>
    <tableColumn id="2" name="Type de document"/>
    <tableColumn id="3" name="Reference"/>
    <tableColumn id="4" name="Date"/>
    <tableColumn id="5" name="Statut"/>
    <tableColumn id="6" name="Emplacement / lien"/>
  </tableColumns>
  <tableStyleInfo showFirstColumn="0" showLastColumn="0" showRowStripes="1" showColumnStripes="0"/>
</table>
</file>

<file path=xl/tables/table22.xml><?xml version="1.0" encoding="utf-8"?>
<table xmlns="http://schemas.openxmlformats.org/spreadsheetml/2006/main" id="64" name="tbl_Projets_Equipe" displayName="tbl_Projets_Equipe" ref="A167:G197" totalsRowShown="0">
  <autoFilter ref="A167:G197"/>
  <tableColumns count="7">
    <tableColumn id="1" name="ID Projet"/>
    <tableColumn id="2" name="ID employe"/>
    <tableColumn id="3" name="Nom"/>
    <tableColumn id="4" name="Fonction"/>
    <tableColumn id="5" name="Role dans le projet"/>
    <tableColumn id="6" name="Date d'affectation"/>
    <tableColumn id="7" name="Statut"/>
  </tableColumns>
  <tableStyleInfo showFirstColumn="0" showLastColumn="0" showRowStripes="1" showColumnStripes="0"/>
</table>
</file>

<file path=xl/tables/table23.xml><?xml version="1.0" encoding="utf-8"?>
<table xmlns="http://schemas.openxmlformats.org/spreadsheetml/2006/main" id="65" name="tbl_Projets_Financements" displayName="tbl_Projets_Financements" ref="A235:L265" totalsRowShown="0">
  <autoFilter ref="A235:L265"/>
  <tableColumns count="12">
    <tableColumn id="1" name="ID Projet"/>
    <tableColumn id="2" name="ID donateur"/>
    <tableColumn id="3" name="Nom donateur"/>
    <tableColumn id="4" name="Type donateur"/>
    <tableColumn id="5" name="Source de financement"/>
    <tableColumn id="6" name="Type de financement"/>
    <tableColumn id="7" name="Montant demande"/>
    <tableColumn id="8" name="Montant accorde"/>
    <tableColumn id="9" name="Montant recu"/>
    <tableColumn id="10" name="Devise"/>
    <tableColumn id="11" name="Date de reception"/>
    <tableColumn id="12" name="Statut"/>
  </tableColumns>
  <tableStyleInfo showFirstColumn="0" showLastColumn="0" showRowStripes="1" showColumnStripes="0"/>
</table>
</file>

<file path=xl/tables/table24.xml><?xml version="1.0" encoding="utf-8"?>
<table xmlns="http://schemas.openxmlformats.org/spreadsheetml/2006/main" id="66" name="tbl_Projets_Indicateurs" displayName="tbl_Projets_Indicateurs" ref="A371:H401" totalsRowShown="0">
  <autoFilter ref="A371:H401"/>
  <tableColumns count="8">
    <tableColumn id="1" name="ID Projet"/>
    <tableColumn id="2" name="Code indicateur"/>
    <tableColumn id="3" name="Indicateur"/>
    <tableColumn id="4" name="Unite"/>
    <tableColumn id="5" name="Reference"/>
    <tableColumn id="6" name="Cible"/>
    <tableColumn id="7" name="Realisation"/>
    <tableColumn id="8" name="% atteinte"/>
  </tableColumns>
  <tableStyleInfo showFirstColumn="0" showLastColumn="0" showRowStripes="1" showColumnStripes="0"/>
</table>
</file>

<file path=xl/tables/table25.xml><?xml version="1.0" encoding="utf-8"?>
<table xmlns="http://schemas.openxmlformats.org/spreadsheetml/2006/main" id="67" name="tbl_Projets_Objectifs" displayName="tbl_Projets_Objectifs" ref="A99:G129" totalsRowShown="0">
  <autoFilter ref="A99:G129"/>
  <tableColumns count="7">
    <tableColumn id="1" name="ID Projet"/>
    <tableColumn id="2" name="Code objectif"/>
    <tableColumn id="3" name="Objectif specifique"/>
    <tableColumn id="4" name="Indicateur associe"/>
    <tableColumn id="5" name="Valeur cible"/>
    <tableColumn id="6" name="Echeance"/>
    <tableColumn id="7" name="Statut"/>
  </tableColumns>
  <tableStyleInfo showFirstColumn="0" showLastColumn="0" showRowStripes="1" showColumnStripes="0"/>
</table>
</file>

<file path=xl/tables/table26.xml><?xml version="1.0" encoding="utf-8"?>
<table xmlns="http://schemas.openxmlformats.org/spreadsheetml/2006/main" id="68" name="tbl_Projets_Partenaires" displayName="tbl_Projets_Partenaires" ref="A201:F231" totalsRowShown="0">
  <autoFilter ref="A201:F231"/>
  <tableColumns count="6">
    <tableColumn id="1" name="ID Projet"/>
    <tableColumn id="2" name="ID partenaire"/>
    <tableColumn id="3" name="Nom du partenaire"/>
    <tableColumn id="4" name="Type de partenaire"/>
    <tableColumn id="5" name="Role"/>
    <tableColumn id="6" name="Statut"/>
  </tableColumns>
  <tableStyleInfo showFirstColumn="0" showLastColumn="0" showRowStripes="1" showColumnStripes="0"/>
</table>
</file>

<file path=xl/tables/table27.xml><?xml version="1.0" encoding="utf-8"?>
<table xmlns="http://schemas.openxmlformats.org/spreadsheetml/2006/main" id="69" name="tbl_Projets_Resultats" displayName="tbl_Projets_Resultats" ref="A133:H163" totalsRowShown="0">
  <autoFilter ref="A133:H163"/>
  <tableColumns count="8">
    <tableColumn id="1" name="ID Projet"/>
    <tableColumn id="2" name="Code resultat"/>
    <tableColumn id="3" name="Resultat attendu"/>
    <tableColumn id="4" name="Indicateur"/>
    <tableColumn id="5" name="Situation reference"/>
    <tableColumn id="6" name="Cible"/>
    <tableColumn id="7" name="Realisation"/>
    <tableColumn id="8" name="Taux atteinte"/>
  </tableColumns>
  <tableStyleInfo showFirstColumn="0" showLastColumn="0" showRowStripes="1" showColumnStripes="0"/>
</table>
</file>

<file path=xl/tables/table28.xml><?xml version="1.0" encoding="utf-8"?>
<table xmlns="http://schemas.openxmlformats.org/spreadsheetml/2006/main" id="70" name="tbl_Projets_Risques" displayName="tbl_Projets_Risques" ref="A337:I367" totalsRowShown="0">
  <autoFilter ref="A337:I367"/>
  <tableColumns count="9">
    <tableColumn id="1" name="ID Projet"/>
    <tableColumn id="2" name="ID risque"/>
    <tableColumn id="3" name="Risque principal"/>
    <tableColumn id="4" name="Niveau de risque"/>
    <tableColumn id="5" name="Probabilite"/>
    <tableColumn id="6" name="Impact"/>
    <tableColumn id="7" name="Mesure d'attenuation"/>
    <tableColumn id="8" name="Responsable"/>
    <tableColumn id="9" name="Statut"/>
  </tableColumns>
  <tableStyleInfo showFirstColumn="0" showLastColumn="0" showRowStripes="1" showColumnStripes="0"/>
</table>
</file>

<file path=xl/tables/table29.xml><?xml version="1.0" encoding="utf-8"?>
<table xmlns="http://schemas.openxmlformats.org/spreadsheetml/2006/main" id="71" name="tbl_Projets_Zones" displayName="tbl_Projets_Zones" ref="A269:G299" totalsRowShown="0">
  <autoFilter ref="A269:G299"/>
  <tableColumns count="7">
    <tableColumn id="1" name="ID Projet"/>
    <tableColumn id="2" name="Localite"/>
    <tableColumn id="3" name="Pays"/>
    <tableColumn id="4" name="Departement"/>
    <tableColumn id="5" name="District/Commune"/>
    <tableColumn id="6" name="Arrondissement"/>
    <tableColumn id="7" name="Zone specifique"/>
  </tableColumns>
  <tableStyleInfo showFirstColumn="0" showLastColumn="0" showRowStripes="1" showColumnStripes="0"/>
</table>
</file>

<file path=xl/tables/table30.xml><?xml version="1.0" encoding="utf-8"?>
<table xmlns="http://schemas.openxmlformats.org/spreadsheetml/2006/main" id="72" name="tbl_Activites" displayName="tbl_Activites" ref="A55:CN105" totalsRowShown="0">
  <autoFilter ref="A55:CN105"/>
  <tableColumns count="92">
    <tableColumn id="1" name="ID Activite"/>
    <tableColumn id="2" name="Code interne"/>
    <tableColumn id="3" name="ID Projet"/>
    <tableColumn id="4" name="Nom du projet"/>
    <tableColumn id="5" name="Domaine d'intervention (projet)"/>
    <tableColumn id="6" name="Responsable du projet"/>
    <tableColumn id="7" name="Intitule de l'activite"/>
    <tableColumn id="8" name="Description"/>
    <tableColumn id="9" name="Objectif de l'activite"/>
    <tableColumn id="10" name="Type d'activite"/>
    <tableColumn id="11" name="Domaine d'intervention (activite)"/>
    <tableColumn id="12" name="Date prevue"/>
    <tableColumn id="13" name="Heure debut prevue"/>
    <tableColumn id="14" name="Heure fin prevue"/>
    <tableColumn id="15" name="Duree prevue (h)"/>
    <tableColumn id="16" name="Frequence"/>
    <tableColumn id="17" name="Mois"/>
    <tableColumn id="18" name="Trimestre"/>
    <tableColumn id="19" name="Annee"/>
    <tableColumn id="20" name="Date reelle"/>
    <tableColumn id="21" name="Heure reelle debut"/>
    <tableColumn id="22" name="Heure reelle fin"/>
    <tableColumn id="23" name="Duree reelle (h)"/>
    <tableColumn id="24" name="Activite realisee"/>
    <tableColumn id="25" name="Niveau de realisation (%)"/>
    <tableColumn id="26" name="Statut de l'activite"/>
    <tableColumn id="27" name="Ecart (jours)"/>
    <tableColumn id="28" name="Activite en retard"/>
    <tableColumn id="29" name="ID responsable"/>
    <tableColumn id="30" name="Nom responsable"/>
    <tableColumn id="31" name="Fonction responsable"/>
    <tableColumn id="32" name="Telephone responsable"/>
    <tableColumn id="33" name="Email responsable"/>
    <tableColumn id="34" name="Localite"/>
    <tableColumn id="35" name="Pays"/>
    <tableColumn id="36" name="Departement"/>
    <tableColumn id="37" name="District/Commune"/>
    <tableColumn id="38" name="Arrondissement"/>
    <tableColumn id="39" name="Site exact / Adresse"/>
    <tableColumn id="40" name="Coordonnees GPS"/>
    <tableColumn id="41" name="Nb beneficiaires prevu"/>
    <tableColumn id="42" name="Hommes prevus"/>
    <tableColumn id="43" name="Femmes prevues"/>
    <tableColumn id="44" name="Enfants prevus"/>
    <tableColumn id="45" name="Jeunes prevus"/>
    <tableColumn id="46" name="Adultes prevus"/>
    <tableColumn id="47" name="Personnes vulnerables prevues"/>
    <tableColumn id="48" name="Nb participants reels"/>
    <tableColumn id="49" name="Hommes reels"/>
    <tableColumn id="50" name="Femmes reelles"/>
    <tableColumn id="51" name="Personnes vulnerables reelles"/>
    <tableColumn id="52" name="Presence enregistree"/>
    <tableColumn id="53" name="Liste de presence disponible"/>
    <tableColumn id="54" name="Reference document presence"/>
    <tableColumn id="55" name="Budget prevu (FCFA)"/>
    <tableColumn id="56" name="Budget approuve (FCFA)"/>
    <tableColumn id="57" name="Depense reelle (FCFA)"/>
    <tableColumn id="58" name="Solde (FCFA)"/>
    <tableColumn id="59" name="Taux d'execution budgetaire"/>
    <tableColumn id="60" name="Source de financement"/>
    <tableColumn id="61" name="ID financement"/>
    <tableColumn id="62" name="Montant prevu financement (FCFA)"/>
    <tableColumn id="63" name="Montant recu financement (FCFA)"/>
    <tableColumn id="64" name="Statut financement"/>
    <tableColumn id="65" name="Ressources necessaires"/>
    <tableColumn id="66" name="Prestataire / Fournisseur"/>
    <tableColumn id="67" name="Type de prestation"/>
    <tableColumn id="68" name="Reference contrat"/>
    <tableColumn id="69" name="Montant prestation (FCFA)"/>
    <tableColumn id="70" name="Statut prestation"/>
    <tableColumn id="71" name="Resultat obtenu"/>
    <tableColumn id="72" name="Difficultes rencontrees"/>
    <tableColumn id="73" name="Solutions apportees"/>
    <tableColumn id="74" name="Ecart participants (reel-prevu)"/>
    <tableColumn id="75" name="Ecart budgetaire (FCFA)"/>
    <tableColumn id="76" name="Communication realisee"/>
    <tableColumn id="77" name="Photos disponibles"/>
    <tableColumn id="78" name="Video disponible"/>
    <tableColumn id="79" name="Publication realisee"/>
    <tableColumn id="80" name="Support utilise"/>
    <tableColumn id="81" name="Lien support"/>
    <tableColumn id="82" name="Taux d'avancement (%)"/>
    <tableColumn id="83" name="Activite evaluee"/>
    <tableColumn id="84" name="Date evaluation"/>
    <tableColumn id="85" name="Evaluateur"/>
    <tableColumn id="86" name="Satisfaction (1-5)"/>
    <tableColumn id="87" name="Lecons apprises"/>
    <tableColumn id="88" name="Recommandations"/>
    <tableColumn id="89" name="Nb documents justificatifs"/>
    <tableColumn id="90" name="Nb risques/incidents"/>
    <tableColumn id="91" name="Budget en depassement"/>
    <tableColumn id="92" name="Observations"/>
  </tableColumns>
  <tableStyleInfo showFirstColumn="0" showLastColumn="0" showRowStripes="1" showColumnStripes="0"/>
</table>
</file>

<file path=xl/tables/table31.xml><?xml version="1.0" encoding="utf-8"?>
<table xmlns="http://schemas.openxmlformats.org/spreadsheetml/2006/main" id="73" name="tbl_Activites_Documents" displayName="tbl_Activites_Documents" ref="A211:F241" totalsRowShown="0">
  <autoFilter ref="A211:F241"/>
  <tableColumns count="6">
    <tableColumn id="1" name="ID Activite"/>
    <tableColumn id="2" name="Type de document"/>
    <tableColumn id="3" name="Reference"/>
    <tableColumn id="4" name="Date"/>
    <tableColumn id="5" name="Statut"/>
    <tableColumn id="6" name="Emplacement / lien"/>
  </tableColumns>
  <tableStyleInfo showFirstColumn="0" showLastColumn="0" showRowStripes="1" showColumnStripes="0"/>
</table>
</file>

<file path=xl/tables/table32.xml><?xml version="1.0" encoding="utf-8"?>
<table xmlns="http://schemas.openxmlformats.org/spreadsheetml/2006/main" id="74" name="tbl_Activites_Equipe" displayName="tbl_Activites_Equipe" ref="A109:F139" totalsRowShown="0">
  <autoFilter ref="A109:F139"/>
  <tableColumns count="6">
    <tableColumn id="1" name="ID Activite"/>
    <tableColumn id="2" name="ID employe"/>
    <tableColumn id="3" name="Nom"/>
    <tableColumn id="4" name="Fonction"/>
    <tableColumn id="5" name="Role dans l'activite"/>
    <tableColumn id="6" name="Presence"/>
  </tableColumns>
  <tableStyleInfo showFirstColumn="0" showLastColumn="0" showRowStripes="1" showColumnStripes="0"/>
</table>
</file>

<file path=xl/tables/table33.xml><?xml version="1.0" encoding="utf-8"?>
<table xmlns="http://schemas.openxmlformats.org/spreadsheetml/2006/main" id="75" name="tbl_Activites_Indicateurs" displayName="tbl_Activites_Indicateurs" ref="A143:G173" totalsRowShown="0">
  <autoFilter ref="A143:G173"/>
  <tableColumns count="7">
    <tableColumn id="1" name="ID Activite"/>
    <tableColumn id="2" name="Code indicateur"/>
    <tableColumn id="3" name="Indicateur"/>
    <tableColumn id="4" name="Unite"/>
    <tableColumn id="5" name="Cible"/>
    <tableColumn id="6" name="Realisation"/>
    <tableColumn id="7" name="% atteinte"/>
  </tableColumns>
  <tableStyleInfo showFirstColumn="0" showLastColumn="0" showRowStripes="1" showColumnStripes="0"/>
</table>
</file>

<file path=xl/tables/table34.xml><?xml version="1.0" encoding="utf-8"?>
<table xmlns="http://schemas.openxmlformats.org/spreadsheetml/2006/main" id="76" name="tbl_Activites_ParDomaine" displayName="tbl_Activites_ParDomaine" ref="A289:D329" totalsRowShown="0">
  <autoFilter ref="A289:D329"/>
  <tableColumns count="4">
    <tableColumn id="1" name="Domaine"/>
    <tableColumn id="2" name="Nb activites"/>
    <tableColumn id="3" name="Realisees"/>
    <tableColumn id="4" name="Taux"/>
  </tableColumns>
  <tableStyleInfo showFirstColumn="0" showLastColumn="0" showRowStripes="1" showColumnStripes="0"/>
</table>
</file>

<file path=xl/tables/table35.xml><?xml version="1.0" encoding="utf-8"?>
<table xmlns="http://schemas.openxmlformats.org/spreadsheetml/2006/main" id="77" name="tbl_Activites_ParProjet" displayName="tbl_Activites_ParProjet" ref="A245:D285" totalsRowShown="0">
  <autoFilter ref="A245:D285"/>
  <tableColumns count="4">
    <tableColumn id="1" name="Projet"/>
    <tableColumn id="2" name="Activites prevues"/>
    <tableColumn id="3" name="Realisees"/>
    <tableColumn id="4" name="Taux de realisation"/>
  </tableColumns>
  <tableStyleInfo showFirstColumn="0" showLastColumn="0" showRowStripes="1" showColumnStripes="0"/>
</table>
</file>

<file path=xl/tables/table36.xml><?xml version="1.0" encoding="utf-8"?>
<table xmlns="http://schemas.openxmlformats.org/spreadsheetml/2006/main" id="78" name="tbl_Activites_Risques" displayName="tbl_Activites_Risques" ref="A177:I207" totalsRowShown="0">
  <autoFilter ref="A177:I207"/>
  <tableColumns count="9">
    <tableColumn id="1" name="ID Activite"/>
    <tableColumn id="2" name="ID risque"/>
    <tableColumn id="3" name="Risque/incident"/>
    <tableColumn id="4" name="Date"/>
    <tableColumn id="5" name="Niveau"/>
    <tableColumn id="6" name="Impact"/>
    <tableColumn id="7" name="Mesure prise"/>
    <tableColumn id="8" name="Responsable"/>
    <tableColumn id="9" name="Statut"/>
  </tableColumns>
  <tableStyleInfo showFirstColumn="0" showLastColumn="0" showRowStripes="1" showColumnStripes="0"/>
</table>
</file>

<file path=xl/tables/table37.xml><?xml version="1.0" encoding="utf-8"?>
<table xmlns="http://schemas.openxmlformats.org/spreadsheetml/2006/main" id="79" name="tbl_Partenaires" displayName="tbl_Partenaires" ref="A55:BS115" totalsRowShown="0">
  <autoFilter ref="A55:BS115"/>
  <tableColumns count="71">
    <tableColumn id="1" name="ID Partenaire"/>
    <tableColumn id="2" name="Code interne"/>
    <tableColumn id="3" name="Nom officiel"/>
    <tableColumn id="4" name="Nom court"/>
    <tableColumn id="5" name="Sigle"/>
    <tableColumn id="6" name="Type de partenaire"/>
    <tableColumn id="7" name="Categorie de partenariat"/>
    <tableColumn id="8" name="Forme juridique"/>
    <tableColumn id="9" name="Pays d'origine"/>
    <tableColumn id="10" name="Annee de creation"/>
    <tableColumn id="11" name="Site web"/>
    <tableColumn id="12" name="Description"/>
    <tableColumn id="13" name="Localite (siege)"/>
    <tableColumn id="14" name="Pays (siege)"/>
    <tableColumn id="15" name="Departement (siege)"/>
    <tableColumn id="16" name="Commune/District (siege)"/>
    <tableColumn id="17" name="Arrondissement (siege)"/>
    <tableColumn id="18" name="Adresse / site exact (siege)"/>
    <tableColumn id="19" name="Telephone principal"/>
    <tableColumn id="20" name="Telephone secondaire"/>
    <tableColumn id="21" name="Email general"/>
    <tableColumn id="22" name="Adresse postale"/>
    <tableColumn id="23" name="Nom contact principal"/>
    <tableColumn id="24" name="Prenom contact principal"/>
    <tableColumn id="25" name="Fonction contact principal"/>
    <tableColumn id="26" name="Telephone contact principal"/>
    <tableColumn id="27" name="Email contact principal"/>
    <tableColumn id="28" name="WhatsApp contact principal"/>
    <tableColumn id="29" name="Date debut fonction contact"/>
    <tableColumn id="30" name="Statut contact principal"/>
    <tableColumn id="31" name="Domaine de collaboration principal"/>
    <tableColumn id="32" name="Domaine de collaboration secondaire"/>
    <tableColumn id="33" name="Localite d'intervention"/>
    <tableColumn id="34" name="Pays d'intervention"/>
    <tableColumn id="35" name="Departement d'intervention"/>
    <tableColumn id="36" name="Commune d'intervention"/>
    <tableColumn id="37" name="Arrondissement d'intervention"/>
    <tableColumn id="38" name="Date debut collaboration"/>
    <tableColumn id="39" name="Date fin collaboration"/>
    <tableColumn id="40" name="Statut du partenaire"/>
    <tableColumn id="41" name="Niveau de partenariat"/>
    <tableColumn id="42" name="Contribution financiere prevue (FCFA)"/>
    <tableColumn id="43" name="Contribution financiere recue (FCFA)"/>
    <tableColumn id="44" name="Ecart contribution (FCFA)"/>
    <tableColumn id="45" name="Type de contribution principale"/>
    <tableColumn id="46" name="Nb projets associes"/>
    <tableColumn id="47" name="Nb conventions"/>
    <tableColumn id="48" name="Conventions actives"/>
    <tableColumn id="49" name="Alerte convention a renouveler (&lt;=60j)"/>
    <tableColumn id="50" name="Nb documents"/>
    <tableColumn id="51" name="Note globale evaluation (/5)"/>
    <tableColumn id="52" name="Date derniere evaluation"/>
    <tableColumn id="53" name="Nb risques identifies"/>
    <tableColumn id="54" name="Risque eleve/critique present"/>
    <tableColumn id="55" name="Nb contacts secondaires"/>
    <tableColumn id="56" name="Nb opportunites en cours"/>
    <tableColumn id="57" name="Nb actions de prospection"/>
    <tableColumn id="58" name="ID responsable interne"/>
    <tableColumn id="59" name="Nom responsable interne"/>
    <tableColumn id="60" name="Fonction responsable interne"/>
    <tableColumn id="61" name="Telephone responsable interne"/>
    <tableColumn id="62" name="Email responsable interne"/>
    <tableColumn id="63" name="Facebook"/>
    <tableColumn id="64" name="LinkedIn"/>
    <tableColumn id="65" name="X / Twitter"/>
    <tableColumn id="66" name="YouTube"/>
    <tableColumn id="67" name="Autre reseau"/>
    <tableColumn id="68" name="Newsletter (Oui/Non)"/>
    <tableColumn id="69" name="Contact presse"/>
    <tableColumn id="70" name="Doublon potentiel"/>
    <tableColumn id="71" name="Observations"/>
  </tableColumns>
  <tableStyleInfo showFirstColumn="0" showLastColumn="0" showRowStripes="1" showColumnStripes="0"/>
</table>
</file>

<file path=xl/tables/table38.xml><?xml version="1.0" encoding="utf-8"?>
<table xmlns="http://schemas.openxmlformats.org/spreadsheetml/2006/main" id="80" name="tbl_Partenaires_Contacts" displayName="tbl_Partenaires_Contacts" ref="A135:H165" totalsRowShown="0">
  <autoFilter ref="A135:H165"/>
  <tableColumns count="8">
    <tableColumn id="1" name="ID Partenaire"/>
    <tableColumn id="2" name="ID contact"/>
    <tableColumn id="3" name="Nom"/>
    <tableColumn id="4" name="Fonction"/>
    <tableColumn id="5" name="Telephone"/>
    <tableColumn id="6" name="Email"/>
    <tableColumn id="7" name="Principal"/>
    <tableColumn id="8" name="Statut"/>
  </tableColumns>
  <tableStyleInfo showFirstColumn="0" showLastColumn="0" showRowStripes="1" showColumnStripes="0"/>
</table>
</file>

<file path=xl/tables/table39.xml><?xml version="1.0" encoding="utf-8"?>
<table xmlns="http://schemas.openxmlformats.org/spreadsheetml/2006/main" id="81" name="tbl_Partenaires_Conventions" displayName="tbl_Partenaires_Conventions" ref="A203:H233" totalsRowShown="0">
  <autoFilter ref="A203:H233"/>
  <tableColumns count="8">
    <tableColumn id="1" name="ID Partenaire"/>
    <tableColumn id="2" name="Reference"/>
    <tableColumn id="3" name="Type de convention"/>
    <tableColumn id="4" name="Date signature"/>
    <tableColumn id="5" name="Date debut"/>
    <tableColumn id="6" name="Date fin"/>
    <tableColumn id="7" name="Statut"/>
    <tableColumn id="8" name="Jours avant echeance"/>
  </tableColumns>
  <tableStyleInfo showFirstColumn="0" showLastColumn="0" showRowStripes="1" showColumnStripes="0"/>
</table>
</file>

<file path=xl/tables/table40.xml><?xml version="1.0" encoding="utf-8"?>
<table xmlns="http://schemas.openxmlformats.org/spreadsheetml/2006/main" id="82" name="tbl_Partenaires_Documents" displayName="tbl_Partenaires_Documents" ref="A237:F267" totalsRowShown="0">
  <autoFilter ref="A237:F267"/>
  <tableColumns count="6">
    <tableColumn id="1" name="ID Partenaire"/>
    <tableColumn id="2" name="Reference"/>
    <tableColumn id="3" name="Type de document"/>
    <tableColumn id="4" name="Date"/>
    <tableColumn id="5" name="Statut"/>
    <tableColumn id="6" name="Emplacement/lien"/>
  </tableColumns>
  <tableStyleInfo showFirstColumn="0" showLastColumn="0" showRowStripes="1" showColumnStripes="0"/>
</table>
</file>

<file path=xl/tables/table41.xml><?xml version="1.0" encoding="utf-8"?>
<table xmlns="http://schemas.openxmlformats.org/spreadsheetml/2006/main" id="83" name="tbl_Partenaires_Evaluations" displayName="tbl_Partenaires_Evaluations" ref="A305:J335" totalsRowShown="0">
  <autoFilter ref="A305:J335"/>
  <tableColumns count="10">
    <tableColumn id="1" name="ID Partenaire"/>
    <tableColumn id="2" name="Date evaluation"/>
    <tableColumn id="3" name="Qualite collaboration (1-5)"/>
    <tableColumn id="4" name="Respect engagements (1-5)"/>
    <tableColumn id="5" name="Reactivite (1-5)"/>
    <tableColumn id="6" name="Contribution (1-5)"/>
    <tableColumn id="7" name="Fiabilite (1-5)"/>
    <tableColumn id="8" name="Satisfaction (1-5)"/>
    <tableColumn id="9" name="Note globale"/>
    <tableColumn id="10" name="Commentaires"/>
  </tableColumns>
  <tableStyleInfo showFirstColumn="0" showLastColumn="0" showRowStripes="1" showColumnStripes="0"/>
</table>
</file>

<file path=xl/tables/table42.xml><?xml version="1.0" encoding="utf-8"?>
<table xmlns="http://schemas.openxmlformats.org/spreadsheetml/2006/main" id="84" name="tbl_Partenaires_Historique" displayName="tbl_Partenaires_Historique" ref="A271:G301" totalsRowShown="0">
  <autoFilter ref="A271:G301"/>
  <tableColumns count="7">
    <tableColumn id="1" name="ID Partenaire"/>
    <tableColumn id="2" name="Date"/>
    <tableColumn id="3" name="Projet/Activite concerne"/>
    <tableColumn id="4" name="Action"/>
    <tableColumn id="5" name="Resultat"/>
    <tableColumn id="6" name="Responsable"/>
    <tableColumn id="7" name="Observation"/>
  </tableColumns>
  <tableStyleInfo showFirstColumn="0" showLastColumn="0" showRowStripes="1" showColumnStripes="0"/>
</table>
</file>

<file path=xl/tables/table43.xml><?xml version="1.0" encoding="utf-8"?>
<table xmlns="http://schemas.openxmlformats.org/spreadsheetml/2006/main" id="85" name="tbl_Partenaires_Opportunites" displayName="tbl_Partenaires_Opportunites" ref="A373:H403" totalsRowShown="0">
  <autoFilter ref="A373:H403"/>
  <tableColumns count="8">
    <tableColumn id="1" name="ID Partenaire"/>
    <tableColumn id="2" name="Opportunite identifiee"/>
    <tableColumn id="3" name="Domaine"/>
    <tableColumn id="4" name="Projet potentiel"/>
    <tableColumn id="5" name="Date"/>
    <tableColumn id="6" name="Responsable"/>
    <tableColumn id="7" name="Statut"/>
    <tableColumn id="8" name="Prochaine action"/>
  </tableColumns>
  <tableStyleInfo showFirstColumn="0" showLastColumn="0" showRowStripes="1" showColumnStripes="0"/>
</table>
</file>

<file path=xl/tables/table44.xml><?xml version="1.0" encoding="utf-8"?>
<table xmlns="http://schemas.openxmlformats.org/spreadsheetml/2006/main" id="86" name="tbl_Partenaires_ParZone" displayName="tbl_Partenaires_ParZone" ref="A119:B131" totalsRowShown="0">
  <autoFilter ref="A119:B131"/>
  <tableColumns count="2">
    <tableColumn id="1" name="Departement (siege)"/>
    <tableColumn id="2" name="Nb partenaires"/>
  </tableColumns>
  <tableStyleInfo showFirstColumn="0" showLastColumn="0" showRowStripes="1" showColumnStripes="0"/>
</table>
</file>

<file path=xl/tables/table45.xml><?xml version="1.0" encoding="utf-8"?>
<table xmlns="http://schemas.openxmlformats.org/spreadsheetml/2006/main" id="87" name="tbl_Partenaires_Projets" displayName="tbl_Partenaires_Projets" ref="A169:H199" totalsRowShown="0">
  <autoFilter ref="A169:H199"/>
  <tableColumns count="8">
    <tableColumn id="1" name="ID Partenaire"/>
    <tableColumn id="2" name="ID Projet"/>
    <tableColumn id="3" name="Nom du projet"/>
    <tableColumn id="4" name="Role du partenaire"/>
    <tableColumn id="5" name="Contribution"/>
    <tableColumn id="6" name="Date debut"/>
    <tableColumn id="7" name="Date fin"/>
    <tableColumn id="8" name="Statut"/>
  </tableColumns>
  <tableStyleInfo showFirstColumn="0" showLastColumn="0" showRowStripes="1" showColumnStripes="0"/>
</table>
</file>

<file path=xl/tables/table46.xml><?xml version="1.0" encoding="utf-8"?>
<table xmlns="http://schemas.openxmlformats.org/spreadsheetml/2006/main" id="88" name="tbl_Partenaires_Prospection" displayName="tbl_Partenaires_Prospection" ref="A407:J437" totalsRowShown="0">
  <autoFilter ref="A407:J437"/>
  <tableColumns count="10">
    <tableColumn id="1" name="ID Partenaire"/>
    <tableColumn id="2" name="Date premier contact"/>
    <tableColumn id="3" name="Moyen de contact"/>
    <tableColumn id="4" name="Personne contactee"/>
    <tableColumn id="5" name="Objet"/>
    <tableColumn id="6" name="Resultat"/>
    <tableColumn id="7" name="Prochaine action"/>
    <tableColumn id="8" name="Date de relance"/>
    <tableColumn id="9" name="Responsable"/>
    <tableColumn id="10" name="Statut"/>
  </tableColumns>
  <tableStyleInfo showFirstColumn="0" showLastColumn="0" showRowStripes="1" showColumnStripes="0"/>
</table>
</file>

<file path=xl/tables/table47.xml><?xml version="1.0" encoding="utf-8"?>
<table xmlns="http://schemas.openxmlformats.org/spreadsheetml/2006/main" id="89" name="tbl_Partenaires_Risques" displayName="tbl_Partenaires_Risques" ref="A339:H369" totalsRowShown="0">
  <autoFilter ref="A339:H369"/>
  <tableColumns count="8">
    <tableColumn id="1" name="ID Partenaire"/>
    <tableColumn id="2" name="Risque"/>
    <tableColumn id="3" name="Probabilite"/>
    <tableColumn id="4" name="Impact"/>
    <tableColumn id="5" name="Niveau"/>
    <tableColumn id="6" name="Mesure d'attenuation"/>
    <tableColumn id="7" name="Responsable"/>
    <tableColumn id="8" name="Statut"/>
  </tableColumns>
  <tableStyleInfo showFirstColumn="0" showLastColumn="0" showRowStripes="1" showColumnStripes="0"/>
</table>
</file>

<file path=xl/tables/table48.xml><?xml version="1.0" encoding="utf-8"?>
<table xmlns="http://schemas.openxmlformats.org/spreadsheetml/2006/main" id="90" name="tbl_Donateurs" displayName="tbl_Donateurs" ref="A55:AX205" totalsRowShown="0">
  <autoFilter ref="A55:AX205"/>
  <tableColumns count="50">
    <tableColumn id="1" name="ID Donateur"/>
    <tableColumn id="2" name="Nom officiel"/>
    <tableColumn id="3" name="Nom court"/>
    <tableColumn id="4" name="Sigle"/>
    <tableColumn id="5" name="Type de donateur"/>
    <tableColumn id="6" name="Categorie de financement"/>
    <tableColumn id="7" name="Pays"/>
    <tableColumn id="8" name="Ville"/>
    <tableColumn id="9" name="Site internet"/>
    <tableColumn id="10" name="Adresse"/>
    <tableColumn id="11" name="Telephone"/>
    <tableColumn id="12" name="Email"/>
    <tableColumn id="13" name="Description"/>
    <tableColumn id="14" name="Nom contact principal"/>
    <tableColumn id="15" name="Prenom contact principal"/>
    <tableColumn id="16" name="Fonction contact principal"/>
    <tableColumn id="17" name="Telephone contact principal"/>
    <tableColumn id="18" name="Email contact principal"/>
    <tableColumn id="19" name="WhatsApp contact principal"/>
    <tableColumn id="20" name="Pays contact principal"/>
    <tableColumn id="21" name="Ville contact principal"/>
    <tableColumn id="22" name="Domaine finance principal"/>
    <tableColumn id="23" name="Domaine finance secondaire"/>
    <tableColumn id="24" name="Localite financee"/>
    <tableColumn id="25" name="Pays finance"/>
    <tableColumn id="26" name="Departement finance"/>
    <tableColumn id="27" name="Commune finance"/>
    <tableColumn id="28" name="Statut du donateur"/>
    <tableColumn id="29" name="Date premiere prise de contact"/>
    <tableColumn id="30" name="Responsable interne"/>
    <tableColumn id="31" name="Dernier contact"/>
    <tableColumn id="32" name="Prochain contact"/>
    <tableColumn id="33" name="Mode de communication"/>
    <tableColumn id="34" name="Statut de la relation"/>
    <tableColumn id="35" name="Nb opportunites"/>
    <tableColumn id="36" name="Opportunites ouvertes"/>
    <tableColumn id="37" name="Nb demandes"/>
    <tableColumn id="38" name="Nb financements obtenus"/>
    <tableColumn id="39" name="Montant total demande (FCFA)"/>
    <tableColumn id="40" name="Montant total accorde (FCFA)"/>
    <tableColumn id="41" name="Montant total recu (FCFA)"/>
    <tableColumn id="42" name="Taux de reussite (%)"/>
    <tableColumn id="43" name="Nb contacts secondaires"/>
    <tableColumn id="44" name="Nb documents"/>
    <tableColumn id="45" name="Nb conventions"/>
    <tableColumn id="46" name="Dernier financement (date)"/>
    <tableColumn id="47" name="Financement moyen (FCFA)"/>
    <tableColumn id="48" name="Alerte a relancer"/>
    <tableColumn id="49" name="Doublon potentiel"/>
    <tableColumn id="50" name="Observations"/>
  </tableColumns>
  <tableStyleInfo showFirstColumn="0" showLastColumn="0" showRowStripes="1" showColumnStripes="0"/>
</table>
</file>

<file path=xl/tables/table49.xml><?xml version="1.0" encoding="utf-8"?>
<table xmlns="http://schemas.openxmlformats.org/spreadsheetml/2006/main" id="91" name="tbl_Donateurs_Contacts" displayName="tbl_Donateurs_Contacts" ref="A209:J239" totalsRowShown="0">
  <autoFilter ref="A209:J239"/>
  <tableColumns count="10">
    <tableColumn id="1" name="ID contact"/>
    <tableColumn id="2" name="ID Donateur"/>
    <tableColumn id="3" name="Nom"/>
    <tableColumn id="4" name="Prenom"/>
    <tableColumn id="5" name="Fonction"/>
    <tableColumn id="6" name="Telephone"/>
    <tableColumn id="7" name="Email"/>
    <tableColumn id="8" name="WhatsApp"/>
    <tableColumn id="9" name="Principal"/>
    <tableColumn id="10" name="Statut"/>
  </tableColumns>
  <tableStyleInfo showFirstColumn="0" showLastColumn="0" showRowStripes="1" showColumnStripes="0"/>
</table>
</file>

<file path=xl/tables/table50.xml><?xml version="1.0" encoding="utf-8"?>
<table xmlns="http://schemas.openxmlformats.org/spreadsheetml/2006/main" id="92" name="tbl_Donateurs_Conventions" displayName="tbl_Donateurs_Conventions" ref="A415:L445" totalsRowShown="0">
  <autoFilter ref="A415:L445"/>
  <tableColumns count="12">
    <tableColumn id="1" name="ID Donateur"/>
    <tableColumn id="2" name="Reference de convention"/>
    <tableColumn id="3" name="Projet"/>
    <tableColumn id="4" name="Date signature"/>
    <tableColumn id="5" name="Date debut"/>
    <tableColumn id="6" name="Date fin"/>
    <tableColumn id="7" name="Montant contractuel"/>
    <tableColumn id="8" name="Devise"/>
    <tableColumn id="9" name="Modalites de decaissement"/>
    <tableColumn id="10" name="Conditions particulieres"/>
    <tableColumn id="11" name="Statut"/>
    <tableColumn id="12" name="Jours avant echeance"/>
  </tableColumns>
  <tableStyleInfo showFirstColumn="0" showLastColumn="0" showRowStripes="1" showColumnStripes="0"/>
</table>
</file>

<file path=xl/tables/table51.xml><?xml version="1.0" encoding="utf-8"?>
<table xmlns="http://schemas.openxmlformats.org/spreadsheetml/2006/main" id="93" name="tbl_Donateurs_Decaissements" displayName="tbl_Donateurs_Decaissements" ref="A371:I411" totalsRowShown="0">
  <autoFilter ref="A371:I411"/>
  <tableColumns count="9">
    <tableColumn id="1" name="ID decaissement"/>
    <tableColumn id="2" name="ID Donateur"/>
    <tableColumn id="3" name="ID demande"/>
    <tableColumn id="4" name="Projet"/>
    <tableColumn id="5" name="Date prevue"/>
    <tableColumn id="6" name="Date recue"/>
    <tableColumn id="7" name="Montant prevu"/>
    <tableColumn id="8" name="Montant recu"/>
    <tableColumn id="9" name="Statut"/>
  </tableColumns>
  <tableStyleInfo showFirstColumn="0" showLastColumn="0" showRowStripes="1" showColumnStripes="0"/>
</table>
</file>

<file path=xl/tables/table52.xml><?xml version="1.0" encoding="utf-8"?>
<table xmlns="http://schemas.openxmlformats.org/spreadsheetml/2006/main" id="94" name="tbl_Donateurs_Demandes" displayName="tbl_Donateurs_Demandes" ref="A307:P367" totalsRowShown="0">
  <autoFilter ref="A307:P367"/>
  <tableColumns count="16">
    <tableColumn id="1" name="ID demande"/>
    <tableColumn id="2" name="ID opportunite"/>
    <tableColumn id="3" name="ID Donateur"/>
    <tableColumn id="4" name="Projet"/>
    <tableColumn id="5" name="Montant demande"/>
    <tableColumn id="6" name="Devise"/>
    <tableColumn id="7" name="Date de soumission"/>
    <tableColumn id="8" name="Date limite"/>
    <tableColumn id="9" name="Responsable"/>
    <tableColumn id="10" name="Statut"/>
    <tableColumn id="11" name="Montant accorde"/>
    <tableColumn id="12" name="Montant recu"/>
    <tableColumn id="13" name="Date de decision"/>
    <tableColumn id="14" name="Date de notification"/>
    <tableColumn id="15" name="Motif du rejet"/>
    <tableColumn id="16" name="Commentaire"/>
  </tableColumns>
  <tableStyleInfo showFirstColumn="0" showLastColumn="0" showRowStripes="1" showColumnStripes="0"/>
</table>
</file>

<file path=xl/tables/table53.xml><?xml version="1.0" encoding="utf-8"?>
<table xmlns="http://schemas.openxmlformats.org/spreadsheetml/2006/main" id="95" name="tbl_Donateurs_Documents" displayName="tbl_Donateurs_Documents" ref="A527:F557" totalsRowShown="0">
  <autoFilter ref="A527:F557"/>
  <tableColumns count="6">
    <tableColumn id="1" name="ID Donateur"/>
    <tableColumn id="2" name="Reference"/>
    <tableColumn id="3" name="Type de document"/>
    <tableColumn id="4" name="Date"/>
    <tableColumn id="5" name="Statut"/>
    <tableColumn id="6" name="Emplacement/lien"/>
  </tableColumns>
  <tableStyleInfo showFirstColumn="0" showLastColumn="0" showRowStripes="1" showColumnStripes="0"/>
</table>
</file>

<file path=xl/tables/table54.xml><?xml version="1.0" encoding="utf-8"?>
<table xmlns="http://schemas.openxmlformats.org/spreadsheetml/2006/main" id="96" name="tbl_Donateurs_Historique" displayName="tbl_Donateurs_Historique" ref="A483:F523" totalsRowShown="0">
  <autoFilter ref="A483:F523"/>
  <tableColumns count="6">
    <tableColumn id="1" name="ID Donateur"/>
    <tableColumn id="2" name="Date"/>
    <tableColumn id="3" name="Action"/>
    <tableColumn id="4" name="Responsable"/>
    <tableColumn id="5" name="Resultat"/>
    <tableColumn id="6" name="Prochaine action"/>
  </tableColumns>
  <tableStyleInfo showFirstColumn="0" showLastColumn="0" showRowStripes="1" showColumnStripes="0"/>
</table>
</file>

<file path=xl/tables/table55.xml><?xml version="1.0" encoding="utf-8"?>
<table xmlns="http://schemas.openxmlformats.org/spreadsheetml/2006/main" id="97" name="tbl_Donateurs_Opportunites" displayName="tbl_Donateurs_Opportunites" ref="A243:X303" totalsRowShown="0">
  <autoFilter ref="A243:X303"/>
  <tableColumns count="24">
    <tableColumn id="1" name="ID opportunite"/>
    <tableColumn id="2" name="ID Donateur"/>
    <tableColumn id="3" name="Nom du programme"/>
    <tableColumn id="4" name="Titre de l'appel"/>
    <tableColumn id="5" name="Description"/>
    <tableColumn id="6" name="Domaine"/>
    <tableColumn id="7" name="Zone geographique"/>
    <tableColumn id="8" name="Type de financement"/>
    <tableColumn id="9" name="Montant minimum"/>
    <tableColumn id="10" name="Montant maximum"/>
    <tableColumn id="11" name="Devise"/>
    <tableColumn id="12" name="Taux de cofinancement"/>
    <tableColumn id="13" name="Duree maximale (mois)"/>
    <tableColumn id="14" name="Date ouverture"/>
    <tableColumn id="15" name="Date cloture"/>
    <tableColumn id="16" name="Lien vers l'appel"/>
    <tableColumn id="17" name="ONG eligible"/>
    <tableColumn id="18" name="Score global (/100)"/>
    <tableColumn id="19" name="Niveau"/>
    <tableColumn id="20" name="Candidater"/>
    <tableColumn id="21" name="Decision"/>
    <tableColumn id="22" name="Date de decision"/>
    <tableColumn id="23" name="Responsable"/>
    <tableColumn id="24" name="Statut"/>
  </tableColumns>
  <tableStyleInfo showFirstColumn="0" showLastColumn="0" showRowStripes="1" showColumnStripes="0"/>
</table>
</file>

<file path=xl/tables/table56.xml><?xml version="1.0" encoding="utf-8"?>
<table xmlns="http://schemas.openxmlformats.org/spreadsheetml/2006/main" id="98" name="tbl_Donateurs_Rapports" displayName="tbl_Donateurs_Rapports" ref="A449:G479" totalsRowShown="0">
  <autoFilter ref="A449:G479"/>
  <tableColumns count="7">
    <tableColumn id="1" name="ID Donateur"/>
    <tableColumn id="2" name="Projet"/>
    <tableColumn id="3" name="Type de rapport"/>
    <tableColumn id="4" name="Frequence"/>
    <tableColumn id="5" name="Date limite"/>
    <tableColumn id="6" name="Date de soumission"/>
    <tableColumn id="7" name="Statut"/>
  </tableColumns>
  <tableStyleInfo showFirstColumn="0" showLastColumn="0" showRowStripes="1" showColumnStripes="0"/>
</table>
</file>

<file path=xl/tables/table57.xml><?xml version="1.0" encoding="utf-8"?>
<table xmlns="http://schemas.openxmlformats.org/spreadsheetml/2006/main" id="99" name="tbl_Budget" displayName="tbl_Budget" ref="A27:BA67" totalsRowShown="0">
  <autoFilter ref="A27:BA67"/>
  <tableColumns count="53">
    <tableColumn id="1" name="ID Budget"/>
    <tableColumn id="2" name="Annee budgetaire"/>
    <tableColumn id="3" name="Exercice budgetaire"/>
    <tableColumn id="4" name="Date debut"/>
    <tableColumn id="5" name="Date fin"/>
    <tableColumn id="6" name="Statut"/>
    <tableColumn id="7" name="Type de budget"/>
    <tableColumn id="8" name="ID Projet"/>
    <tableColumn id="9" name="Nom du projet"/>
    <tableColumn id="10" name="Domaine"/>
    <tableColumn id="11" name="Responsable"/>
    <tableColumn id="12" name="ID Activite"/>
    <tableColumn id="13" name="Intitule activite"/>
    <tableColumn id="14" name="ID Donateur"/>
    <tableColumn id="15" name="Donateur"/>
    <tableColumn id="16" name="ID Financement"/>
    <tableColumn id="17" name="Source de financement"/>
    <tableColumn id="18" name="Type de financement"/>
    <tableColumn id="19" name="Categorie budgetaire"/>
    <tableColumn id="20" name="Code ligne"/>
    <tableColumn id="21" name="Libelle"/>
    <tableColumn id="22" name="Description"/>
    <tableColumn id="23" name="Unite"/>
    <tableColumn id="24" name="Quantite"/>
    <tableColumn id="25" name="Cout unitaire (FCFA)"/>
    <tableColumn id="26" name="Montant prevu (FCFA)"/>
    <tableColumn id="27" name="Montant soumis (FCFA)"/>
    <tableColumn id="28" name="Montant approuve (FCFA)"/>
    <tableColumn id="29" name="Ecart approbation (FCFA)"/>
    <tableColumn id="30" name="Budget revise (FCFA)"/>
    <tableColumn id="31" name="Date revision"/>
    <tableColumn id="32" name="Motif revision"/>
    <tableColumn id="33" name="Version budget"/>
    <tableColumn id="34" name="Autorite validation"/>
    <tableColumn id="35" name="Montant engage (FCFA)"/>
    <tableColumn id="36" name="Depenses realisees (FCFA)"/>
    <tableColumn id="37" name="Budget de reference (FCFA)"/>
    <tableColumn id="38" name="Solde budgetaire (FCFA)"/>
    <tableColumn id="39" name="Solde apres engagements (FCFA)"/>
    <tableColumn id="40" name="Taux d'execution (%)"/>
    <tableColumn id="41" name="Ecart budgetaire (FCFA)"/>
    <tableColumn id="42" name="Ecart (%)"/>
    <tableColumn id="43" name="Statut alerte"/>
    <tableColumn id="44" name="Contribution ONG (FCFA)"/>
    <tableColumn id="45" name="Contribution bailleur (FCFA)"/>
    <tableColumn id="46" name="Contribution partenaires (FCFA)"/>
    <tableColumn id="47" name="Autres contributions (FCFA)"/>
    <tableColumn id="48" name="Total cofinance (FCFA)"/>
    <tableColumn id="49" name="% Contribution ONG"/>
    <tableColumn id="50" name="% Contribution bailleur"/>
    <tableColumn id="51" name="Observations"/>
    <tableColumn id="52" name="Rang projet (technique)"/>
    <tableColumn id="53" name="Rang projet-annee (technique)"/>
  </tableColumns>
  <tableStyleInfo showFirstColumn="0" showLastColumn="0" showRowStripes="1" showColumnStripes="0"/>
</table>
</file>

<file path=xl/tables/table58.xml><?xml version="1.0" encoding="utf-8"?>
<table xmlns="http://schemas.openxmlformats.org/spreadsheetml/2006/main" id="100" name="tbl_Budget_Fonctionnement" displayName="tbl_Budget_Fonctionnement" ref="A285:E298" totalsRowShown="0">
  <autoFilter ref="A285:E298"/>
  <tableColumns count="5">
    <tableColumn id="1" name="Categorie"/>
    <tableColumn id="2" name="Montant prevu (FCFA)"/>
    <tableColumn id="3" name="Montant realise (FCFA)"/>
    <tableColumn id="4" name="Solde (FCFA)"/>
    <tableColumn id="5" name="Taux d'execution (%)"/>
  </tableColumns>
  <tableStyleInfo showFirstColumn="0" showLastColumn="0" showRowStripes="1" showColumnStripes="0"/>
</table>
</file>

<file path=xl/tables/table59.xml><?xml version="1.0" encoding="utf-8"?>
<table xmlns="http://schemas.openxmlformats.org/spreadsheetml/2006/main" id="101" name="tbl_Budget_Investissement" displayName="tbl_Budget_Investissement" ref="A301:I321" totalsRowShown="0">
  <autoFilter ref="A301:I321"/>
  <tableColumns count="9">
    <tableColumn id="1" name="ID Investissement"/>
    <tableColumn id="2" name="Immobilisation"/>
    <tableColumn id="3" name="Quantite"/>
    <tableColumn id="4" name="Cout unitaire (FCFA)"/>
    <tableColumn id="5" name="Montant (FCFA)"/>
    <tableColumn id="6" name="ID Projet"/>
    <tableColumn id="7" name="Date prevue"/>
    <tableColumn id="8" name="Statut"/>
    <tableColumn id="9" name="Observations"/>
  </tableColumns>
  <tableStyleInfo showFirstColumn="0" showLastColumn="0" showRowStripes="1" showColumnStripes="0"/>
</table>
</file>

<file path=xl/tables/table60.xml><?xml version="1.0" encoding="utf-8"?>
<table xmlns="http://schemas.openxmlformats.org/spreadsheetml/2006/main" id="102" name="tbl_Budget_ParCategorie" displayName="tbl_Budget_ParCategorie" ref="A199:E229" totalsRowShown="0">
  <autoFilter ref="A199:E229"/>
  <tableColumns count="5">
    <tableColumn id="1" name="Categorie budgetaire"/>
    <tableColumn id="2" name="Budget prevu (FCFA)"/>
    <tableColumn id="3" name="Depenses realisees (FCFA)"/>
    <tableColumn id="4" name="Solde (FCFA)"/>
    <tableColumn id="5" name="Taux d'execution (%)"/>
  </tableColumns>
  <tableStyleInfo showFirstColumn="0" showLastColumn="0" showRowStripes="1" showColumnStripes="0"/>
</table>
</file>

<file path=xl/tables/table61.xml><?xml version="1.0" encoding="utf-8"?>
<table xmlns="http://schemas.openxmlformats.org/spreadsheetml/2006/main" id="103" name="tbl_Budget_ParDomaine" displayName="tbl_Budget_ParDomaine" ref="A156:E196" totalsRowShown="0">
  <autoFilter ref="A156:E196"/>
  <tableColumns count="5">
    <tableColumn id="1" name="Domaine"/>
    <tableColumn id="2" name="Budget prevu (FCFA)"/>
    <tableColumn id="3" name="Depenses realisees (FCFA)"/>
    <tableColumn id="4" name="Solde (FCFA)"/>
    <tableColumn id="5" name="Taux d'execution (%)"/>
  </tableColumns>
  <tableStyleInfo showFirstColumn="0" showLastColumn="0" showRowStripes="1" showColumnStripes="0"/>
</table>
</file>

<file path=xl/tables/table62.xml><?xml version="1.0" encoding="utf-8"?>
<table xmlns="http://schemas.openxmlformats.org/spreadsheetml/2006/main" id="104" name="tbl_Budget_ParDonateur" displayName="tbl_Budget_ParDonateur" ref="A232:F282" totalsRowShown="0">
  <autoFilter ref="A232:F282"/>
  <tableColumns count="6">
    <tableColumn id="1" name="ID Donateur"/>
    <tableColumn id="2" name="Donateur"/>
    <tableColumn id="3" name="Budget prevu (FCFA)"/>
    <tableColumn id="4" name="Financement recu (FCFA)"/>
    <tableColumn id="5" name="Depenses realisees (FCFA)"/>
    <tableColumn id="6" name="Solde (FCFA)"/>
  </tableColumns>
  <tableStyleInfo showFirstColumn="0" showLastColumn="0" showRowStripes="1" showColumnStripes="0"/>
</table>
</file>

<file path=xl/tables/table63.xml><?xml version="1.0" encoding="utf-8"?>
<table xmlns="http://schemas.openxmlformats.org/spreadsheetml/2006/main" id="105" name="tbl_Budget_ParProjet" displayName="tbl_Budget_ParProjet" ref="A113:H153" totalsRowShown="0">
  <autoFilter ref="A113:H153"/>
  <tableColumns count="8">
    <tableColumn id="1" name="ID Projet"/>
    <tableColumn id="2" name="Nom du projet"/>
    <tableColumn id="3" name="Budget prevu (FCFA)"/>
    <tableColumn id="4" name="Budget approuve/revise (FCFA)"/>
    <tableColumn id="5" name="Montant engage (FCFA)"/>
    <tableColumn id="6" name="Depenses realisees (FCFA)"/>
    <tableColumn id="7" name="Solde (FCFA)"/>
    <tableColumn id="8" name="Taux d'execution (%)"/>
  </tableColumns>
  <tableStyleInfo showFirstColumn="0" showLastColumn="0" showRowStripes="1" showColumnStripes="0"/>
</table>
</file>

<file path=xl/tables/table64.xml><?xml version="1.0" encoding="utf-8"?>
<table xmlns="http://schemas.openxmlformats.org/spreadsheetml/2006/main" id="106" name="tbl_Budget_Repartition" displayName="tbl_Budget_Repartition" ref="A70:T110" totalsRowShown="0">
  <autoFilter ref="A70:T110"/>
  <tableColumns count="20">
    <tableColumn id="1" name="ID Budget"/>
    <tableColumn id="2" name="Code ligne"/>
    <tableColumn id="3" name="Libelle"/>
    <tableColumn id="4" name="Jan"/>
    <tableColumn id="5" name="Fev"/>
    <tableColumn id="6" name="Mar"/>
    <tableColumn id="7" name="Avr"/>
    <tableColumn id="8" name="Mai"/>
    <tableColumn id="9" name="Jun"/>
    <tableColumn id="10" name="Jul"/>
    <tableColumn id="11" name="Aou"/>
    <tableColumn id="12" name="Sep"/>
    <tableColumn id="13" name="Oct"/>
    <tableColumn id="14" name="Nov"/>
    <tableColumn id="15" name="Dec"/>
    <tableColumn id="16" name="T1"/>
    <tableColumn id="17" name="T2"/>
    <tableColumn id="18" name="T3"/>
    <tableColumn id="19" name="T4"/>
    <tableColumn id="20" name="Total annuel (FCFA)"/>
  </tableColumns>
  <tableStyleInfo showFirstColumn="0" showLastColumn="0" showRowStripes="1" showColumnStripes="0"/>
</table>
</file>

<file path=xl/tables/table65.xml><?xml version="1.0" encoding="utf-8"?>
<table xmlns="http://schemas.openxmlformats.org/spreadsheetml/2006/main" id="107" name="tbl_Budget_Revisions" displayName="tbl_Budget_Revisions" ref="A324:G354" totalsRowShown="0">
  <autoFilter ref="A324:G354"/>
  <tableColumns count="7">
    <tableColumn id="1" name="ID Budget"/>
    <tableColumn id="2" name="Version"/>
    <tableColumn id="3" name="Date revision"/>
    <tableColumn id="4" name="Montant revise (FCFA)"/>
    <tableColumn id="5" name="Motif"/>
    <tableColumn id="6" name="Valide par"/>
    <tableColumn id="7" name="Statut"/>
  </tableColumns>
  <tableStyleInfo showFirstColumn="0" showLastColumn="0" showRowStripes="1" showColumnStripes="0"/>
</table>
</file>

<file path=xl/tables/table66.xml><?xml version="1.0" encoding="utf-8"?>
<table xmlns="http://schemas.openxmlformats.org/spreadsheetml/2006/main" id="108" name="tbl_Recettes" displayName="tbl_Recettes" ref="A38:BH88" totalsRowShown="0">
  <autoFilter ref="A38:BH88"/>
  <tableColumns count="60">
    <tableColumn id="1" name="ID Recette"/>
    <tableColumn id="2" name="ID Decaissement (DONATEURS)"/>
    <tableColumn id="3" name="ID Financement"/>
    <tableColumn id="4" name="ID Donateur"/>
    <tableColumn id="5" name="Nom du donateur"/>
    <tableColumn id="6" name="Type de donateur"/>
    <tableColumn id="7" name="Pays"/>
    <tableColumn id="8" name="ID Projet"/>
    <tableColumn id="9" name="Nom du projet"/>
    <tableColumn id="10" name="Domaine"/>
    <tableColumn id="11" name="Responsable projet"/>
    <tableColumn id="12" name="ID Activite"/>
    <tableColumn id="13" name="Intitule activite"/>
    <tableColumn id="14" name="ID Budget (ligne budgetaire)"/>
    <tableColumn id="15" name="Type d'operation"/>
    <tableColumn id="16" name="Source de financement"/>
    <tableColumn id="17" name="Type de financement"/>
    <tableColumn id="18" name="Financement affecte"/>
    <tableColumn id="19" name="Recette propre"/>
    <tableColumn id="20" name="Date operation (effective)"/>
    <tableColumn id="21" name="Date prevue"/>
    <tableColumn id="22" name="Annee"/>
    <tableColumn id="23" name="Trimestre"/>
    <tableColumn id="24" name="Mois"/>
    <tableColumn id="25" name="Devise"/>
    <tableColumn id="26" name="Taux de change"/>
    <tableColumn id="27" name="Montant recu (devise orig.)"/>
    <tableColumn id="28" name="Montant recu (FCFA)"/>
    <tableColumn id="29" name="Montant attendu (FCFA)"/>
    <tableColumn id="30" name="Solde a recevoir (FCFA)"/>
    <tableColumn id="31" name="Statut de la recette"/>
    <tableColumn id="32" name="Moyen de reception"/>
    <tableColumn id="33" name="Banque"/>
    <tableColumn id="34" name="Compte / reference compte"/>
    <tableColumn id="35" name="Agence"/>
    <tableColumn id="36" name="Reference transaction"/>
    <tableColumn id="37" name="Numero de recu"/>
    <tableColumn id="38" name="Date de valeur"/>
    <tableColumn id="39" name="Piece justificative - type"/>
    <tableColumn id="40" name="Piece justificative - reference"/>
    <tableColumn id="41" name="Piece justificative - date"/>
    <tableColumn id="42" name="Piece justificative - statut"/>
    <tableColumn id="43" name="Piece justificative - lien/emplacement"/>
    <tableColumn id="44" name="Responsable du suivi"/>
    <tableColumn id="45" name="Fonction responsable"/>
    <tableColumn id="46" name="Derniere relance"/>
    <tableColumn id="47" name="Prochaine relance"/>
    <tableColumn id="48" name="Nombre de relances"/>
    <tableColumn id="49" name="Moyen de contact relance"/>
    <tableColumn id="50" name="Resultat relance"/>
    <tableColumn id="51" name="Commentaire relance"/>
    <tableColumn id="52" name="Rapprochement - Enregistree"/>
    <tableColumn id="53" name="Rapprochement - Sur releve"/>
    <tableColumn id="54" name="Rapprochement - Rapprochee"/>
    <tableColumn id="55" name="Date de rapprochement"/>
    <tableColumn id="56" name="Responsable rapprochement"/>
    <tableColumn id="57" name="Statut alerte"/>
    <tableColumn id="58" name="Observations"/>
    <tableColumn id="59" name="Rang donateur (technique)"/>
    <tableColumn id="60" name="Rang projet (technique)"/>
  </tableColumns>
  <tableStyleInfo showFirstColumn="0" showLastColumn="0" showRowStripes="1" showColumnStripes="0"/>
</table>
</file>

<file path=xl/tables/table67.xml><?xml version="1.0" encoding="utf-8"?>
<table xmlns="http://schemas.openxmlformats.org/spreadsheetml/2006/main" id="109" name="tbl_RH" displayName="tbl_RH" ref="A26:AQ76" totalsRowShown="0">
  <autoFilter ref="A26:AQ76"/>
  <tableColumns count="43">
    <tableColumn id="1" name="ID RH"/>
    <tableColumn id="2" name="Nom"/>
    <tableColumn id="3" name="Postnom"/>
    <tableColumn id="4" name="Prenom"/>
    <tableColumn id="5" name="Nom complet"/>
    <tableColumn id="6" name="Sexe"/>
    <tableColumn id="7" name="Date de naissance"/>
    <tableColumn id="8" name="Age"/>
    <tableColumn id="9" name="Nationalite"/>
    <tableColumn id="10" name="Etat civil"/>
    <tableColumn id="11" name="Telephone"/>
    <tableColumn id="12" name="E-mail"/>
    <tableColumn id="13" name="Adresse"/>
    <tableColumn id="14" name="Ville"/>
    <tableColumn id="15" name="Type de collaboration"/>
    <tableColumn id="16" name="Statut"/>
    <tableColumn id="17" name="Fonction"/>
    <tableColumn id="18" name="Poste / intitule precis"/>
    <tableColumn id="19" name="Departement / Service"/>
    <tableColumn id="20" name="Niveau hierarchique"/>
    <tableColumn id="21" name="Responsable direct"/>
    <tableColumn id="22" name="Date d'entree"/>
    <tableColumn id="23" name="Annee d'entree"/>
    <tableColumn id="24" name="Anciennete"/>
    <tableColumn id="25" name="Type de contrat"/>
    <tableColumn id="26" name="Reference contrat"/>
    <tableColumn id="27" name="Date debut contrat"/>
    <tableColumn id="28" name="Date fin contrat"/>
    <tableColumn id="29" name="Duree contrat"/>
    <tableColumn id="30" name="Renouvelable"/>
    <tableColumn id="31" name="Statut du contrat"/>
    <tableColumn id="32" name="Salaire / honoraires de base (FCFA)"/>
    <tableColumn id="33" name="Devise"/>
    <tableColumn id="34" name="Frequence de paiement"/>
    <tableColumn id="35" name="Indemnites (FCFA)"/>
    <tableColumn id="36" name="Primes (FCFA)"/>
    <tableColumn id="37" name="Total brut (FCFA)"/>
    <tableColumn id="38" name="Contact d'urgence - Nom"/>
    <tableColumn id="39" name="Contact d'urgence - Relation"/>
    <tableColumn id="40" name="Contact d'urgence - Telephone"/>
    <tableColumn id="41" name="Date de depart"/>
    <tableColumn id="42" name="Motif de depart"/>
    <tableColumn id="43" name="Observations"/>
  </tableColumns>
  <tableStyleInfo showFirstColumn="0" showLastColumn="0" showRowStripes="1" showColumnStripes="0"/>
</table>
</file>

<file path=xl/tables/table68.xml><?xml version="1.0" encoding="utf-8"?>
<table xmlns="http://schemas.openxmlformats.org/spreadsheetml/2006/main" id="110" name="tbl_RH_AffectationsActivites" displayName="tbl_RH_AffectationsActivites" ref="A112:G142" totalsRowShown="0">
  <autoFilter ref="A112:G142"/>
  <tableColumns count="7">
    <tableColumn id="1" name="ID"/>
    <tableColumn id="2" name="ID RH"/>
    <tableColumn id="3" name="ID Activite"/>
    <tableColumn id="4" name="Activite"/>
    <tableColumn id="5" name="Role"/>
    <tableColumn id="6" name="Date"/>
    <tableColumn id="7" name="Responsable"/>
  </tableColumns>
  <tableStyleInfo showFirstColumn="0" showLastColumn="0" showRowStripes="1" showColumnStripes="0"/>
</table>
</file>

<file path=xl/tables/table69.xml><?xml version="1.0" encoding="utf-8"?>
<table xmlns="http://schemas.openxmlformats.org/spreadsheetml/2006/main" id="111" name="tbl_RH_AffectationsProjets" displayName="tbl_RH_AffectationsProjets" ref="A79:I109" totalsRowShown="0">
  <autoFilter ref="A79:I109"/>
  <tableColumns count="9">
    <tableColumn id="1" name="ID"/>
    <tableColumn id="2" name="ID RH"/>
    <tableColumn id="3" name="ID Projet"/>
    <tableColumn id="4" name="Projet"/>
    <tableColumn id="5" name="Fonction sur le projet"/>
    <tableColumn id="6" name="Date debut"/>
    <tableColumn id="7" name="Date fin"/>
    <tableColumn id="8" name="% affectation"/>
    <tableColumn id="9" name="Statut"/>
  </tableColumns>
  <tableStyleInfo showFirstColumn="0" showLastColumn="0" showRowStripes="1" showColumnStripes="0"/>
</table>
</file>

<file path=xl/tables/table70.xml><?xml version="1.0" encoding="utf-8"?>
<table xmlns="http://schemas.openxmlformats.org/spreadsheetml/2006/main" id="112" name="tbl_RH_Competences" displayName="tbl_RH_Competences" ref="A178:G208" totalsRowShown="0">
  <autoFilter ref="A178:G208"/>
  <tableColumns count="7">
    <tableColumn id="1" name="ID"/>
    <tableColumn id="2" name="ID RH"/>
    <tableColumn id="3" name="Competence"/>
    <tableColumn id="4" name="Niveau"/>
    <tableColumn id="5" name="Annee d'acquisition"/>
    <tableColumn id="6" name="Certification"/>
    <tableColumn id="7" name="Date expiration"/>
  </tableColumns>
  <tableStyleInfo showFirstColumn="0" showLastColumn="0" showRowStripes="1" showColumnStripes="0"/>
</table>
</file>

<file path=xl/tables/table71.xml><?xml version="1.0" encoding="utf-8"?>
<table xmlns="http://schemas.openxmlformats.org/spreadsheetml/2006/main" id="113" name="tbl_RH_Conges" displayName="tbl_RH_Conges" ref="A277:I307" totalsRowShown="0">
  <autoFilter ref="A277:I307"/>
  <tableColumns count="9">
    <tableColumn id="1" name="ID"/>
    <tableColumn id="2" name="ID RH"/>
    <tableColumn id="3" name="Type de conge"/>
    <tableColumn id="4" name="Date debut"/>
    <tableColumn id="5" name="Date fin"/>
    <tableColumn id="6" name="Nb jours"/>
    <tableColumn id="7" name="Motif"/>
    <tableColumn id="8" name="Statut"/>
    <tableColumn id="9" name="Validateur"/>
  </tableColumns>
  <tableStyleInfo showFirstColumn="0" showLastColumn="0" showRowStripes="1" showColumnStripes="0"/>
</table>
</file>

<file path=xl/tables/table72.xml><?xml version="1.0" encoding="utf-8"?>
<table xmlns="http://schemas.openxmlformats.org/spreadsheetml/2006/main" id="114" name="tbl_RH_Diplomes" displayName="tbl_RH_Diplomes" ref="A211:G241" totalsRowShown="0">
  <autoFilter ref="A211:G241"/>
  <tableColumns count="7">
    <tableColumn id="1" name="ID"/>
    <tableColumn id="2" name="ID RH"/>
    <tableColumn id="3" name="Diplome"/>
    <tableColumn id="4" name="Domaine"/>
    <tableColumn id="5" name="Institution"/>
    <tableColumn id="6" name="Annee"/>
    <tableColumn id="7" name="Niveau"/>
  </tableColumns>
  <tableStyleInfo showFirstColumn="0" showLastColumn="0" showRowStripes="1" showColumnStripes="0"/>
</table>
</file>

<file path=xl/tables/table73.xml><?xml version="1.0" encoding="utf-8"?>
<table xmlns="http://schemas.openxmlformats.org/spreadsheetml/2006/main" id="115" name="tbl_RH_Documents" displayName="tbl_RH_Documents" ref="A399:G429" totalsRowShown="0">
  <autoFilter ref="A399:G429"/>
  <tableColumns count="7">
    <tableColumn id="1" name="ID"/>
    <tableColumn id="2" name="ID RH"/>
    <tableColumn id="3" name="Type de document"/>
    <tableColumn id="4" name="Reference"/>
    <tableColumn id="5" name="Date"/>
    <tableColumn id="6" name="Disponible"/>
    <tableColumn id="7" name="Lien / emplacement"/>
  </tableColumns>
  <tableStyleInfo showFirstColumn="0" showLastColumn="0" showRowStripes="1" showColumnStripes="0"/>
</table>
</file>

<file path=xl/tables/table74.xml><?xml version="1.0" encoding="utf-8"?>
<table xmlns="http://schemas.openxmlformats.org/spreadsheetml/2006/main" id="116" name="tbl_RH_Evaluations" displayName="tbl_RH_Evaluations" ref="A244:K274" totalsRowShown="0">
  <autoFilter ref="A244:K274"/>
  <tableColumns count="11">
    <tableColumn id="1" name="ID"/>
    <tableColumn id="2" name="ID RH"/>
    <tableColumn id="3" name="Date"/>
    <tableColumn id="4" name="Evaluateur"/>
    <tableColumn id="5" name="Performance"/>
    <tableColumn id="6" name="Objectifs"/>
    <tableColumn id="7" name="Resultats"/>
    <tableColumn id="8" name="Points forts"/>
    <tableColumn id="9" name="Points a ameliorer"/>
    <tableColumn id="10" name="Note (/5)"/>
    <tableColumn id="11" name="Commentaire"/>
  </tableColumns>
  <tableStyleInfo showFirstColumn="0" showLastColumn="0" showRowStripes="1" showColumnStripes="0"/>
</table>
</file>

<file path=xl/tables/table75.xml><?xml version="1.0" encoding="utf-8"?>
<table xmlns="http://schemas.openxmlformats.org/spreadsheetml/2006/main" id="117" name="tbl_RH_Formations" displayName="tbl_RH_Formations" ref="A145:H175" totalsRowShown="0">
  <autoFilter ref="A145:H175"/>
  <tableColumns count="8">
    <tableColumn id="1" name="ID formation"/>
    <tableColumn id="2" name="ID RH"/>
    <tableColumn id="3" name="Formation"/>
    <tableColumn id="4" name="Organisme"/>
    <tableColumn id="5" name="Date"/>
    <tableColumn id="6" name="Duree"/>
    <tableColumn id="7" name="Cout (FCFA)"/>
    <tableColumn id="8" name="Certificat obtenu"/>
  </tableColumns>
  <tableStyleInfo showFirstColumn="0" showLastColumn="0" showRowStripes="1" showColumnStripes="0"/>
</table>
</file>

<file path=xl/tables/table76.xml><?xml version="1.0" encoding="utf-8"?>
<table xmlns="http://schemas.openxmlformats.org/spreadsheetml/2006/main" id="118" name="tbl_RH_HommesFemmes" displayName="tbl_RH_HommesFemmes" ref="A477:C480" totalsRowShown="0">
  <autoFilter ref="A477:C480"/>
  <tableColumns count="3">
    <tableColumn id="1" name="Sexe"/>
    <tableColumn id="2" name="Nombre"/>
    <tableColumn id="3" name="%"/>
  </tableColumns>
  <tableStyleInfo showFirstColumn="0" showLastColumn="0" showRowStripes="1" showColumnStripes="0"/>
</table>
</file>

<file path=xl/tables/table77.xml><?xml version="1.0" encoding="utf-8"?>
<table xmlns="http://schemas.openxmlformats.org/spreadsheetml/2006/main" id="119" name="tbl_RH_Missions" displayName="tbl_RH_Missions" ref="A310:J340" totalsRowShown="0">
  <autoFilter ref="A310:J340"/>
  <tableColumns count="10">
    <tableColumn id="1" name="ID mission"/>
    <tableColumn id="2" name="ID RH"/>
    <tableColumn id="3" name="Destination"/>
    <tableColumn id="4" name="Objet"/>
    <tableColumn id="5" name="ID Projet"/>
    <tableColumn id="6" name="Date depart"/>
    <tableColumn id="7" name="Date retour"/>
    <tableColumn id="8" name="Statut"/>
    <tableColumn id="9" name="Budget mission (FCFA)"/>
    <tableColumn id="10" name="Rapport disponible"/>
  </tableColumns>
  <tableStyleInfo showFirstColumn="0" showLastColumn="0" showRowStripes="1" showColumnStripes="0"/>
</table>
</file>

<file path=xl/tables/table78.xml><?xml version="1.0" encoding="utf-8"?>
<table xmlns="http://schemas.openxmlformats.org/spreadsheetml/2006/main" id="120" name="tbl_RH_Paiements" displayName="tbl_RH_Paiements" ref="A343:H373" totalsRowShown="0">
  <autoFilter ref="A343:H373"/>
  <tableColumns count="8">
    <tableColumn id="1" name="ID"/>
    <tableColumn id="2" name="ID RH"/>
    <tableColumn id="3" name="Periode"/>
    <tableColumn id="4" name="Montant prevu (FCFA)"/>
    <tableColumn id="5" name="Montant paye (FCFA)"/>
    <tableColumn id="6" name="Date de paiement"/>
    <tableColumn id="7" name="Statut"/>
    <tableColumn id="8" name="Reference"/>
  </tableColumns>
  <tableStyleInfo showFirstColumn="0" showLastColumn="0" showRowStripes="1" showColumnStripes="0"/>
</table>
</file>

<file path=xl/tables/table79.xml><?xml version="1.0" encoding="utf-8"?>
<table xmlns="http://schemas.openxmlformats.org/spreadsheetml/2006/main" id="121" name="tbl_RH_ParProjet" displayName="tbl_RH_ParProjet" ref="A458:C473" totalsRowShown="0">
  <autoFilter ref="A458:C473"/>
  <tableColumns count="3">
    <tableColumn id="1" name="Projet"/>
    <tableColumn id="2" name="Effectif affecte"/>
    <tableColumn id="3" name="% moyen d'affectation"/>
  </tableColumns>
  <tableStyleInfo showFirstColumn="0" showLastColumn="0" showRowStripes="1" showColumnStripes="0"/>
</table>
</file>

<file path=xl/tables/table80.xml><?xml version="1.0" encoding="utf-8"?>
<table xmlns="http://schemas.openxmlformats.org/spreadsheetml/2006/main" id="122" name="tbl_RH_ParService" displayName="tbl_RH_ParService" ref="A443:B454" totalsRowShown="0">
  <autoFilter ref="A443:B454"/>
  <tableColumns count="2">
    <tableColumn id="1" name="Service / Departement"/>
    <tableColumn id="2" name="Effectif"/>
  </tableColumns>
  <tableStyleInfo showFirstColumn="0" showLastColumn="0" showRowStripes="1" showColumnStripes="0"/>
</table>
</file>

<file path=xl/tables/table81.xml><?xml version="1.0" encoding="utf-8"?>
<table xmlns="http://schemas.openxmlformats.org/spreadsheetml/2006/main" id="123" name="tbl_RH_Presence" displayName="tbl_RH_Presence" ref="A376:E396" totalsRowShown="0">
  <autoFilter ref="A376:E396"/>
  <tableColumns count="5">
    <tableColumn id="1" name="ID"/>
    <tableColumn id="2" name="ID RH"/>
    <tableColumn id="3" name="Date"/>
    <tableColumn id="4" name="Statut"/>
    <tableColumn id="5" name="Observation"/>
  </tableColumns>
  <tableStyleInfo showFirstColumn="0" showLastColumn="0" showRowStripes="1" showColumnStripes="0"/>
</table>
</file>

<file path=xl/tables/table82.xml><?xml version="1.0" encoding="utf-8"?>
<table xmlns="http://schemas.openxmlformats.org/spreadsheetml/2006/main" id="124" name="tbl_RH_SyntheseRH" displayName="tbl_RH_SyntheseRH" ref="A432:B439" totalsRowShown="0">
  <autoFilter ref="A432:B439"/>
  <tableColumns count="2">
    <tableColumn id="1" name="Indicateur"/>
    <tableColumn id="2" name="Nombre"/>
  </tableColumns>
  <tableStyleInfo showFirstColumn="0" showLastColumn="0" showRowStripes="1" showColumnStripes="0"/>
</table>
</file>

<file path=xl/tables/table83.xml><?xml version="1.0" encoding="utf-8"?>
<table xmlns="http://schemas.openxmlformats.org/spreadsheetml/2006/main" id="125" name="tbl_SuiviEval_Evaluations" displayName="tbl_SuiviEval_Evaluations" ref="A156:I171" totalsRowShown="0">
  <autoFilter ref="A156:I171"/>
  <tableColumns count="9">
    <tableColumn id="1" name="Type d'evaluation"/>
    <tableColumn id="2" name="Date"/>
    <tableColumn id="3" name="Evaluateur"/>
    <tableColumn id="4" name="ID Projet"/>
    <tableColumn id="5" name="Nom du projet"/>
    <tableColumn id="6" name="Methodologie"/>
    <tableColumn id="7" name="Principaux resultats"/>
    <tableColumn id="8" name="Conclusions"/>
    <tableColumn id="9" name="Recommandations"/>
  </tableColumns>
  <tableStyleInfo showFirstColumn="0" showLastColumn="0" showRowStripes="1" showColumnStripes="0"/>
</table>
</file>

<file path=xl/tables/table84.xml><?xml version="1.0" encoding="utf-8"?>
<table xmlns="http://schemas.openxmlformats.org/spreadsheetml/2006/main" id="126" name="tbl_SuiviEval_Indicateurs" displayName="tbl_SuiviEval_Indicateurs" ref="A54:AZ104" totalsRowShown="0">
  <autoFilter ref="A54:AZ104"/>
  <tableColumns count="52">
    <tableColumn id="1" name="ID Indicateur"/>
    <tableColumn id="2" name="ID Projet"/>
    <tableColumn id="3" name="Nom du projet"/>
    <tableColumn id="4" name="Domaine d'intervention"/>
    <tableColumn id="5" name="Statut du projet"/>
    <tableColumn id="6" name="ID Activite"/>
    <tableColumn id="7" name="Activite liee"/>
    <tableColumn id="8" name="Statut de l'activite"/>
    <tableColumn id="9" name="Niveau (chaine de resultats)"/>
    <tableColumn id="10" name="Objectif general"/>
    <tableColumn id="11" name="Objectif specifique"/>
    <tableColumn id="12" name="Resultat / produit attendu"/>
    <tableColumn id="13" name="Intitule de l'indicateur"/>
    <tableColumn id="14" name="Definition"/>
    <tableColumn id="15" name="Type d'indicateur"/>
    <tableColumn id="16" name="Unite de mesure"/>
    <tableColumn id="17" name="Methode de calcul"/>
    <tableColumn id="18" name="Frequence de suivi"/>
    <tableColumn id="19" name="ID responsable"/>
    <tableColumn id="20" name="Nom du responsable"/>
    <tableColumn id="21" name="Fonction du responsable"/>
    <tableColumn id="22" name="Valeur de reference (baseline)"/>
    <tableColumn id="23" name="Annee baseline"/>
    <tableColumn id="24" name="Source baseline"/>
    <tableColumn id="25" name="Cible globale"/>
    <tableColumn id="26" name="Cible periode"/>
    <tableColumn id="27" name="Realisation"/>
    <tableColumn id="28" name="Date de mesure"/>
    <tableColumn id="29" name="Periode"/>
    <tableColumn id="30" name="Taux de realisation"/>
    <tableColumn id="31" name="Ecart"/>
    <tableColumn id="32" name="Ecart (%)"/>
    <tableColumn id="33" name="Performance"/>
    <tableColumn id="34" name="Statut cible"/>
    <tableColumn id="35" name="Beneficiaires cibles"/>
    <tableColumn id="36" name="Beneficiaires atteints"/>
    <tableColumn id="37" name="Hommes atteints"/>
    <tableColumn id="38" name="Femmes atteintes"/>
    <tableColumn id="39" name="Jeunes atteints"/>
    <tableColumn id="40" name="Taux de couverture"/>
    <tableColumn id="41" name="Localite"/>
    <tableColumn id="42" name="Departement"/>
    <tableColumn id="43" name="Commune"/>
    <tableColumn id="44" name="Source de verification"/>
    <tableColumn id="45" name="Methode de collecte"/>
    <tableColumn id="46" name="Outil utilise"/>
    <tableColumn id="47" name="Date de collecte"/>
    <tableColumn id="48" name="Collecteur"/>
    <tableColumn id="49" name="Qualite des donnees"/>
    <tableColumn id="50" name="Risque / probleme lie"/>
    <tableColumn id="51" name="Alerte"/>
    <tableColumn id="52" name="Observations"/>
  </tableColumns>
  <tableStyleInfo showFirstColumn="0" showLastColumn="0" showRowStripes="1" showColumnStripes="0"/>
</table>
</file>

<file path=xl/tables/table85.xml><?xml version="1.0" encoding="utf-8"?>
<table xmlns="http://schemas.openxmlformats.org/spreadsheetml/2006/main" id="127" name="tbl_SuiviEval_Lecons" displayName="tbl_SuiviEval_Lecons" ref="A132:I152" totalsRowShown="0">
  <autoFilter ref="A132:I152"/>
  <tableColumns count="9">
    <tableColumn id="1" name="Date"/>
    <tableColumn id="2" name="ID Projet"/>
    <tableColumn id="3" name="Nom du projet"/>
    <tableColumn id="4" name="Situation / Contexte"/>
    <tableColumn id="5" name="Lecon apprise"/>
    <tableColumn id="6" name="Ce qui a fonctionne"/>
    <tableColumn id="7" name="Ce qui n'a pas fonctionne"/>
    <tableColumn id="8" name="Bonne pratique / Innovation"/>
    <tableColumn id="9" name="Recommandation"/>
  </tableColumns>
  <tableStyleInfo showFirstColumn="0" showLastColumn="0" showRowStripes="1" showColumnStripes="0"/>
</table>
</file>

<file path=xl/tables/table86.xml><?xml version="1.0" encoding="utf-8"?>
<table xmlns="http://schemas.openxmlformats.org/spreadsheetml/2006/main" id="128" name="tbl_SuiviEval_ParProjet" displayName="tbl_SuiviEval_ParProjet" ref="A11:G51" totalsRowShown="0">
  <autoFilter ref="A11:G51"/>
  <tableColumns count="7">
    <tableColumn id="1" name="ID Projet"/>
    <tableColumn id="2" name="Nom du projet"/>
    <tableColumn id="3" name="Indicateurs suivis"/>
    <tableColumn id="4" name="Cibles atteintes"/>
    <tableColumn id="5" name="Taux moyen de realisation"/>
    <tableColumn id="6" name="Beneficiaires atteints"/>
    <tableColumn id="7" name="Statut global"/>
  </tableColumns>
  <tableStyleInfo showFirstColumn="0" showLastColumn="0" showRowStripes="1" showColumnStripes="0"/>
</table>
</file>

<file path=xl/tables/table87.xml><?xml version="1.0" encoding="utf-8"?>
<table xmlns="http://schemas.openxmlformats.org/spreadsheetml/2006/main" id="129" name="tbl_SuiviEval_Risques" displayName="tbl_SuiviEval_Risques" ref="A108:L128" totalsRowShown="0">
  <autoFilter ref="A108:L128"/>
  <tableColumns count="12">
    <tableColumn id="1" name="Date"/>
    <tableColumn id="2" name="ID Projet"/>
    <tableColumn id="3" name="Nom du projet"/>
    <tableColumn id="4" name="Risque / Probleme"/>
    <tableColumn id="5" name="Niveau de risque"/>
    <tableColumn id="6" name="Cause"/>
    <tableColumn id="7" name="Action corrective"/>
    <tableColumn id="8" name="ID Responsable"/>
    <tableColumn id="9" name="Nom du responsable"/>
    <tableColumn id="10" name="Echeance"/>
    <tableColumn id="11" name="Statut"/>
    <tableColumn id="12" name="Resultat obtenu"/>
  </tableColumns>
  <tableStyleInfo showFirstColumn="0" showLastColumn="0" showRowStripes="1" showColumnStripes="0"/>
</table>
</file>

<file path=xl/tables/table88.xml><?xml version="1.0" encoding="utf-8"?>
<table xmlns="http://schemas.openxmlformats.org/spreadsheetml/2006/main" id="1" name="tbl_Annees" displayName="tbl_Annees" ref="A38:C48" totalsRowShown="0">
  <autoFilter ref="A38:C48"/>
  <tableColumns count="3">
    <tableColumn id="1" name="Code"/>
    <tableColumn id="2" name="Annee"/>
    <tableColumn id="3" name="Statut"/>
  </tableColumns>
  <tableStyleInfo showFirstColumn="0" showLastColumn="0" showRowStripes="1" showColumnStripes="0"/>
</table>
</file>

<file path=xl/tables/table89.xml><?xml version="1.0" encoding="utf-8"?>
<table xmlns="http://schemas.openxmlformats.org/spreadsheetml/2006/main" id="2" name="tbl_CategoriesBeneficiaires" displayName="tbl_CategoriesBeneficiaires" ref="A207:D237" totalsRowShown="0">
  <autoFilter ref="A207:D237"/>
  <tableColumns count="4">
    <tableColumn id="1" name="Code"/>
    <tableColumn id="2" name="Libelle"/>
    <tableColumn id="3" name="Statut"/>
    <tableColumn id="4" name="Ordre"/>
  </tableColumns>
  <tableStyleInfo showFirstColumn="0" showLastColumn="0" showRowStripes="1" showColumnStripes="0"/>
</table>
</file>

<file path=xl/tables/table90.xml><?xml version="1.0" encoding="utf-8"?>
<table xmlns="http://schemas.openxmlformats.org/spreadsheetml/2006/main" id="3" name="tbl_CategoriesDepenses" displayName="tbl_CategoriesDepenses" ref="A326:D357" totalsRowShown="0">
  <autoFilter ref="A326:D357"/>
  <tableColumns count="4">
    <tableColumn id="1" name="Code"/>
    <tableColumn id="2" name="Libelle"/>
    <tableColumn id="3" name="Statut"/>
    <tableColumn id="4" name="Ordre"/>
  </tableColumns>
  <tableStyleInfo showFirstColumn="0" showLastColumn="0" showRowStripes="1" showColumnStripes="0"/>
</table>
</file>

<file path=xl/tables/table91.xml><?xml version="1.0" encoding="utf-8"?>
<table xmlns="http://schemas.openxmlformats.org/spreadsheetml/2006/main" id="4" name="tbl_Domaines" displayName="tbl_Domaines" ref="A104:F145" totalsRowShown="0">
  <autoFilter ref="A104:F145"/>
  <tableColumns count="6">
    <tableColumn id="1" name="Code"/>
    <tableColumn id="2" name="Libelle"/>
    <tableColumn id="3" name="Description"/>
    <tableColumn id="4" name="Domaine prioritaire BK"/>
    <tableColumn id="5" name="Statut"/>
    <tableColumn id="6" name="Ordre"/>
  </tableColumns>
  <tableStyleInfo showFirstColumn="0" showLastColumn="0" showRowStripes="1" showColumnStripes="0"/>
</table>
</file>

<file path=xl/tables/table92.xml><?xml version="1.0" encoding="utf-8"?>
<table xmlns="http://schemas.openxmlformats.org/spreadsheetml/2006/main" id="5" name="tbl_FiltreAnnees" displayName="tbl_FiltreAnnees" ref="A737:B749" totalsRowShown="0">
  <autoFilter ref="A737:B749"/>
  <tableColumns count="2">
    <tableColumn id="1" name="Code"/>
    <tableColumn id="2" name="Valeur"/>
  </tableColumns>
  <tableStyleInfo showFirstColumn="0" showLastColumn="0" showRowStripes="1" showColumnStripes="0"/>
</table>
</file>

<file path=xl/tables/table93.xml><?xml version="1.0" encoding="utf-8"?>
<table xmlns="http://schemas.openxmlformats.org/spreadsheetml/2006/main" id="6" name="tbl_Fonctions" displayName="tbl_Fonctions" ref="A395:D425" totalsRowShown="0">
  <autoFilter ref="A395:D425"/>
  <tableColumns count="4">
    <tableColumn id="1" name="Code"/>
    <tableColumn id="2" name="Libelle"/>
    <tableColumn id="3" name="Statut"/>
    <tableColumn id="4" name="Ordre"/>
  </tableColumns>
  <tableStyleInfo showFirstColumn="0" showLastColumn="0" showRowStripes="1" showColumnStripes="0"/>
</table>
</file>

<file path=xl/tables/table94.xml><?xml version="1.0" encoding="utf-8"?>
<table xmlns="http://schemas.openxmlformats.org/spreadsheetml/2006/main" id="7" name="tbl_FrequencesPaiement" displayName="tbl_FrequencesPaiement" ref="A713:D718" totalsRowShown="0">
  <autoFilter ref="A713:D718"/>
  <tableColumns count="4">
    <tableColumn id="1" name="Code"/>
    <tableColumn id="2" name="Libelle"/>
    <tableColumn id="3" name="Statut"/>
    <tableColumn id="4" name="Ordre"/>
  </tableColumns>
  <tableStyleInfo showFirstColumn="0" showLastColumn="0" showRowStripes="1" showColumnStripes="0"/>
</table>
</file>

<file path=xl/tables/table95.xml><?xml version="1.0" encoding="utf-8"?>
<table xmlns="http://schemas.openxmlformats.org/spreadsheetml/2006/main" id="8" name="tbl_ModesPaiement" displayName="tbl_ModesPaiement" ref="A359:D367" totalsRowShown="0">
  <autoFilter ref="A359:D367"/>
  <tableColumns count="4">
    <tableColumn id="1" name="Code"/>
    <tableColumn id="2" name="Libelle"/>
    <tableColumn id="3" name="Statut"/>
    <tableColumn id="4" name="Ordre"/>
  </tableColumns>
  <tableStyleInfo showFirstColumn="0" showLastColumn="0" showRowStripes="1" showColumnStripes="0"/>
</table>
</file>

<file path=xl/tables/table96.xml><?xml version="1.0" encoding="utf-8"?>
<table xmlns="http://schemas.openxmlformats.org/spreadsheetml/2006/main" id="9" name="tbl_Mois" displayName="tbl_Mois" ref="A52:C65" totalsRowShown="0">
  <autoFilter ref="A52:C65"/>
  <tableColumns count="3">
    <tableColumn id="1" name="N°"/>
    <tableColumn id="2" name="Mois"/>
    <tableColumn id="3" name="Trimestre"/>
  </tableColumns>
  <tableStyleInfo showFirstColumn="0" showLastColumn="0" showRowStripes="1" showColumnStripes="0"/>
</table>
</file>

<file path=xl/tables/table97.xml><?xml version="1.0" encoding="utf-8"?>
<table xmlns="http://schemas.openxmlformats.org/spreadsheetml/2006/main" id="10" name="tbl_MotifsDepart" displayName="tbl_MotifsDepart" ref="A702:D709" totalsRowShown="0">
  <autoFilter ref="A702:D709"/>
  <tableColumns count="4">
    <tableColumn id="1" name="Code"/>
    <tableColumn id="2" name="Libelle"/>
    <tableColumn id="3" name="Statut"/>
    <tableColumn id="4" name="Ordre"/>
  </tableColumns>
  <tableStyleInfo showFirstColumn="0" showLastColumn="0" showRowStripes="1" showColumnStripes="0"/>
</table>
</file>

<file path=xl/tables/table98.xml><?xml version="1.0" encoding="utf-8"?>
<table xmlns="http://schemas.openxmlformats.org/spreadsheetml/2006/main" id="11" name="tbl_NiveauxCompetence" displayName="tbl_NiveauxCompetence" ref="A694:D698" totalsRowShown="0">
  <autoFilter ref="A694:D698"/>
  <tableColumns count="4">
    <tableColumn id="1" name="Code"/>
    <tableColumn id="2" name="Libelle"/>
    <tableColumn id="3" name="Statut"/>
    <tableColumn id="4" name="Ordre"/>
  </tableColumns>
  <tableStyleInfo showFirstColumn="0" showLastColumn="0" showRowStripes="1" showColumnStripes="0"/>
</table>
</file>

<file path=xl/tables/table99.xml><?xml version="1.0" encoding="utf-8"?>
<table xmlns="http://schemas.openxmlformats.org/spreadsheetml/2006/main" id="12" name="tbl_NiveauxHierarchiques" displayName="tbl_NiveauxHierarchiques" ref="A665:D671" totalsRowShown="0">
  <autoFilter ref="A665:D671"/>
  <tableColumns count="4">
    <tableColumn id="1" name="Code"/>
    <tableColumn id="2" name="Libelle"/>
    <tableColumn id="3" name="Statut"/>
    <tableColumn id="4" name="Ordre"/>
  </tableColumns>
  <tableStyleInfo showFirstColumn="0" showLastColumn="0" showRowStripes="1" showColumnStripes="0"/>
</table>
</file>

<file path=xl/tables/table100.xml><?xml version="1.0" encoding="utf-8"?>
<table xmlns="http://schemas.openxmlformats.org/spreadsheetml/2006/main" id="13" name="tbl_NiveauxPriorite" displayName="tbl_NiveauxPriorite" ref="A427:D432" totalsRowShown="0">
  <autoFilter ref="A427:D432"/>
  <tableColumns count="4">
    <tableColumn id="1" name="Code"/>
    <tableColumn id="2" name="Libelle"/>
    <tableColumn id="3" name="Statut"/>
    <tableColumn id="4" name="Ordre"/>
  </tableColumns>
  <tableStyleInfo showFirstColumn="0" showLastColumn="0" showRowStripes="1" showColumnStripes="0"/>
</table>
</file>

<file path=xl/tables/table101.xml><?xml version="1.0" encoding="utf-8"?>
<table xmlns="http://schemas.openxmlformats.org/spreadsheetml/2006/main" id="14" name="tbl_NiveauxRisque" displayName="tbl_NiveauxRisque" ref="A434:D440" totalsRowShown="0">
  <autoFilter ref="A434:D440"/>
  <tableColumns count="4">
    <tableColumn id="1" name="Code"/>
    <tableColumn id="2" name="Libelle"/>
    <tableColumn id="3" name="Statut"/>
    <tableColumn id="4" name="Ordre"/>
  </tableColumns>
  <tableStyleInfo showFirstColumn="0" showLastColumn="0" showRowStripes="1" showColumnStripes="0"/>
</table>
</file>

<file path=xl/tables/table102.xml><?xml version="1.0" encoding="utf-8"?>
<table xmlns="http://schemas.openxmlformats.org/spreadsheetml/2006/main" id="15" name="tbl_ServicesRH" displayName="tbl_ServicesRH" ref="A650:D662" totalsRowShown="0">
  <autoFilter ref="A650:D662"/>
  <tableColumns count="4">
    <tableColumn id="1" name="Code"/>
    <tableColumn id="2" name="Libelle"/>
    <tableColumn id="3" name="Statut"/>
    <tableColumn id="4" name="Ordre"/>
  </tableColumns>
  <tableStyleInfo showFirstColumn="0" showLastColumn="0" showRowStripes="1" showColumnStripes="0"/>
</table>
</file>

<file path=xl/tables/table103.xml><?xml version="1.0" encoding="utf-8"?>
<table xmlns="http://schemas.openxmlformats.org/spreadsheetml/2006/main" id="16" name="tbl_SeuilsBudget" displayName="tbl_SeuilsBudget" ref="A620:C623" totalsRowShown="0">
  <autoFilter ref="A620:C623"/>
  <tableColumns count="3">
    <tableColumn id="1" name="Code"/>
    <tableColumn id="2" name="Libelle"/>
    <tableColumn id="3" name="Valeur (%)"/>
  </tableColumns>
  <tableStyleInfo showFirstColumn="0" showLastColumn="0" showRowStripes="1" showColumnStripes="0"/>
</table>
</file>

<file path=xl/tables/table104.xml><?xml version="1.0" encoding="utf-8"?>
<table xmlns="http://schemas.openxmlformats.org/spreadsheetml/2006/main" id="17" name="tbl_Sexe" displayName="tbl_Sexe" ref="A239:D243" totalsRowShown="0">
  <autoFilter ref="A239:D243"/>
  <tableColumns count="4">
    <tableColumn id="1" name="Code"/>
    <tableColumn id="2" name="Libelle"/>
    <tableColumn id="3" name="Statut"/>
    <tableColumn id="4" name="Ordre"/>
  </tableColumns>
  <tableStyleInfo showFirstColumn="0" showLastColumn="0" showRowStripes="1" showColumnStripes="0"/>
</table>
</file>

<file path=xl/tables/table105.xml><?xml version="1.0" encoding="utf-8"?>
<table xmlns="http://schemas.openxmlformats.org/spreadsheetml/2006/main" id="18" name="tbl_SourcesFinancement" displayName="tbl_SourcesFinancement" ref="A297:D312" totalsRowShown="0">
  <autoFilter ref="A297:D312"/>
  <tableColumns count="4">
    <tableColumn id="1" name="Code"/>
    <tableColumn id="2" name="Libelle"/>
    <tableColumn id="3" name="Statut"/>
    <tableColumn id="4" name="Ordre"/>
  </tableColumns>
  <tableStyleInfo showFirstColumn="0" showLastColumn="0" showRowStripes="1" showColumnStripes="0"/>
</table>
</file>

<file path=xl/tables/table106.xml><?xml version="1.0" encoding="utf-8"?>
<table xmlns="http://schemas.openxmlformats.org/spreadsheetml/2006/main" id="19" name="tbl_StatutsActivites" displayName="tbl_StatutsActivites" ref="A92:D102" totalsRowShown="0">
  <autoFilter ref="A92:D102"/>
  <tableColumns count="4">
    <tableColumn id="1" name="Code"/>
    <tableColumn id="2" name="Libelle"/>
    <tableColumn id="3" name="Statut"/>
    <tableColumn id="4" name="Ordre"/>
  </tableColumns>
  <tableStyleInfo showFirstColumn="0" showLastColumn="0" showRowStripes="1" showColumnStripes="0"/>
</table>
</file>

<file path=xl/tables/table107.xml><?xml version="1.0" encoding="utf-8"?>
<table xmlns="http://schemas.openxmlformats.org/spreadsheetml/2006/main" id="20" name="tbl_StatutsBudget" displayName="tbl_StatutsBudget" ref="A597:C604" totalsRowShown="0">
  <autoFilter ref="A597:C604"/>
  <tableColumns count="3">
    <tableColumn id="1" name="Code"/>
    <tableColumn id="2" name="Libelle"/>
    <tableColumn id="3" name="Statut"/>
  </tableColumns>
  <tableStyleInfo showFirstColumn="0" showLastColumn="0" showRowStripes="1" showColumnStripes="0"/>
</table>
</file>

<file path=xl/tables/table108.xml><?xml version="1.0" encoding="utf-8"?>
<table xmlns="http://schemas.openxmlformats.org/spreadsheetml/2006/main" id="21" name="tbl_StatutsConge" displayName="tbl_StatutsConge" ref="A685:D691" totalsRowShown="0">
  <autoFilter ref="A685:D691"/>
  <tableColumns count="4">
    <tableColumn id="1" name="Code"/>
    <tableColumn id="2" name="Libelle"/>
    <tableColumn id="3" name="Statut"/>
    <tableColumn id="4" name="Ordre"/>
  </tableColumns>
  <tableStyleInfo showFirstColumn="0" showLastColumn="0" showRowStripes="1" showColumnStripes="0"/>
</table>
</file>

<file path=xl/tables/table109.xml><?xml version="1.0" encoding="utf-8"?>
<table xmlns="http://schemas.openxmlformats.org/spreadsheetml/2006/main" id="22" name="tbl_StatutsDocuments" displayName="tbl_StatutsDocuments" ref="A522:D533" totalsRowShown="0">
  <autoFilter ref="A522:D533"/>
  <tableColumns count="4">
    <tableColumn id="1" name="Code"/>
    <tableColumn id="2" name="Libelle"/>
    <tableColumn id="3" name="Statut"/>
    <tableColumn id="4" name="Ordre"/>
  </tableColumns>
  <tableStyleInfo showFirstColumn="0" showLastColumn="0" showRowStripes="1" showColumnStripes="0"/>
</table>
</file>

<file path=xl/tables/table110.xml><?xml version="1.0" encoding="utf-8"?>
<table xmlns="http://schemas.openxmlformats.org/spreadsheetml/2006/main" id="23" name="tbl_StatutsGeneraux" displayName="tbl_StatutsGeneraux" ref="A589:D593" totalsRowShown="0">
  <autoFilter ref="A589:D593"/>
  <tableColumns count="4">
    <tableColumn id="1" name="Code"/>
    <tableColumn id="2" name="Libelle"/>
    <tableColumn id="3" name="Statut"/>
    <tableColumn id="4" name="Ordre"/>
  </tableColumns>
  <tableStyleInfo showFirstColumn="0" showLastColumn="0" showRowStripes="1" showColumnStripes="0"/>
</table>
</file>

<file path=xl/tables/table111.xml><?xml version="1.0" encoding="utf-8"?>
<table xmlns="http://schemas.openxmlformats.org/spreadsheetml/2006/main" id="24" name="tbl_StatutsProjets" displayName="tbl_StatutsProjets" ref="A74:D90" totalsRowShown="0">
  <autoFilter ref="A74:D90"/>
  <tableColumns count="4">
    <tableColumn id="1" name="Code"/>
    <tableColumn id="2" name="Libelle"/>
    <tableColumn id="3" name="Statut"/>
    <tableColumn id="4" name="Ordre"/>
  </tableColumns>
  <tableStyleInfo showFirstColumn="0" showLastColumn="0" showRowStripes="1" showColumnStripes="0"/>
</table>
</file>

<file path=xl/tables/table112.xml><?xml version="1.0" encoding="utf-8"?>
<table xmlns="http://schemas.openxmlformats.org/spreadsheetml/2006/main" id="25" name="tbl_StatutsRecettes" displayName="tbl_StatutsRecettes" ref="A626:C636" totalsRowShown="0">
  <autoFilter ref="A626:C636"/>
  <tableColumns count="3">
    <tableColumn id="1" name="Code"/>
    <tableColumn id="2" name="Libelle"/>
    <tableColumn id="3" name="Statut"/>
  </tableColumns>
  <tableStyleInfo showFirstColumn="0" showLastColumn="0" showRowStripes="1" showColumnStripes="0"/>
</table>
</file>

<file path=xl/tables/table113.xml><?xml version="1.0" encoding="utf-8"?>
<table xmlns="http://schemas.openxmlformats.org/spreadsheetml/2006/main" id="26" name="tbl_StatutsRH" displayName="tbl_StatutsRH" ref="A639:D646" totalsRowShown="0">
  <autoFilter ref="A639:D646"/>
  <tableColumns count="4">
    <tableColumn id="1" name="Code"/>
    <tableColumn id="2" name="Libelle"/>
    <tableColumn id="3" name="Statut"/>
    <tableColumn id="4" name="Ordre"/>
  </tableColumns>
  <tableStyleInfo showFirstColumn="0" showLastColumn="0" showRowStripes="1" showColumnStripes="0"/>
</table>
</file>

<file path=xl/tables/table114.xml><?xml version="1.0" encoding="utf-8"?>
<table xmlns="http://schemas.openxmlformats.org/spreadsheetml/2006/main" id="27" name="tbl_StatutsRisques" displayName="tbl_StatutsRisques" ref="A442:D450" totalsRowShown="0">
  <autoFilter ref="A442:D450"/>
  <tableColumns count="4">
    <tableColumn id="1" name="Code"/>
    <tableColumn id="2" name="Libelle"/>
    <tableColumn id="3" name="Statut"/>
    <tableColumn id="4" name="Ordre"/>
  </tableColumns>
  <tableStyleInfo showFirstColumn="0" showLastColumn="0" showRowStripes="1" showColumnStripes="0"/>
</table>
</file>

<file path=xl/tables/table115.xml><?xml version="1.0" encoding="utf-8"?>
<table xmlns="http://schemas.openxmlformats.org/spreadsheetml/2006/main" id="28" name="tbl_TranchesAge" displayName="tbl_TranchesAge" ref="A245:D257" totalsRowShown="0">
  <autoFilter ref="A245:D257"/>
  <tableColumns count="4">
    <tableColumn id="1" name="Code"/>
    <tableColumn id="2" name="Libelle"/>
    <tableColumn id="3" name="Statut"/>
    <tableColumn id="4" name="Ordre"/>
  </tableColumns>
  <tableStyleInfo showFirstColumn="0" showLastColumn="0" showRowStripes="1" showColumnStripes="0"/>
</table>
</file>

<file path=xl/tables/table116.xml><?xml version="1.0" encoding="utf-8"?>
<table xmlns="http://schemas.openxmlformats.org/spreadsheetml/2006/main" id="29" name="tbl_Trimestres" displayName="tbl_Trimestres" ref="A67:D72" totalsRowShown="0">
  <autoFilter ref="A67:D72"/>
  <tableColumns count="4">
    <tableColumn id="1" name="Code"/>
    <tableColumn id="2" name="Trimestre"/>
    <tableColumn id="3" name="Periode"/>
    <tableColumn id="4" name="Ordre"/>
  </tableColumns>
  <tableStyleInfo showFirstColumn="0" showLastColumn="0" showRowStripes="1" showColumnStripes="0"/>
</table>
</file>

<file path=xl/tables/table117.xml><?xml version="1.0" encoding="utf-8"?>
<table xmlns="http://schemas.openxmlformats.org/spreadsheetml/2006/main" id="30" name="tbl_TypesActivites" displayName="tbl_TypesActivites" ref="A174:D205" totalsRowShown="0">
  <autoFilter ref="A174:D205"/>
  <tableColumns count="4">
    <tableColumn id="1" name="Code"/>
    <tableColumn id="2" name="Libelle"/>
    <tableColumn id="3" name="Statut"/>
    <tableColumn id="4" name="Ordre"/>
  </tableColumns>
  <tableStyleInfo showFirstColumn="0" showLastColumn="0" showRowStripes="1" showColumnStripes="0"/>
</table>
</file>

<file path=xl/tables/table118.xml><?xml version="1.0" encoding="utf-8"?>
<table xmlns="http://schemas.openxmlformats.org/spreadsheetml/2006/main" id="31" name="tbl_TypesBudget" displayName="tbl_TypesBudget" ref="A607:C617" totalsRowShown="0">
  <autoFilter ref="A607:C617"/>
  <tableColumns count="3">
    <tableColumn id="1" name="Code"/>
    <tableColumn id="2" name="Libelle"/>
    <tableColumn id="3" name="Statut"/>
  </tableColumns>
  <tableStyleInfo showFirstColumn="0" showLastColumn="0" showRowStripes="1" showColumnStripes="0"/>
</table>
</file>

<file path=xl/tables/table119.xml><?xml version="1.0" encoding="utf-8"?>
<table xmlns="http://schemas.openxmlformats.org/spreadsheetml/2006/main" id="32" name="tbl_TypesConge" displayName="tbl_TypesConge" ref="A675:D681" totalsRowShown="0">
  <autoFilter ref="A675:D681"/>
  <tableColumns count="4">
    <tableColumn id="1" name="Code"/>
    <tableColumn id="2" name="Libelle"/>
    <tableColumn id="3" name="Statut"/>
    <tableColumn id="4" name="Ordre"/>
  </tableColumns>
  <tableStyleInfo showFirstColumn="0" showLastColumn="0" showRowStripes="1" showColumnStripes="0"/>
</table>
</file>

<file path=xl/tables/table120.xml><?xml version="1.0" encoding="utf-8"?>
<table xmlns="http://schemas.openxmlformats.org/spreadsheetml/2006/main" id="33" name="tbl_TypesContrats" displayName="tbl_TypesContrats" ref="A382:D393" totalsRowShown="0">
  <autoFilter ref="A382:D393"/>
  <tableColumns count="4">
    <tableColumn id="1" name="Code"/>
    <tableColumn id="2" name="Libelle"/>
    <tableColumn id="3" name="Statut"/>
    <tableColumn id="4" name="Ordre"/>
  </tableColumns>
  <tableStyleInfo showFirstColumn="0" showLastColumn="0" showRowStripes="1" showColumnStripes="0"/>
</table>
</file>

<file path=xl/tables/table121.xml><?xml version="1.0" encoding="utf-8"?>
<table xmlns="http://schemas.openxmlformats.org/spreadsheetml/2006/main" id="34" name="tbl_TypesDocuments" displayName="tbl_TypesDocuments" ref="A494:D520" totalsRowShown="0">
  <autoFilter ref="A494:D520"/>
  <tableColumns count="4">
    <tableColumn id="1" name="Code"/>
    <tableColumn id="2" name="Libelle"/>
    <tableColumn id="3" name="Statut"/>
    <tableColumn id="4" name="Ordre"/>
  </tableColumns>
  <tableStyleInfo showFirstColumn="0" showLastColumn="0" showRowStripes="1" showColumnStripes="0"/>
</table>
</file>

<file path=xl/tables/table122.xml><?xml version="1.0" encoding="utf-8"?>
<table xmlns="http://schemas.openxmlformats.org/spreadsheetml/2006/main" id="35" name="tbl_TypesDocumentsRH" displayName="tbl_TypesDocumentsRH" ref="A722:D734" totalsRowShown="0">
  <autoFilter ref="A722:D734"/>
  <tableColumns count="4">
    <tableColumn id="1" name="Code"/>
    <tableColumn id="2" name="Libelle"/>
    <tableColumn id="3" name="Statut"/>
    <tableColumn id="4" name="Ordre"/>
  </tableColumns>
  <tableStyleInfo showFirstColumn="0" showLastColumn="0" showRowStripes="1" showColumnStripes="0"/>
</table>
</file>

<file path=xl/tables/table123.xml><?xml version="1.0" encoding="utf-8"?>
<table xmlns="http://schemas.openxmlformats.org/spreadsheetml/2006/main" id="36" name="tbl_TypesDonateurs" displayName="tbl_TypesDonateurs" ref="A281:D295" totalsRowShown="0">
  <autoFilter ref="A281:D295"/>
  <tableColumns count="4">
    <tableColumn id="1" name="Code"/>
    <tableColumn id="2" name="Libelle"/>
    <tableColumn id="3" name="Statut"/>
    <tableColumn id="4" name="Ordre"/>
  </tableColumns>
  <tableStyleInfo showFirstColumn="0" showLastColumn="0" showRowStripes="1" showColumnStripes="0"/>
</table>
</file>

<file path=xl/tables/table124.xml><?xml version="1.0" encoding="utf-8"?>
<table xmlns="http://schemas.openxmlformats.org/spreadsheetml/2006/main" id="37" name="tbl_TypesFinancement" displayName="tbl_TypesFinancement" ref="A314:D324" totalsRowShown="0">
  <autoFilter ref="A314:D324"/>
  <tableColumns count="4">
    <tableColumn id="1" name="Code"/>
    <tableColumn id="2" name="Libelle"/>
    <tableColumn id="3" name="Statut"/>
    <tableColumn id="4" name="Ordre"/>
  </tableColumns>
  <tableStyleInfo showFirstColumn="0" showLastColumn="0" showRowStripes="1" showColumnStripes="0"/>
</table>
</file>

<file path=xl/tables/table125.xml><?xml version="1.0" encoding="utf-8"?>
<table xmlns="http://schemas.openxmlformats.org/spreadsheetml/2006/main" id="38" name="tbl_TypesImmobilisations" displayName="tbl_TypesImmobilisations" ref="A452:D470" totalsRowShown="0">
  <autoFilter ref="A452:D470"/>
  <tableColumns count="4">
    <tableColumn id="1" name="Code"/>
    <tableColumn id="2" name="Libelle"/>
    <tableColumn id="3" name="Statut"/>
    <tableColumn id="4" name="Ordre"/>
  </tableColumns>
  <tableStyleInfo showFirstColumn="0" showLastColumn="0" showRowStripes="1" showColumnStripes="0"/>
</table>
</file>

<file path=xl/tables/table126.xml><?xml version="1.0" encoding="utf-8"?>
<table xmlns="http://schemas.openxmlformats.org/spreadsheetml/2006/main" id="39" name="tbl_TypesPartenaires" displayName="tbl_TypesPartenaires" ref="A259:D279" totalsRowShown="0">
  <autoFilter ref="A259:D279"/>
  <tableColumns count="4">
    <tableColumn id="1" name="Code"/>
    <tableColumn id="2" name="Libelle"/>
    <tableColumn id="3" name="Statut"/>
    <tableColumn id="4" name="Ordre"/>
  </tableColumns>
  <tableStyleInfo showFirstColumn="0" showLastColumn="0" showRowStripes="1" showColumnStripes="0"/>
</table>
</file>

<file path=xl/tables/table127.xml><?xml version="1.0" encoding="utf-8"?>
<table xmlns="http://schemas.openxmlformats.org/spreadsheetml/2006/main" id="40" name="tbl_TypesProjets" displayName="tbl_TypesProjets" ref="A147:D172" totalsRowShown="0">
  <autoFilter ref="A147:D172"/>
  <tableColumns count="4">
    <tableColumn id="1" name="Code"/>
    <tableColumn id="2" name="Libelle"/>
    <tableColumn id="3" name="Statut"/>
    <tableColumn id="4" name="Ordre"/>
  </tableColumns>
  <tableStyleInfo showFirstColumn="0" showLastColumn="0" showRowStripes="1" showColumnStripes="0"/>
</table>
</file>

<file path=xl/tables/table128.xml><?xml version="1.0" encoding="utf-8"?>
<table xmlns="http://schemas.openxmlformats.org/spreadsheetml/2006/main" id="41" name="tbl_TypesRecettes" displayName="tbl_TypesRecettes" ref="A369:D380" totalsRowShown="0">
  <autoFilter ref="A369:D380"/>
  <tableColumns count="4">
    <tableColumn id="1" name="Code"/>
    <tableColumn id="2" name="Libelle"/>
    <tableColumn id="3" name="Statut"/>
    <tableColumn id="4" name="Ordre"/>
  </tableColumns>
  <tableStyleInfo showFirstColumn="0" showLastColumn="0" showRowStripes="1" showColumnStripes="0"/>
</table>
</file>

<file path=xl/tables/table129.xml><?xml version="1.0" encoding="utf-8"?>
<table xmlns="http://schemas.openxmlformats.org/spreadsheetml/2006/main" id="42" name="tbl_UnitesMesure" displayName="tbl_UnitesMesure" ref="A472:D492" totalsRowShown="0">
  <autoFilter ref="A472:D492"/>
  <tableColumns count="4">
    <tableColumn id="1" name="Code"/>
    <tableColumn id="2" name="Libelle"/>
    <tableColumn id="3" name="Statut"/>
    <tableColumn id="4" name="Ordre"/>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table" Target="../tables/table5.xml"/><Relationship Id="rId13" Type="http://schemas.openxmlformats.org/officeDocument/2006/relationships/table" Target="../tables/table10.xml"/><Relationship Id="rId18" Type="http://schemas.openxmlformats.org/officeDocument/2006/relationships/table" Target="../tables/table15.xml"/><Relationship Id="rId3" Type="http://schemas.openxmlformats.org/officeDocument/2006/relationships/drawing" Target="../drawings/drawing2.xml"/><Relationship Id="rId7" Type="http://schemas.openxmlformats.org/officeDocument/2006/relationships/table" Target="../tables/table4.xml"/><Relationship Id="rId12" Type="http://schemas.openxmlformats.org/officeDocument/2006/relationships/table" Target="../tables/table9.xml"/><Relationship Id="rId17" Type="http://schemas.openxmlformats.org/officeDocument/2006/relationships/table" Target="../tables/table14.xml"/><Relationship Id="rId2" Type="http://schemas.openxmlformats.org/officeDocument/2006/relationships/printerSettings" Target="../printerSettings/printerSettings1.bin"/><Relationship Id="rId16" Type="http://schemas.openxmlformats.org/officeDocument/2006/relationships/table" Target="../tables/table13.xml"/><Relationship Id="rId1" Type="http://schemas.openxmlformats.org/officeDocument/2006/relationships/hyperlink" Target="mailto:juvalinlessengui@gmail.com" TargetMode="External"/><Relationship Id="rId6" Type="http://schemas.openxmlformats.org/officeDocument/2006/relationships/table" Target="../tables/table3.xml"/><Relationship Id="rId11" Type="http://schemas.openxmlformats.org/officeDocument/2006/relationships/table" Target="../tables/table8.xml"/><Relationship Id="rId5" Type="http://schemas.openxmlformats.org/officeDocument/2006/relationships/table" Target="../tables/table2.xml"/><Relationship Id="rId15" Type="http://schemas.openxmlformats.org/officeDocument/2006/relationships/table" Target="../tables/table12.xml"/><Relationship Id="rId10" Type="http://schemas.openxmlformats.org/officeDocument/2006/relationships/table" Target="../tables/table7.xml"/><Relationship Id="rId4" Type="http://schemas.openxmlformats.org/officeDocument/2006/relationships/table" Target="../tables/table1.xml"/><Relationship Id="rId9" Type="http://schemas.openxmlformats.org/officeDocument/2006/relationships/table" Target="../tables/table6.xml"/><Relationship Id="rId14" Type="http://schemas.openxmlformats.org/officeDocument/2006/relationships/table" Target="../tables/table1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table" Target="../tables/table17.xml"/><Relationship Id="rId1" Type="http://schemas.openxmlformats.org/officeDocument/2006/relationships/table" Target="../tables/table16.xml"/></Relationships>
</file>

<file path=xl/worksheets/_rels/sheet4.xml.rels><?xml version="1.0" encoding="UTF-8" standalone="yes"?>
<Relationships xmlns="http://schemas.openxmlformats.org/package/2006/relationships"><Relationship Id="rId8" Type="http://schemas.openxmlformats.org/officeDocument/2006/relationships/table" Target="../tables/table26.xml"/><Relationship Id="rId3" Type="http://schemas.openxmlformats.org/officeDocument/2006/relationships/table" Target="../tables/table21.xml"/><Relationship Id="rId7" Type="http://schemas.openxmlformats.org/officeDocument/2006/relationships/table" Target="../tables/table25.xml"/><Relationship Id="rId2" Type="http://schemas.openxmlformats.org/officeDocument/2006/relationships/table" Target="../tables/table20.xml"/><Relationship Id="rId1" Type="http://schemas.openxmlformats.org/officeDocument/2006/relationships/table" Target="../tables/table19.xml"/><Relationship Id="rId6" Type="http://schemas.openxmlformats.org/officeDocument/2006/relationships/table" Target="../tables/table24.xml"/><Relationship Id="rId11" Type="http://schemas.openxmlformats.org/officeDocument/2006/relationships/table" Target="../tables/table29.xml"/><Relationship Id="rId5" Type="http://schemas.openxmlformats.org/officeDocument/2006/relationships/table" Target="../tables/table23.xml"/><Relationship Id="rId10" Type="http://schemas.openxmlformats.org/officeDocument/2006/relationships/table" Target="../tables/table28.xml"/><Relationship Id="rId4" Type="http://schemas.openxmlformats.org/officeDocument/2006/relationships/table" Target="../tables/table22.xml"/><Relationship Id="rId9" Type="http://schemas.openxmlformats.org/officeDocument/2006/relationships/table" Target="../tables/table27.xml"/></Relationships>
</file>

<file path=xl/worksheets/_rels/sheet5.xml.rels><?xml version="1.0" encoding="UTF-8" standalone="yes"?>
<Relationships xmlns="http://schemas.openxmlformats.org/package/2006/relationships"><Relationship Id="rId3" Type="http://schemas.openxmlformats.org/officeDocument/2006/relationships/table" Target="../tables/table32.xml"/><Relationship Id="rId7" Type="http://schemas.openxmlformats.org/officeDocument/2006/relationships/table" Target="../tables/table36.xml"/><Relationship Id="rId2" Type="http://schemas.openxmlformats.org/officeDocument/2006/relationships/table" Target="../tables/table31.xml"/><Relationship Id="rId1" Type="http://schemas.openxmlformats.org/officeDocument/2006/relationships/table" Target="../tables/table30.xml"/><Relationship Id="rId6" Type="http://schemas.openxmlformats.org/officeDocument/2006/relationships/table" Target="../tables/table35.xml"/><Relationship Id="rId5" Type="http://schemas.openxmlformats.org/officeDocument/2006/relationships/table" Target="../tables/table34.xml"/><Relationship Id="rId4" Type="http://schemas.openxmlformats.org/officeDocument/2006/relationships/table" Target="../tables/table33.xml"/></Relationships>
</file>

<file path=xl/worksheets/_rels/sheet6.xml.rels><?xml version="1.0" encoding="UTF-8" standalone="yes"?>
<Relationships xmlns="http://schemas.openxmlformats.org/package/2006/relationships"><Relationship Id="rId8" Type="http://schemas.openxmlformats.org/officeDocument/2006/relationships/table" Target="../tables/table44.xml"/><Relationship Id="rId3" Type="http://schemas.openxmlformats.org/officeDocument/2006/relationships/table" Target="../tables/table39.xml"/><Relationship Id="rId7" Type="http://schemas.openxmlformats.org/officeDocument/2006/relationships/table" Target="../tables/table43.xml"/><Relationship Id="rId2" Type="http://schemas.openxmlformats.org/officeDocument/2006/relationships/table" Target="../tables/table38.xml"/><Relationship Id="rId1" Type="http://schemas.openxmlformats.org/officeDocument/2006/relationships/table" Target="../tables/table37.xml"/><Relationship Id="rId6" Type="http://schemas.openxmlformats.org/officeDocument/2006/relationships/table" Target="../tables/table42.xml"/><Relationship Id="rId11" Type="http://schemas.openxmlformats.org/officeDocument/2006/relationships/table" Target="../tables/table47.xml"/><Relationship Id="rId5" Type="http://schemas.openxmlformats.org/officeDocument/2006/relationships/table" Target="../tables/table41.xml"/><Relationship Id="rId10" Type="http://schemas.openxmlformats.org/officeDocument/2006/relationships/table" Target="../tables/table46.xml"/><Relationship Id="rId4" Type="http://schemas.openxmlformats.org/officeDocument/2006/relationships/table" Target="../tables/table40.xml"/><Relationship Id="rId9" Type="http://schemas.openxmlformats.org/officeDocument/2006/relationships/table" Target="../tables/table45.xml"/></Relationships>
</file>

<file path=xl/worksheets/_rels/sheet7.xml.rels><?xml version="1.0" encoding="UTF-8" standalone="yes"?>
<Relationships xmlns="http://schemas.openxmlformats.org/package/2006/relationships"><Relationship Id="rId8" Type="http://schemas.openxmlformats.org/officeDocument/2006/relationships/table" Target="../tables/table55.xml"/><Relationship Id="rId3" Type="http://schemas.openxmlformats.org/officeDocument/2006/relationships/table" Target="../tables/table50.xml"/><Relationship Id="rId7" Type="http://schemas.openxmlformats.org/officeDocument/2006/relationships/table" Target="../tables/table54.xml"/><Relationship Id="rId2" Type="http://schemas.openxmlformats.org/officeDocument/2006/relationships/table" Target="../tables/table49.xml"/><Relationship Id="rId1" Type="http://schemas.openxmlformats.org/officeDocument/2006/relationships/table" Target="../tables/table48.xml"/><Relationship Id="rId6" Type="http://schemas.openxmlformats.org/officeDocument/2006/relationships/table" Target="../tables/table53.xml"/><Relationship Id="rId5" Type="http://schemas.openxmlformats.org/officeDocument/2006/relationships/table" Target="../tables/table52.xml"/><Relationship Id="rId4" Type="http://schemas.openxmlformats.org/officeDocument/2006/relationships/table" Target="../tables/table51.xml"/><Relationship Id="rId9" Type="http://schemas.openxmlformats.org/officeDocument/2006/relationships/table" Target="../tables/table56.xml"/></Relationships>
</file>

<file path=xl/worksheets/_rels/sheet8.xml.rels><?xml version="1.0" encoding="UTF-8" standalone="yes"?>
<Relationships xmlns="http://schemas.openxmlformats.org/package/2006/relationships"><Relationship Id="rId8" Type="http://schemas.openxmlformats.org/officeDocument/2006/relationships/table" Target="../tables/table64.xml"/><Relationship Id="rId3" Type="http://schemas.openxmlformats.org/officeDocument/2006/relationships/table" Target="../tables/table59.xml"/><Relationship Id="rId7" Type="http://schemas.openxmlformats.org/officeDocument/2006/relationships/table" Target="../tables/table63.xml"/><Relationship Id="rId2" Type="http://schemas.openxmlformats.org/officeDocument/2006/relationships/table" Target="../tables/table58.xml"/><Relationship Id="rId1" Type="http://schemas.openxmlformats.org/officeDocument/2006/relationships/table" Target="../tables/table57.xml"/><Relationship Id="rId6" Type="http://schemas.openxmlformats.org/officeDocument/2006/relationships/table" Target="../tables/table62.xml"/><Relationship Id="rId5" Type="http://schemas.openxmlformats.org/officeDocument/2006/relationships/table" Target="../tables/table61.xml"/><Relationship Id="rId4" Type="http://schemas.openxmlformats.org/officeDocument/2006/relationships/table" Target="../tables/table60.xml"/><Relationship Id="rId9" Type="http://schemas.openxmlformats.org/officeDocument/2006/relationships/table" Target="../tables/table6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6.xml"/></Relationships>
</file>

<file path=xl/worksheets/_rels/sheet11.xml.rels><?xml version="1.0" encoding="UTF-8" standalone="yes"?>
<Relationships xmlns="http://schemas.openxmlformats.org/package/2006/relationships"><Relationship Id="rId8" Type="http://schemas.openxmlformats.org/officeDocument/2006/relationships/table" Target="../tables/table74.xml"/><Relationship Id="rId13" Type="http://schemas.openxmlformats.org/officeDocument/2006/relationships/table" Target="../tables/table79.xml"/><Relationship Id="rId3" Type="http://schemas.openxmlformats.org/officeDocument/2006/relationships/table" Target="../tables/table69.xml"/><Relationship Id="rId7" Type="http://schemas.openxmlformats.org/officeDocument/2006/relationships/table" Target="../tables/table73.xml"/><Relationship Id="rId12" Type="http://schemas.openxmlformats.org/officeDocument/2006/relationships/table" Target="../tables/table78.xml"/><Relationship Id="rId2" Type="http://schemas.openxmlformats.org/officeDocument/2006/relationships/table" Target="../tables/table68.xml"/><Relationship Id="rId16" Type="http://schemas.openxmlformats.org/officeDocument/2006/relationships/table" Target="../tables/table82.xml"/><Relationship Id="rId1" Type="http://schemas.openxmlformats.org/officeDocument/2006/relationships/table" Target="../tables/table67.xml"/><Relationship Id="rId6" Type="http://schemas.openxmlformats.org/officeDocument/2006/relationships/table" Target="../tables/table72.xml"/><Relationship Id="rId11" Type="http://schemas.openxmlformats.org/officeDocument/2006/relationships/table" Target="../tables/table77.xml"/><Relationship Id="rId5" Type="http://schemas.openxmlformats.org/officeDocument/2006/relationships/table" Target="../tables/table71.xml"/><Relationship Id="rId15" Type="http://schemas.openxmlformats.org/officeDocument/2006/relationships/table" Target="../tables/table81.xml"/><Relationship Id="rId10" Type="http://schemas.openxmlformats.org/officeDocument/2006/relationships/table" Target="../tables/table76.xml"/><Relationship Id="rId4" Type="http://schemas.openxmlformats.org/officeDocument/2006/relationships/table" Target="../tables/table70.xml"/><Relationship Id="rId9" Type="http://schemas.openxmlformats.org/officeDocument/2006/relationships/table" Target="../tables/table75.xml"/><Relationship Id="rId14" Type="http://schemas.openxmlformats.org/officeDocument/2006/relationships/table" Target="../tables/table80.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85.xml"/><Relationship Id="rId2" Type="http://schemas.openxmlformats.org/officeDocument/2006/relationships/table" Target="../tables/table84.xml"/><Relationship Id="rId1" Type="http://schemas.openxmlformats.org/officeDocument/2006/relationships/table" Target="../tables/table83.xml"/><Relationship Id="rId5" Type="http://schemas.openxmlformats.org/officeDocument/2006/relationships/table" Target="../tables/table87.xml"/><Relationship Id="rId4" Type="http://schemas.openxmlformats.org/officeDocument/2006/relationships/table" Target="../tables/table86.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8" Type="http://schemas.openxmlformats.org/officeDocument/2006/relationships/table" Target="../tables/table95.xml"/><Relationship Id="rId13" Type="http://schemas.openxmlformats.org/officeDocument/2006/relationships/table" Target="../tables/table100.xml"/><Relationship Id="rId18" Type="http://schemas.openxmlformats.org/officeDocument/2006/relationships/table" Target="../tables/table105.xml"/><Relationship Id="rId26" Type="http://schemas.openxmlformats.org/officeDocument/2006/relationships/table" Target="../tables/table113.xml"/><Relationship Id="rId39" Type="http://schemas.openxmlformats.org/officeDocument/2006/relationships/table" Target="../tables/table126.xml"/><Relationship Id="rId3" Type="http://schemas.openxmlformats.org/officeDocument/2006/relationships/table" Target="../tables/table90.xml"/><Relationship Id="rId21" Type="http://schemas.openxmlformats.org/officeDocument/2006/relationships/table" Target="../tables/table108.xml"/><Relationship Id="rId34" Type="http://schemas.openxmlformats.org/officeDocument/2006/relationships/table" Target="../tables/table121.xml"/><Relationship Id="rId42" Type="http://schemas.openxmlformats.org/officeDocument/2006/relationships/table" Target="../tables/table129.xml"/><Relationship Id="rId7" Type="http://schemas.openxmlformats.org/officeDocument/2006/relationships/table" Target="../tables/table94.xml"/><Relationship Id="rId12" Type="http://schemas.openxmlformats.org/officeDocument/2006/relationships/table" Target="../tables/table99.xml"/><Relationship Id="rId17" Type="http://schemas.openxmlformats.org/officeDocument/2006/relationships/table" Target="../tables/table104.xml"/><Relationship Id="rId25" Type="http://schemas.openxmlformats.org/officeDocument/2006/relationships/table" Target="../tables/table112.xml"/><Relationship Id="rId33" Type="http://schemas.openxmlformats.org/officeDocument/2006/relationships/table" Target="../tables/table120.xml"/><Relationship Id="rId38" Type="http://schemas.openxmlformats.org/officeDocument/2006/relationships/table" Target="../tables/table125.xml"/><Relationship Id="rId2" Type="http://schemas.openxmlformats.org/officeDocument/2006/relationships/table" Target="../tables/table89.xml"/><Relationship Id="rId16" Type="http://schemas.openxmlformats.org/officeDocument/2006/relationships/table" Target="../tables/table103.xml"/><Relationship Id="rId20" Type="http://schemas.openxmlformats.org/officeDocument/2006/relationships/table" Target="../tables/table107.xml"/><Relationship Id="rId29" Type="http://schemas.openxmlformats.org/officeDocument/2006/relationships/table" Target="../tables/table116.xml"/><Relationship Id="rId41" Type="http://schemas.openxmlformats.org/officeDocument/2006/relationships/table" Target="../tables/table128.xml"/><Relationship Id="rId1" Type="http://schemas.openxmlformats.org/officeDocument/2006/relationships/table" Target="../tables/table88.xml"/><Relationship Id="rId6" Type="http://schemas.openxmlformats.org/officeDocument/2006/relationships/table" Target="../tables/table93.xml"/><Relationship Id="rId11" Type="http://schemas.openxmlformats.org/officeDocument/2006/relationships/table" Target="../tables/table98.xml"/><Relationship Id="rId24" Type="http://schemas.openxmlformats.org/officeDocument/2006/relationships/table" Target="../tables/table111.xml"/><Relationship Id="rId32" Type="http://schemas.openxmlformats.org/officeDocument/2006/relationships/table" Target="../tables/table119.xml"/><Relationship Id="rId37" Type="http://schemas.openxmlformats.org/officeDocument/2006/relationships/table" Target="../tables/table124.xml"/><Relationship Id="rId40" Type="http://schemas.openxmlformats.org/officeDocument/2006/relationships/table" Target="../tables/table127.xml"/><Relationship Id="rId5" Type="http://schemas.openxmlformats.org/officeDocument/2006/relationships/table" Target="../tables/table92.xml"/><Relationship Id="rId15" Type="http://schemas.openxmlformats.org/officeDocument/2006/relationships/table" Target="../tables/table102.xml"/><Relationship Id="rId23" Type="http://schemas.openxmlformats.org/officeDocument/2006/relationships/table" Target="../tables/table110.xml"/><Relationship Id="rId28" Type="http://schemas.openxmlformats.org/officeDocument/2006/relationships/table" Target="../tables/table115.xml"/><Relationship Id="rId36" Type="http://schemas.openxmlformats.org/officeDocument/2006/relationships/table" Target="../tables/table123.xml"/><Relationship Id="rId10" Type="http://schemas.openxmlformats.org/officeDocument/2006/relationships/table" Target="../tables/table97.xml"/><Relationship Id="rId19" Type="http://schemas.openxmlformats.org/officeDocument/2006/relationships/table" Target="../tables/table106.xml"/><Relationship Id="rId31" Type="http://schemas.openxmlformats.org/officeDocument/2006/relationships/table" Target="../tables/table118.xml"/><Relationship Id="rId4" Type="http://schemas.openxmlformats.org/officeDocument/2006/relationships/table" Target="../tables/table91.xml"/><Relationship Id="rId9" Type="http://schemas.openxmlformats.org/officeDocument/2006/relationships/table" Target="../tables/table96.xml"/><Relationship Id="rId14" Type="http://schemas.openxmlformats.org/officeDocument/2006/relationships/table" Target="../tables/table101.xml"/><Relationship Id="rId22" Type="http://schemas.openxmlformats.org/officeDocument/2006/relationships/table" Target="../tables/table109.xml"/><Relationship Id="rId27" Type="http://schemas.openxmlformats.org/officeDocument/2006/relationships/table" Target="../tables/table114.xml"/><Relationship Id="rId30" Type="http://schemas.openxmlformats.org/officeDocument/2006/relationships/table" Target="../tables/table117.xml"/><Relationship Id="rId35" Type="http://schemas.openxmlformats.org/officeDocument/2006/relationships/table" Target="../tables/table12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F7A5A"/>
    <pageSetUpPr fitToPage="1"/>
  </sheetPr>
  <dimension ref="A1:BR239"/>
  <sheetViews>
    <sheetView showGridLines="0" tabSelected="1" topLeftCell="A97" zoomScale="85" zoomScaleNormal="85" workbookViewId="0">
      <selection activeCell="L112" sqref="L112"/>
    </sheetView>
  </sheetViews>
  <sheetFormatPr baseColWidth="10" defaultColWidth="8.7109375" defaultRowHeight="15" customHeight="1"/>
  <cols>
    <col min="1" max="1" width="12.7109375" style="210" customWidth="1"/>
    <col min="2" max="2" width="18" style="210" customWidth="1"/>
    <col min="3" max="6" width="13" style="210" customWidth="1"/>
    <col min="7" max="7" width="24.7109375" style="210" customWidth="1"/>
    <col min="8" max="24" width="13" style="210" customWidth="1"/>
    <col min="25" max="25" width="18" style="210" customWidth="1"/>
    <col min="26" max="26" width="3" style="210" customWidth="1"/>
    <col min="27" max="68" width="13" style="210" hidden="1" customWidth="1"/>
    <col min="69" max="16384" width="8.7109375" style="210"/>
  </cols>
  <sheetData>
    <row r="1" spans="2:70" ht="50.1" customHeight="1">
      <c r="B1" s="217" t="s">
        <v>2595</v>
      </c>
      <c r="C1" s="218"/>
      <c r="D1" s="218"/>
      <c r="E1" s="218"/>
      <c r="F1" s="218"/>
      <c r="G1" s="218"/>
      <c r="H1" s="218"/>
      <c r="I1" s="218"/>
      <c r="J1" s="218"/>
      <c r="K1" s="218"/>
      <c r="L1" s="218"/>
      <c r="M1" s="218"/>
      <c r="N1" s="218"/>
      <c r="O1" s="218"/>
      <c r="P1" s="218"/>
      <c r="Q1" s="218"/>
      <c r="R1" s="218"/>
      <c r="S1" s="218"/>
      <c r="T1" s="218"/>
      <c r="U1" s="218"/>
      <c r="V1" s="218"/>
      <c r="W1" s="218"/>
      <c r="X1" s="218"/>
      <c r="Y1" s="217" t="s">
        <v>2594</v>
      </c>
      <c r="Z1" s="218"/>
      <c r="AA1" s="218"/>
      <c r="AB1" s="218"/>
      <c r="AC1" s="218"/>
      <c r="AD1" s="218"/>
      <c r="AE1" s="218"/>
      <c r="AF1" s="218"/>
      <c r="AG1" s="218"/>
      <c r="AH1" s="218"/>
      <c r="AI1" s="218"/>
      <c r="AJ1" s="218"/>
      <c r="AK1" s="218"/>
      <c r="AL1" s="218"/>
      <c r="AM1" s="218"/>
      <c r="AN1" s="218"/>
      <c r="AO1" s="218"/>
      <c r="AP1" s="218"/>
      <c r="AQ1" s="218"/>
      <c r="AR1" s="218"/>
      <c r="AS1" s="218"/>
      <c r="AT1" s="218"/>
      <c r="AU1" s="218"/>
      <c r="AV1" s="217" t="s">
        <v>2594</v>
      </c>
      <c r="AW1" s="218"/>
      <c r="AX1" s="218"/>
      <c r="AY1" s="218"/>
      <c r="AZ1" s="218"/>
      <c r="BA1" s="218"/>
      <c r="BB1" s="218"/>
      <c r="BC1" s="218"/>
      <c r="BD1" s="218"/>
      <c r="BE1" s="218"/>
      <c r="BF1" s="218"/>
      <c r="BG1" s="218"/>
      <c r="BH1" s="218"/>
      <c r="BI1" s="218"/>
      <c r="BJ1" s="218"/>
      <c r="BK1" s="218"/>
      <c r="BL1" s="218"/>
      <c r="BM1" s="218"/>
      <c r="BN1" s="218"/>
      <c r="BO1" s="218"/>
      <c r="BP1" s="218"/>
      <c r="BQ1" s="218"/>
      <c r="BR1" s="218"/>
    </row>
    <row r="2" spans="2:70" ht="50.1" customHeight="1">
      <c r="B2" s="218"/>
      <c r="C2" s="218"/>
      <c r="D2" s="218"/>
      <c r="E2" s="218"/>
      <c r="F2" s="218"/>
      <c r="G2" s="218"/>
      <c r="H2" s="218"/>
      <c r="I2" s="218"/>
      <c r="J2" s="218"/>
      <c r="K2" s="218"/>
      <c r="L2" s="218"/>
      <c r="M2" s="218"/>
      <c r="N2" s="218"/>
      <c r="O2" s="218"/>
      <c r="P2" s="218"/>
      <c r="Q2" s="218"/>
      <c r="R2" s="218"/>
      <c r="S2" s="218"/>
      <c r="T2" s="218"/>
      <c r="U2" s="218"/>
      <c r="V2" s="218"/>
      <c r="W2" s="218"/>
      <c r="X2" s="218"/>
      <c r="Y2" s="218"/>
      <c r="Z2" s="218"/>
      <c r="AA2" s="218"/>
      <c r="AB2" s="218"/>
      <c r="AC2" s="218"/>
      <c r="AD2" s="218"/>
      <c r="AE2" s="218"/>
      <c r="AF2" s="218"/>
      <c r="AG2" s="218"/>
      <c r="AH2" s="218"/>
      <c r="AI2" s="218"/>
      <c r="AJ2" s="218"/>
      <c r="AK2" s="218"/>
      <c r="AL2" s="218"/>
      <c r="AM2" s="218"/>
      <c r="AN2" s="218"/>
      <c r="AO2" s="218"/>
      <c r="AP2" s="218"/>
      <c r="AQ2" s="218"/>
      <c r="AR2" s="218"/>
      <c r="AS2" s="218"/>
      <c r="AT2" s="218"/>
      <c r="AU2" s="218"/>
      <c r="AV2" s="218"/>
      <c r="AW2" s="218"/>
      <c r="AX2" s="218"/>
      <c r="AY2" s="218"/>
      <c r="AZ2" s="218"/>
      <c r="BA2" s="218"/>
      <c r="BB2" s="218"/>
      <c r="BC2" s="218"/>
      <c r="BD2" s="218"/>
      <c r="BE2" s="218"/>
      <c r="BF2" s="218"/>
      <c r="BG2" s="218"/>
      <c r="BH2" s="218"/>
      <c r="BI2" s="218"/>
      <c r="BJ2" s="218"/>
      <c r="BK2" s="218"/>
      <c r="BL2" s="218"/>
      <c r="BM2" s="218"/>
      <c r="BN2" s="218"/>
      <c r="BO2" s="218"/>
      <c r="BP2" s="218"/>
      <c r="BQ2" s="218"/>
      <c r="BR2" s="218"/>
    </row>
    <row r="3" spans="2:70" ht="19.5" customHeight="1">
      <c r="B3" s="231"/>
      <c r="C3" s="231"/>
      <c r="D3" s="231"/>
      <c r="E3" s="231"/>
      <c r="F3" s="231"/>
      <c r="G3" s="231"/>
      <c r="H3" s="231"/>
      <c r="I3" s="231"/>
      <c r="J3" s="231"/>
      <c r="K3" s="231"/>
      <c r="L3" s="231"/>
      <c r="M3" s="231"/>
      <c r="N3" s="231"/>
      <c r="O3" s="231"/>
      <c r="P3" s="231"/>
      <c r="Q3" s="231"/>
      <c r="R3" s="231"/>
      <c r="S3" s="231"/>
      <c r="T3" s="231"/>
      <c r="U3" s="231"/>
      <c r="V3" s="231"/>
      <c r="W3" s="231"/>
      <c r="X3" s="231"/>
      <c r="AA3" s="210">
        <v>2025</v>
      </c>
      <c r="AB3" s="210" t="s">
        <v>12</v>
      </c>
      <c r="AC3" s="210" t="s">
        <v>15</v>
      </c>
      <c r="AE3" s="210" t="s">
        <v>16</v>
      </c>
      <c r="AF3" s="210">
        <f>IF($C$7="Toutes les années",IF($K$7="Tous",SUMIFS(RECETTES!$AB$39:$AB$88,RECETTES!$X$39:$X$88,AE3),SUMIFS(RECETTES!$AB$39:$AB$88,RECETTES!$X$39:$X$88,AE3,RECETTES!$J$39:$J$88,$K$7)),IF($K$7="Tous",SUMIFS(RECETTES!$AB$39:$AB$88,RECETTES!$V$39:$V$88,$C$7,RECETTES!$X$39:$X$88,AE3),SUMIFS(RECETTES!$AB$39:$AB$88,RECETTES!$V$39:$V$88,$C$7,RECETTES!$X$39:$X$88,AE3,RECETTES!$J$39:$J$88,$K$7)))</f>
        <v>0</v>
      </c>
      <c r="AG3" s="210">
        <f>IF($C$7="Toutes les années",IF($K$7="Tous",SUMIFS(DEPENSES!$AG$119:$AG$168,DEPENSES!$BO$119:$BO$168,AE3),SUMIFS(DEPENSES!$AG$119:$AG$168,DEPENSES!$BO$119:$BO$168,AE3,DEPENSES!$G$119:$G$168,$K$7)),IF($K$7="Tous",SUMIFS(DEPENSES!$AG$119:$AG$168,DEPENSES!$BM$119:$BM$168,$C$7,DEPENSES!$BO$119:$BO$168,AE3),SUMIFS(DEPENSES!$AG$119:$AG$168,DEPENSES!$BM$119:$BM$168,$C$7,DEPENSES!$BO$119:$BO$168,AE3,DEPENSES!$G$119:$G$168,$K$7)))</f>
        <v>0</v>
      </c>
      <c r="AI3" s="210" t="s">
        <v>17</v>
      </c>
      <c r="AJ3" s="210">
        <f>IF($C$7="Toutes les années",IF($K$7="Tous",COUNTIFS(PROJETS!$A$56:$A$95,"PROJ*",PROJETS!$AD$56:$AD$95,"Termine"),COUNTIFS(PROJETS!$A$56:$A$95,"PROJ*",PROJETS!$J$56:$J$95,$K$7,PROJETS!$AD$56:$AD$95,"Termine")),IF($K$7="Tous",COUNTIFS(PROJETS!$A$56:$A$95,"PROJ*",PROJETS!$AD$56:$AD$95,"Termine",PROJETS!$X$56:$X$95,"&gt;="&amp;DATE($C$7,1,1),PROJETS!$X$56:$X$95,"&lt;"&amp;DATE($C$7+1,1,1)),COUNTIFS(PROJETS!$A$56:$A$95,"PROJ*",PROJETS!$J$56:$J$95,$K$7,PROJETS!$AD$56:$AD$95,"Termine",PROJETS!$X$56:$X$95,"&gt;="&amp;DATE($C$7,1,1),PROJETS!$X$56:$X$95,"&lt;"&amp;DATE($C$7+1,1,1))))</f>
        <v>0</v>
      </c>
      <c r="AO3" s="210" t="s">
        <v>18</v>
      </c>
      <c r="AP3" s="210">
        <f>IF($C$7="Toutes les années",IF($K$7="Tous",COUNTIFS(ACTIVITES!$A$56:$A$105,"ACT*",ACTIVITES!$Z$56:$Z$105,"Realisee"),COUNTIFS(ACTIVITES!$A$56:$A$105,"ACT*",ACTIVITES!$K$56:$K$105,$K$7,ACTIVITES!$Z$56:$Z$105,"Realisee")),IF($K$7="Tous",COUNTIFS(ACTIVITES!$A$56:$A$105,"ACT*",ACTIVITES!$S$56:$S$105,$C$7,ACTIVITES!$Z$56:$Z$105,"Realisee"),COUNTIFS(ACTIVITES!$A$56:$A$105,"ACT*",ACTIVITES!$K$56:$K$105,$K$7,ACTIVITES!$S$56:$S$105,$C$7,ACTIVITES!$Z$56:$Z$105,"Realisee")))</f>
        <v>0</v>
      </c>
      <c r="AR3" s="211">
        <v>2025</v>
      </c>
      <c r="AS3" s="211">
        <f>COUNTIFS(PROJETS!$A$56:$A$95,"PROJ*",PROJETS!$X$56:$X$95,"&gt;="&amp;DATE(AR3,1,1),PROJETS!$X$56:$X$95,"&lt;"&amp;DATE(AR3+1,1,1))</f>
        <v>0</v>
      </c>
      <c r="AT3" s="211">
        <f>COUNTIFS(BENEFICIAIRES!$A$56:$A$115,"BEN*",BENEFICIAIRES!$BB$56:$BB$115,"&gt;="&amp;DATE(AR3,1,1),BENEFICIAIRES!$BB$56:$BB$115,"&lt;"&amp;DATE(AR3+1,1,1))</f>
        <v>0</v>
      </c>
      <c r="AU3" s="211">
        <f>SUMIFS(RECETTES!$AB$39:$AB$88,RECETTES!$V$39:$V$88,AR3)</f>
        <v>0</v>
      </c>
      <c r="AV3" s="211">
        <f>SUMIFS(DEPENSES!$AG$119:$AG$168,DEPENSES!$BM$119:$BM$168,AR3)</f>
        <v>0</v>
      </c>
      <c r="AW3" s="211">
        <f>COUNTIFS(ACTIVITES!$A$56:$A$105,"ACT*",ACTIVITES!$S$56:$S$105,AR3,ACTIVITES!$Z$56:$Z$105,"Realisee")</f>
        <v>0</v>
      </c>
      <c r="AX3" s="211">
        <f t="shared" ref="AX3:AX11" si="0">AR2</f>
        <v>0</v>
      </c>
      <c r="AY3" s="211">
        <f t="shared" ref="AY3:AY11" si="1">AS2</f>
        <v>0</v>
      </c>
      <c r="AZ3" s="211" t="s">
        <v>12</v>
      </c>
      <c r="BA3" s="211">
        <f>IF($C$7="Toutes les années",SUMIFS(RECETTES!$AB$39:$AB$88,RECETTES!$V$39:$V$88,2026,RECETTES!$W$39:$W$88,2),SUMIFS(RECETTES!$AB$39:$AB$88,RECETTES!$V$39:$V$88,$C$7,RECETTES!$W$39:$W$88,2))</f>
        <v>0</v>
      </c>
      <c r="BB3" s="211">
        <f>IF($C$7="Toutes les années",SUMIFS(DEPENSES!$AG$119:$AG$168,DEPENSES!$BM$119:$BM$168,2026,DEPENSES!$BN$119:$BN$168,2),SUMIFS(DEPENSES!$AG$119:$AG$168,DEPENSES!$BM$119:$BM$168,$C$7,DEPENSES!$BN$119:$BN$168,2))</f>
        <v>0</v>
      </c>
      <c r="BC3" s="211">
        <f t="shared" ref="BC3:BC13" si="2">BA3-BB3</f>
        <v>0</v>
      </c>
      <c r="BD3" s="212"/>
      <c r="BE3" s="212">
        <f t="shared" ref="BE3:BE13" si="3">AE2</f>
        <v>0</v>
      </c>
      <c r="BF3" s="212">
        <f t="shared" ref="BF3:BF13" si="4">AF2</f>
        <v>0</v>
      </c>
      <c r="BG3" s="212">
        <f t="shared" ref="BG3:BG13" si="5">AG2</f>
        <v>0</v>
      </c>
      <c r="BH3" s="212"/>
      <c r="BI3" s="212">
        <f t="shared" ref="BI3:BJ6" si="6">AI2</f>
        <v>0</v>
      </c>
      <c r="BJ3" s="212">
        <f t="shared" si="6"/>
        <v>0</v>
      </c>
      <c r="BK3" s="212"/>
      <c r="BL3" s="212">
        <f>AL2</f>
        <v>0</v>
      </c>
      <c r="BM3" s="212">
        <f>AM2</f>
        <v>0</v>
      </c>
      <c r="BN3" s="212"/>
      <c r="BO3" s="212">
        <f t="shared" ref="BO3:BP6" si="7">AO2</f>
        <v>0</v>
      </c>
      <c r="BP3" s="212">
        <f t="shared" si="7"/>
        <v>0</v>
      </c>
    </row>
    <row r="4" spans="2:70" ht="19.5" customHeight="1">
      <c r="AA4" s="210">
        <v>2026</v>
      </c>
      <c r="AB4" s="210" t="s">
        <v>16</v>
      </c>
      <c r="AC4" s="210" t="s">
        <v>19</v>
      </c>
      <c r="AE4" s="210" t="s">
        <v>20</v>
      </c>
      <c r="AF4" s="210">
        <f>IF($C$7="Toutes les années",IF($K$7="Tous",SUMIFS(RECETTES!$AB$39:$AB$88,RECETTES!$X$39:$X$88,AE4),SUMIFS(RECETTES!$AB$39:$AB$88,RECETTES!$X$39:$X$88,AE4,RECETTES!$J$39:$J$88,$K$7)),IF($K$7="Tous",SUMIFS(RECETTES!$AB$39:$AB$88,RECETTES!$V$39:$V$88,$C$7,RECETTES!$X$39:$X$88,AE4),SUMIFS(RECETTES!$AB$39:$AB$88,RECETTES!$V$39:$V$88,$C$7,RECETTES!$X$39:$X$88,AE4,RECETTES!$J$39:$J$88,$K$7)))</f>
        <v>0</v>
      </c>
      <c r="AG4" s="210">
        <f>IF($C$7="Toutes les années",IF($K$7="Tous",SUMIFS(DEPENSES!$AG$119:$AG$168,DEPENSES!$BO$119:$BO$168,AE4),SUMIFS(DEPENSES!$AG$119:$AG$168,DEPENSES!$BO$119:$BO$168,AE4,DEPENSES!$G$119:$G$168,$K$7)),IF($K$7="Tous",SUMIFS(DEPENSES!$AG$119:$AG$168,DEPENSES!$BM$119:$BM$168,$C$7,DEPENSES!$BO$119:$BO$168,AE4),SUMIFS(DEPENSES!$AG$119:$AG$168,DEPENSES!$BM$119:$BM$168,$C$7,DEPENSES!$BO$119:$BO$168,AE4,DEPENSES!$G$119:$G$168,$K$7)))</f>
        <v>0</v>
      </c>
      <c r="AI4" s="210" t="s">
        <v>21</v>
      </c>
      <c r="AJ4" s="210">
        <f>IF($C$7="Toutes les années",IF($K$7="Tous",COUNTIFS(PROJETS!$A$56:$A$95,"PROJ*",PROJETS!$AD$56:$AD$95,"Suspendu"),COUNTIFS(PROJETS!$A$56:$A$95,"PROJ*",PROJETS!$J$56:$J$95,$K$7,PROJETS!$AD$56:$AD$95,"Suspendu")),IF($K$7="Tous",COUNTIFS(PROJETS!$A$56:$A$95,"PROJ*",PROJETS!$AD$56:$AD$95,"Suspendu",PROJETS!$X$56:$X$95,"&gt;="&amp;DATE($C$7,1,1),PROJETS!$X$56:$X$95,"&lt;"&amp;DATE($C$7+1,1,1)),COUNTIFS(PROJETS!$A$56:$A$95,"PROJ*",PROJETS!$J$56:$J$95,$K$7,PROJETS!$AD$56:$AD$95,"Suspendu",PROJETS!$X$56:$X$95,"&gt;="&amp;DATE($C$7,1,1),PROJETS!$X$56:$X$95,"&lt;"&amp;DATE($C$7+1,1,1))))</f>
        <v>0</v>
      </c>
      <c r="AO4" s="210" t="s">
        <v>22</v>
      </c>
      <c r="AP4" s="210">
        <f>IF($C$7="Toutes les années",IF($K$7="Tous",COUNTIFS(ACTIVITES!$A$56:$A$105,"ACT*",ACTIVITES!$Z$56:$Z$105,"Reportee"),COUNTIFS(ACTIVITES!$A$56:$A$105,"ACT*",ACTIVITES!$K$56:$K$105,$K$7,ACTIVITES!$Z$56:$Z$105,"Reportee")),IF($K$7="Tous",COUNTIFS(ACTIVITES!$A$56:$A$105,"ACT*",ACTIVITES!$S$56:$S$105,$C$7,ACTIVITES!$Z$56:$Z$105,"Reportee"),COUNTIFS(ACTIVITES!$A$56:$A$105,"ACT*",ACTIVITES!$K$56:$K$105,$K$7,ACTIVITES!$S$56:$S$105,$C$7,ACTIVITES!$Z$56:$Z$105,"Reportee")))</f>
        <v>0</v>
      </c>
      <c r="AR4" s="211">
        <v>2026</v>
      </c>
      <c r="AS4" s="211">
        <f>COUNTIFS(PROJETS!$A$56:$A$95,"PROJ*",PROJETS!$X$56:$X$95,"&gt;="&amp;DATE(AR4,1,1),PROJETS!$X$56:$X$95,"&lt;"&amp;DATE(AR4+1,1,1))</f>
        <v>0</v>
      </c>
      <c r="AT4" s="211">
        <f>COUNTIFS(BENEFICIAIRES!$A$56:$A$115,"BEN*",BENEFICIAIRES!$BB$56:$BB$115,"&gt;="&amp;DATE(AR4,1,1),BENEFICIAIRES!$BB$56:$BB$115,"&lt;"&amp;DATE(AR4+1,1,1))</f>
        <v>0</v>
      </c>
      <c r="AU4" s="211">
        <f>SUMIFS(RECETTES!$AB$39:$AB$88,RECETTES!$V$39:$V$88,AR4)</f>
        <v>0</v>
      </c>
      <c r="AV4" s="211">
        <f>SUMIFS(DEPENSES!$AG$119:$AG$168,DEPENSES!$BM$119:$BM$168,AR4)</f>
        <v>0</v>
      </c>
      <c r="AW4" s="211">
        <f>COUNTIFS(ACTIVITES!$A$56:$A$105,"ACT*",ACTIVITES!$S$56:$S$105,AR4,ACTIVITES!$Z$56:$Z$105,"Realisee")</f>
        <v>0</v>
      </c>
      <c r="AX4" s="211">
        <f t="shared" si="0"/>
        <v>2025</v>
      </c>
      <c r="AY4" s="211">
        <f t="shared" si="1"/>
        <v>0</v>
      </c>
      <c r="AZ4" s="211" t="s">
        <v>16</v>
      </c>
      <c r="BA4" s="211">
        <f>IF($C$7="Toutes les années",SUMIFS(RECETTES!$AB$39:$AB$88,RECETTES!$V$39:$V$88,2026,RECETTES!$W$39:$W$88,3),SUMIFS(RECETTES!$AB$39:$AB$88,RECETTES!$V$39:$V$88,$C$7,RECETTES!$W$39:$W$88,3))</f>
        <v>0</v>
      </c>
      <c r="BB4" s="211">
        <f>IF($C$7="Toutes les années",SUMIFS(DEPENSES!$AG$119:$AG$168,DEPENSES!$BM$119:$BM$168,2026,DEPENSES!$BN$119:$BN$168,3),SUMIFS(DEPENSES!$AG$119:$AG$168,DEPENSES!$BM$119:$BM$168,$C$7,DEPENSES!$BN$119:$BN$168,3))</f>
        <v>0</v>
      </c>
      <c r="BC4" s="211">
        <f t="shared" si="2"/>
        <v>0</v>
      </c>
      <c r="BD4" s="212"/>
      <c r="BE4" s="212" t="str">
        <f t="shared" si="3"/>
        <v>Mars</v>
      </c>
      <c r="BF4" s="212">
        <f t="shared" si="4"/>
        <v>0</v>
      </c>
      <c r="BG4" s="212">
        <f t="shared" si="5"/>
        <v>0</v>
      </c>
      <c r="BH4" s="212"/>
      <c r="BI4" s="212" t="str">
        <f t="shared" si="6"/>
        <v>Terminé</v>
      </c>
      <c r="BJ4" s="212">
        <f t="shared" si="6"/>
        <v>0</v>
      </c>
      <c r="BK4" s="212"/>
      <c r="BL4" s="212"/>
      <c r="BM4" s="212"/>
      <c r="BN4" s="212"/>
      <c r="BO4" s="212" t="str">
        <f t="shared" si="7"/>
        <v>Réalisée</v>
      </c>
      <c r="BP4" s="212">
        <f t="shared" si="7"/>
        <v>0</v>
      </c>
    </row>
    <row r="5" spans="2:70" ht="24" customHeight="1">
      <c r="B5" s="243" t="s">
        <v>23</v>
      </c>
      <c r="C5" s="231"/>
      <c r="D5" s="231"/>
      <c r="E5" s="231"/>
      <c r="F5" s="231"/>
      <c r="G5" s="231"/>
      <c r="H5" s="231"/>
      <c r="I5" s="231"/>
      <c r="J5" s="231"/>
      <c r="K5" s="231"/>
      <c r="L5" s="231"/>
      <c r="M5" s="231"/>
      <c r="N5" s="231"/>
      <c r="O5" s="231"/>
      <c r="P5" s="231"/>
      <c r="Q5" s="231"/>
      <c r="R5" s="231"/>
      <c r="S5" s="231"/>
      <c r="T5" s="231"/>
      <c r="U5" s="231"/>
      <c r="V5" s="231"/>
      <c r="W5" s="231"/>
      <c r="X5" s="231"/>
      <c r="AA5" s="210">
        <v>2027</v>
      </c>
      <c r="AB5" s="210" t="s">
        <v>20</v>
      </c>
      <c r="AC5" s="210" t="s">
        <v>24</v>
      </c>
      <c r="AE5" s="210" t="s">
        <v>25</v>
      </c>
      <c r="AF5" s="210">
        <f>IF($C$7="Toutes les années",IF($K$7="Tous",SUMIFS(RECETTES!$AB$39:$AB$88,RECETTES!$X$39:$X$88,AE5),SUMIFS(RECETTES!$AB$39:$AB$88,RECETTES!$X$39:$X$88,AE5,RECETTES!$J$39:$J$88,$K$7)),IF($K$7="Tous",SUMIFS(RECETTES!$AB$39:$AB$88,RECETTES!$V$39:$V$88,$C$7,RECETTES!$X$39:$X$88,AE5),SUMIFS(RECETTES!$AB$39:$AB$88,RECETTES!$V$39:$V$88,$C$7,RECETTES!$X$39:$X$88,AE5,RECETTES!$J$39:$J$88,$K$7)))</f>
        <v>0</v>
      </c>
      <c r="AG5" s="210">
        <f>IF($C$7="Toutes les années",IF($K$7="Tous",SUMIFS(DEPENSES!$AG$119:$AG$168,DEPENSES!$BO$119:$BO$168,AE5),SUMIFS(DEPENSES!$AG$119:$AG$168,DEPENSES!$BO$119:$BO$168,AE5,DEPENSES!$G$119:$G$168,$K$7)),IF($K$7="Tous",SUMIFS(DEPENSES!$AG$119:$AG$168,DEPENSES!$BM$119:$BM$168,$C$7,DEPENSES!$BO$119:$BO$168,AE5),SUMIFS(DEPENSES!$AG$119:$AG$168,DEPENSES!$BM$119:$BM$168,$C$7,DEPENSES!$BO$119:$BO$168,AE5,DEPENSES!$G$119:$G$168,$K$7)))</f>
        <v>0</v>
      </c>
      <c r="AI5" s="210" t="s">
        <v>26</v>
      </c>
      <c r="AJ5" s="210">
        <f>IF($C$7="Toutes les années",IF($K$7="Tous",COUNTIFS(PROJETS!$A$56:$A$95,"PROJ*",PROJETS!$AD$56:$AD$95,"Annule"),COUNTIFS(PROJETS!$A$56:$A$95,"PROJ*",PROJETS!$J$56:$J$95,$K$7,PROJETS!$AD$56:$AD$95,"Annule")),IF($K$7="Tous",COUNTIFS(PROJETS!$A$56:$A$95,"PROJ*",PROJETS!$AD$56:$AD$95,"Annule",PROJETS!$X$56:$X$95,"&gt;="&amp;DATE($C$7,1,1),PROJETS!$X$56:$X$95,"&lt;"&amp;DATE($C$7+1,1,1)),COUNTIFS(PROJETS!$A$56:$A$95,"PROJ*",PROJETS!$J$56:$J$95,$K$7,PROJETS!$AD$56:$AD$95,"Annule",PROJETS!$X$56:$X$95,"&gt;="&amp;DATE($C$7,1,1),PROJETS!$X$56:$X$95,"&lt;"&amp;DATE($C$7+1,1,1))))</f>
        <v>0</v>
      </c>
      <c r="AO5" s="210" t="s">
        <v>27</v>
      </c>
      <c r="AP5" s="210">
        <f>IF($C$7="Toutes les années",IF($K$7="Tous",COUNTIFS(ACTIVITES!$A$56:$A$105,"ACT*",ACTIVITES!$Z$56:$Z$105,"Annulee"),COUNTIFS(ACTIVITES!$A$56:$A$105,"ACT*",ACTIVITES!$K$56:$K$105,$K$7,ACTIVITES!$Z$56:$Z$105,"Annulee")),IF($K$7="Tous",COUNTIFS(ACTIVITES!$A$56:$A$105,"ACT*",ACTIVITES!$S$56:$S$105,$C$7,ACTIVITES!$Z$56:$Z$105,"Annulee"),COUNTIFS(ACTIVITES!$A$56:$A$105,"ACT*",ACTIVITES!$K$56:$K$105,$K$7,ACTIVITES!$S$56:$S$105,$C$7,ACTIVITES!$Z$56:$Z$105,"Annulee")))</f>
        <v>0</v>
      </c>
      <c r="AR5" s="211">
        <v>2027</v>
      </c>
      <c r="AS5" s="211">
        <f>COUNTIFS(PROJETS!$A$56:$A$95,"PROJ*",PROJETS!$X$56:$X$95,"&gt;="&amp;DATE(AR5,1,1),PROJETS!$X$56:$X$95,"&lt;"&amp;DATE(AR5+1,1,1))</f>
        <v>0</v>
      </c>
      <c r="AT5" s="211">
        <f>COUNTIFS(BENEFICIAIRES!$A$56:$A$115,"BEN*",BENEFICIAIRES!$BB$56:$BB$115,"&gt;="&amp;DATE(AR5,1,1),BENEFICIAIRES!$BB$56:$BB$115,"&lt;"&amp;DATE(AR5+1,1,1))</f>
        <v>0</v>
      </c>
      <c r="AU5" s="211">
        <f>SUMIFS(RECETTES!$AB$39:$AB$88,RECETTES!$V$39:$V$88,AR5)</f>
        <v>0</v>
      </c>
      <c r="AV5" s="211">
        <f>SUMIFS(DEPENSES!$AG$119:$AG$168,DEPENSES!$BM$119:$BM$168,AR5)</f>
        <v>0</v>
      </c>
      <c r="AW5" s="211">
        <f>COUNTIFS(ACTIVITES!$A$56:$A$105,"ACT*",ACTIVITES!$S$56:$S$105,AR5,ACTIVITES!$Z$56:$Z$105,"Realisee")</f>
        <v>0</v>
      </c>
      <c r="AX5" s="211">
        <f t="shared" si="0"/>
        <v>2026</v>
      </c>
      <c r="AY5" s="211">
        <f t="shared" si="1"/>
        <v>0</v>
      </c>
      <c r="AZ5" s="211" t="s">
        <v>20</v>
      </c>
      <c r="BA5" s="211">
        <f>IF($C$7="Toutes les années",SUMIFS(RECETTES!$AB$39:$AB$88,RECETTES!$V$39:$V$88,2026,RECETTES!$W$39:$W$88,4),SUMIFS(RECETTES!$AB$39:$AB$88,RECETTES!$V$39:$V$88,$C$7,RECETTES!$W$39:$W$88,4))</f>
        <v>0</v>
      </c>
      <c r="BB5" s="211">
        <f>IF($C$7="Toutes les années",SUMIFS(DEPENSES!$AG$119:$AG$168,DEPENSES!$BM$119:$BM$168,2026,DEPENSES!$BN$119:$BN$168,4),SUMIFS(DEPENSES!$AG$119:$AG$168,DEPENSES!$BM$119:$BM$168,$C$7,DEPENSES!$BN$119:$BN$168,4))</f>
        <v>0</v>
      </c>
      <c r="BC5" s="211">
        <f t="shared" si="2"/>
        <v>0</v>
      </c>
      <c r="BD5" s="212"/>
      <c r="BE5" s="212" t="str">
        <f t="shared" si="3"/>
        <v>Avril</v>
      </c>
      <c r="BF5" s="212">
        <f t="shared" si="4"/>
        <v>0</v>
      </c>
      <c r="BG5" s="212">
        <f t="shared" si="5"/>
        <v>0</v>
      </c>
      <c r="BH5" s="212"/>
      <c r="BI5" s="212" t="str">
        <f t="shared" si="6"/>
        <v>Suspendu</v>
      </c>
      <c r="BJ5" s="212">
        <f t="shared" si="6"/>
        <v>0</v>
      </c>
      <c r="BK5" s="212"/>
      <c r="BL5" s="212"/>
      <c r="BM5" s="212"/>
      <c r="BN5" s="212"/>
      <c r="BO5" s="212" t="str">
        <f t="shared" si="7"/>
        <v>Reportée</v>
      </c>
      <c r="BP5" s="212">
        <f t="shared" si="7"/>
        <v>0</v>
      </c>
    </row>
    <row r="6" spans="2:70" ht="24" customHeight="1">
      <c r="B6" s="219" t="s">
        <v>28</v>
      </c>
      <c r="C6" s="220"/>
      <c r="F6" s="219" t="s">
        <v>29</v>
      </c>
      <c r="G6" s="220"/>
      <c r="J6" s="219" t="s">
        <v>30</v>
      </c>
      <c r="K6" s="220"/>
      <c r="N6" s="238" t="s">
        <v>31</v>
      </c>
      <c r="O6" s="239"/>
      <c r="P6" s="239"/>
      <c r="Q6" s="239"/>
      <c r="R6" s="239"/>
      <c r="S6" s="239"/>
      <c r="T6" s="239"/>
      <c r="U6" s="239"/>
      <c r="V6" s="239"/>
      <c r="W6" s="239"/>
      <c r="X6" s="240"/>
      <c r="AA6" s="210">
        <v>2028</v>
      </c>
      <c r="AB6" s="210" t="s">
        <v>25</v>
      </c>
      <c r="AC6" s="210" t="s">
        <v>32</v>
      </c>
      <c r="AE6" s="210" t="s">
        <v>33</v>
      </c>
      <c r="AF6" s="210">
        <f>IF($C$7="Toutes les années",IF($K$7="Tous",SUMIFS(RECETTES!$AB$39:$AB$88,RECETTES!$X$39:$X$88,AE6),SUMIFS(RECETTES!$AB$39:$AB$88,RECETTES!$X$39:$X$88,AE6,RECETTES!$J$39:$J$88,$K$7)),IF($K$7="Tous",SUMIFS(RECETTES!$AB$39:$AB$88,RECETTES!$V$39:$V$88,$C$7,RECETTES!$X$39:$X$88,AE6),SUMIFS(RECETTES!$AB$39:$AB$88,RECETTES!$V$39:$V$88,$C$7,RECETTES!$X$39:$X$88,AE6,RECETTES!$J$39:$J$88,$K$7)))</f>
        <v>0</v>
      </c>
      <c r="AG6" s="210">
        <f>IF($C$7="Toutes les années",IF($K$7="Tous",SUMIFS(DEPENSES!$AG$119:$AG$168,DEPENSES!$BO$119:$BO$168,AE6),SUMIFS(DEPENSES!$AG$119:$AG$168,DEPENSES!$BO$119:$BO$168,AE6,DEPENSES!$G$119:$G$168,$K$7)),IF($K$7="Tous",SUMIFS(DEPENSES!$AG$119:$AG$168,DEPENSES!$BM$119:$BM$168,$C$7,DEPENSES!$BO$119:$BO$168,AE6),SUMIFS(DEPENSES!$AG$119:$AG$168,DEPENSES!$BM$119:$BM$168,$C$7,DEPENSES!$BO$119:$BO$168,AE6,DEPENSES!$G$119:$G$168,$K$7)))</f>
        <v>0</v>
      </c>
      <c r="AR6" s="211">
        <v>2028</v>
      </c>
      <c r="AS6" s="211">
        <f>COUNTIFS(PROJETS!$A$56:$A$95,"PROJ*",PROJETS!$X$56:$X$95,"&gt;="&amp;DATE(AR6,1,1),PROJETS!$X$56:$X$95,"&lt;"&amp;DATE(AR6+1,1,1))</f>
        <v>0</v>
      </c>
      <c r="AT6" s="211">
        <f>COUNTIFS(BENEFICIAIRES!$A$56:$A$115,"BEN*",BENEFICIAIRES!$BB$56:$BB$115,"&gt;="&amp;DATE(AR6,1,1),BENEFICIAIRES!$BB$56:$BB$115,"&lt;"&amp;DATE(AR6+1,1,1))</f>
        <v>0</v>
      </c>
      <c r="AU6" s="211">
        <f>SUMIFS(RECETTES!$AB$39:$AB$88,RECETTES!$V$39:$V$88,AR6)</f>
        <v>0</v>
      </c>
      <c r="AV6" s="211">
        <f>SUMIFS(DEPENSES!$AG$119:$AG$168,DEPENSES!$BM$119:$BM$168,AR6)</f>
        <v>0</v>
      </c>
      <c r="AW6" s="211">
        <f>COUNTIFS(ACTIVITES!$A$56:$A$105,"ACT*",ACTIVITES!$S$56:$S$105,AR6,ACTIVITES!$Z$56:$Z$105,"Realisee")</f>
        <v>0</v>
      </c>
      <c r="AX6" s="211">
        <f t="shared" si="0"/>
        <v>2027</v>
      </c>
      <c r="AY6" s="211">
        <f t="shared" si="1"/>
        <v>0</v>
      </c>
      <c r="AZ6" s="211" t="s">
        <v>25</v>
      </c>
      <c r="BA6" s="211">
        <f>IF($C$7="Toutes les années",SUMIFS(RECETTES!$AB$39:$AB$88,RECETTES!$V$39:$V$88,2026,RECETTES!$W$39:$W$88,5),SUMIFS(RECETTES!$AB$39:$AB$88,RECETTES!$V$39:$V$88,$C$7,RECETTES!$W$39:$W$88,5))</f>
        <v>0</v>
      </c>
      <c r="BB6" s="211">
        <f>IF($C$7="Toutes les années",SUMIFS(DEPENSES!$AG$119:$AG$168,DEPENSES!$BM$119:$BM$168,2026,DEPENSES!$BN$119:$BN$168,5),SUMIFS(DEPENSES!$AG$119:$AG$168,DEPENSES!$BM$119:$BM$168,$C$7,DEPENSES!$BN$119:$BN$168,5))</f>
        <v>0</v>
      </c>
      <c r="BC6" s="211">
        <f t="shared" si="2"/>
        <v>0</v>
      </c>
      <c r="BD6" s="212"/>
      <c r="BE6" s="212" t="str">
        <f t="shared" si="3"/>
        <v>Mai</v>
      </c>
      <c r="BF6" s="212">
        <f t="shared" si="4"/>
        <v>0</v>
      </c>
      <c r="BG6" s="212">
        <f t="shared" si="5"/>
        <v>0</v>
      </c>
      <c r="BH6" s="212"/>
      <c r="BI6" s="212" t="str">
        <f t="shared" si="6"/>
        <v>Annulé</v>
      </c>
      <c r="BJ6" s="212">
        <f t="shared" si="6"/>
        <v>0</v>
      </c>
      <c r="BK6" s="212"/>
      <c r="BL6" s="212"/>
      <c r="BM6" s="212"/>
      <c r="BN6" s="212"/>
      <c r="BO6" s="212" t="str">
        <f t="shared" si="7"/>
        <v>Annulée</v>
      </c>
      <c r="BP6" s="212">
        <f t="shared" si="7"/>
        <v>0</v>
      </c>
    </row>
    <row r="7" spans="2:70" ht="22.5" customHeight="1">
      <c r="C7" s="213" t="s">
        <v>0</v>
      </c>
      <c r="G7" s="213" t="s">
        <v>1</v>
      </c>
      <c r="K7" s="213" t="s">
        <v>2</v>
      </c>
      <c r="N7" s="241"/>
      <c r="O7" s="234"/>
      <c r="P7" s="234"/>
      <c r="Q7" s="234"/>
      <c r="R7" s="234"/>
      <c r="S7" s="234"/>
      <c r="T7" s="234"/>
      <c r="U7" s="234"/>
      <c r="V7" s="234"/>
      <c r="W7" s="234"/>
      <c r="X7" s="235"/>
      <c r="AA7" s="210">
        <v>2029</v>
      </c>
      <c r="AB7" s="210" t="s">
        <v>33</v>
      </c>
      <c r="AC7" s="210" t="s">
        <v>34</v>
      </c>
      <c r="AE7" s="210" t="s">
        <v>35</v>
      </c>
      <c r="AF7" s="210">
        <f>IF($C$7="Toutes les années",IF($K$7="Tous",SUMIFS(RECETTES!$AB$39:$AB$88,RECETTES!$X$39:$X$88,AE7),SUMIFS(RECETTES!$AB$39:$AB$88,RECETTES!$X$39:$X$88,AE7,RECETTES!$J$39:$J$88,$K$7)),IF($K$7="Tous",SUMIFS(RECETTES!$AB$39:$AB$88,RECETTES!$V$39:$V$88,$C$7,RECETTES!$X$39:$X$88,AE7),SUMIFS(RECETTES!$AB$39:$AB$88,RECETTES!$V$39:$V$88,$C$7,RECETTES!$X$39:$X$88,AE7,RECETTES!$J$39:$J$88,$K$7)))</f>
        <v>0</v>
      </c>
      <c r="AG7" s="210">
        <f>IF($C$7="Toutes les années",IF($K$7="Tous",SUMIFS(DEPENSES!$AG$119:$AG$168,DEPENSES!$BO$119:$BO$168,AE7),SUMIFS(DEPENSES!$AG$119:$AG$168,DEPENSES!$BO$119:$BO$168,AE7,DEPENSES!$G$119:$G$168,$K$7)),IF($K$7="Tous",SUMIFS(DEPENSES!$AG$119:$AG$168,DEPENSES!$BM$119:$BM$168,$C$7,DEPENSES!$BO$119:$BO$168,AE7),SUMIFS(DEPENSES!$AG$119:$AG$168,DEPENSES!$BM$119:$BM$168,$C$7,DEPENSES!$BO$119:$BO$168,AE7,DEPENSES!$G$119:$G$168,$K$7)))</f>
        <v>0</v>
      </c>
      <c r="AR7" s="211">
        <v>2029</v>
      </c>
      <c r="AS7" s="211">
        <f>COUNTIFS(PROJETS!$A$56:$A$95,"PROJ*",PROJETS!$X$56:$X$95,"&gt;="&amp;DATE(AR7,1,1),PROJETS!$X$56:$X$95,"&lt;"&amp;DATE(AR7+1,1,1))</f>
        <v>0</v>
      </c>
      <c r="AT7" s="211">
        <f>COUNTIFS(BENEFICIAIRES!$A$56:$A$115,"BEN*",BENEFICIAIRES!$BB$56:$BB$115,"&gt;="&amp;DATE(AR7,1,1),BENEFICIAIRES!$BB$56:$BB$115,"&lt;"&amp;DATE(AR7+1,1,1))</f>
        <v>0</v>
      </c>
      <c r="AU7" s="211">
        <f>SUMIFS(RECETTES!$AB$39:$AB$88,RECETTES!$V$39:$V$88,AR7)</f>
        <v>0</v>
      </c>
      <c r="AV7" s="211">
        <f>SUMIFS(DEPENSES!$AG$119:$AG$168,DEPENSES!$BM$119:$BM$168,AR7)</f>
        <v>0</v>
      </c>
      <c r="AW7" s="211">
        <f>COUNTIFS(ACTIVITES!$A$56:$A$105,"ACT*",ACTIVITES!$S$56:$S$105,AR7,ACTIVITES!$Z$56:$Z$105,"Realisee")</f>
        <v>0</v>
      </c>
      <c r="AX7" s="211">
        <f t="shared" si="0"/>
        <v>2028</v>
      </c>
      <c r="AY7" s="211">
        <f t="shared" si="1"/>
        <v>0</v>
      </c>
      <c r="AZ7" s="211" t="s">
        <v>33</v>
      </c>
      <c r="BA7" s="211">
        <f>IF($C$7="Toutes les années",SUMIFS(RECETTES!$AB$39:$AB$88,RECETTES!$V$39:$V$88,2026,RECETTES!$W$39:$W$88,6),SUMIFS(RECETTES!$AB$39:$AB$88,RECETTES!$V$39:$V$88,$C$7,RECETTES!$W$39:$W$88,6))</f>
        <v>0</v>
      </c>
      <c r="BB7" s="211">
        <f>IF($C$7="Toutes les années",SUMIFS(DEPENSES!$AG$119:$AG$168,DEPENSES!$BM$119:$BM$168,2026,DEPENSES!$BN$119:$BN$168,6),SUMIFS(DEPENSES!$AG$119:$AG$168,DEPENSES!$BM$119:$BM$168,$C$7,DEPENSES!$BN$119:$BN$168,6))</f>
        <v>0</v>
      </c>
      <c r="BC7" s="211">
        <f t="shared" si="2"/>
        <v>0</v>
      </c>
      <c r="BD7" s="212"/>
      <c r="BE7" s="212" t="str">
        <f t="shared" si="3"/>
        <v>Juin</v>
      </c>
      <c r="BF7" s="212">
        <f t="shared" si="4"/>
        <v>0</v>
      </c>
      <c r="BG7" s="212">
        <f t="shared" si="5"/>
        <v>0</v>
      </c>
      <c r="BH7" s="212"/>
      <c r="BI7" s="212"/>
      <c r="BJ7" s="212"/>
      <c r="BK7" s="212"/>
      <c r="BL7" s="212"/>
      <c r="BM7" s="212"/>
      <c r="BN7" s="212"/>
      <c r="BO7" s="212"/>
      <c r="BP7" s="212"/>
    </row>
    <row r="8" spans="2:70" ht="21.75" customHeight="1">
      <c r="AA8" s="210">
        <v>2030</v>
      </c>
      <c r="AB8" s="210" t="s">
        <v>35</v>
      </c>
      <c r="AC8" s="210" t="s">
        <v>36</v>
      </c>
      <c r="AE8" s="210" t="s">
        <v>37</v>
      </c>
      <c r="AF8" s="210">
        <f>IF($C$7="Toutes les années",IF($K$7="Tous",SUMIFS(RECETTES!$AB$39:$AB$88,RECETTES!$X$39:$X$88,AE8),SUMIFS(RECETTES!$AB$39:$AB$88,RECETTES!$X$39:$X$88,AE8,RECETTES!$J$39:$J$88,$K$7)),IF($K$7="Tous",SUMIFS(RECETTES!$AB$39:$AB$88,RECETTES!$V$39:$V$88,$C$7,RECETTES!$X$39:$X$88,AE8),SUMIFS(RECETTES!$AB$39:$AB$88,RECETTES!$V$39:$V$88,$C$7,RECETTES!$X$39:$X$88,AE8,RECETTES!$J$39:$J$88,$K$7)))</f>
        <v>0</v>
      </c>
      <c r="AG8" s="210">
        <f>IF($C$7="Toutes les années",IF($K$7="Tous",SUMIFS(DEPENSES!$AG$119:$AG$168,DEPENSES!$BO$119:$BO$168,AE8),SUMIFS(DEPENSES!$AG$119:$AG$168,DEPENSES!$BO$119:$BO$168,AE8,DEPENSES!$G$119:$G$168,$K$7)),IF($K$7="Tous",SUMIFS(DEPENSES!$AG$119:$AG$168,DEPENSES!$BM$119:$BM$168,$C$7,DEPENSES!$BO$119:$BO$168,AE8),SUMIFS(DEPENSES!$AG$119:$AG$168,DEPENSES!$BM$119:$BM$168,$C$7,DEPENSES!$BO$119:$BO$168,AE8,DEPENSES!$G$119:$G$168,$K$7)))</f>
        <v>0</v>
      </c>
      <c r="AR8" s="211">
        <v>2030</v>
      </c>
      <c r="AS8" s="211">
        <f>COUNTIFS(PROJETS!$A$56:$A$95,"PROJ*",PROJETS!$X$56:$X$95,"&gt;="&amp;DATE(AR8,1,1),PROJETS!$X$56:$X$95,"&lt;"&amp;DATE(AR8+1,1,1))</f>
        <v>0</v>
      </c>
      <c r="AT8" s="211">
        <f>COUNTIFS(BENEFICIAIRES!$A$56:$A$115,"BEN*",BENEFICIAIRES!$BB$56:$BB$115,"&gt;="&amp;DATE(AR8,1,1),BENEFICIAIRES!$BB$56:$BB$115,"&lt;"&amp;DATE(AR8+1,1,1))</f>
        <v>0</v>
      </c>
      <c r="AU8" s="211">
        <f>SUMIFS(RECETTES!$AB$39:$AB$88,RECETTES!$V$39:$V$88,AR8)</f>
        <v>0</v>
      </c>
      <c r="AV8" s="211">
        <f>SUMIFS(DEPENSES!$AG$119:$AG$168,DEPENSES!$BM$119:$BM$168,AR8)</f>
        <v>0</v>
      </c>
      <c r="AW8" s="211">
        <f>COUNTIFS(ACTIVITES!$A$56:$A$105,"ACT*",ACTIVITES!$S$56:$S$105,AR8,ACTIVITES!$Z$56:$Z$105,"Realisee")</f>
        <v>0</v>
      </c>
      <c r="AX8" s="211">
        <f t="shared" si="0"/>
        <v>2029</v>
      </c>
      <c r="AY8" s="211">
        <f t="shared" si="1"/>
        <v>0</v>
      </c>
      <c r="AZ8" s="211" t="s">
        <v>35</v>
      </c>
      <c r="BA8" s="211">
        <f>IF($C$7="Toutes les années",SUMIFS(RECETTES!$AB$39:$AB$88,RECETTES!$V$39:$V$88,2026,RECETTES!$W$39:$W$88,7),SUMIFS(RECETTES!$AB$39:$AB$88,RECETTES!$V$39:$V$88,$C$7,RECETTES!$W$39:$W$88,7))</f>
        <v>0</v>
      </c>
      <c r="BB8" s="211">
        <f>IF($C$7="Toutes les années",SUMIFS(DEPENSES!$AG$119:$AG$168,DEPENSES!$BM$119:$BM$168,2026,DEPENSES!$BN$119:$BN$168,7),SUMIFS(DEPENSES!$AG$119:$AG$168,DEPENSES!$BM$119:$BM$168,$C$7,DEPENSES!$BN$119:$BN$168,7))</f>
        <v>0</v>
      </c>
      <c r="BC8" s="211">
        <f t="shared" si="2"/>
        <v>0</v>
      </c>
      <c r="BD8" s="212"/>
      <c r="BE8" s="212" t="str">
        <f t="shared" si="3"/>
        <v>Juillet</v>
      </c>
      <c r="BF8" s="212">
        <f t="shared" si="4"/>
        <v>0</v>
      </c>
      <c r="BG8" s="212">
        <f t="shared" si="5"/>
        <v>0</v>
      </c>
      <c r="BH8" s="212"/>
      <c r="BI8" s="212"/>
      <c r="BJ8" s="212"/>
      <c r="BK8" s="212"/>
      <c r="BL8" s="212"/>
      <c r="BM8" s="212"/>
      <c r="BN8" s="212"/>
      <c r="BO8" s="212"/>
      <c r="BP8" s="212"/>
    </row>
    <row r="9" spans="2:70" ht="19.5" customHeight="1">
      <c r="AA9" s="210">
        <v>2031</v>
      </c>
      <c r="AB9" s="210" t="s">
        <v>37</v>
      </c>
      <c r="AC9" s="210" t="s">
        <v>38</v>
      </c>
      <c r="AE9" s="210" t="s">
        <v>39</v>
      </c>
      <c r="AF9" s="210">
        <f>IF($C$7="Toutes les années",IF($K$7="Tous",SUMIFS(RECETTES!$AB$39:$AB$88,RECETTES!$X$39:$X$88,AE9),SUMIFS(RECETTES!$AB$39:$AB$88,RECETTES!$X$39:$X$88,AE9,RECETTES!$J$39:$J$88,$K$7)),IF($K$7="Tous",SUMIFS(RECETTES!$AB$39:$AB$88,RECETTES!$V$39:$V$88,$C$7,RECETTES!$X$39:$X$88,AE9),SUMIFS(RECETTES!$AB$39:$AB$88,RECETTES!$V$39:$V$88,$C$7,RECETTES!$X$39:$X$88,AE9,RECETTES!$J$39:$J$88,$K$7)))</f>
        <v>0</v>
      </c>
      <c r="AG9" s="210">
        <f>IF($C$7="Toutes les années",IF($K$7="Tous",SUMIFS(DEPENSES!$AG$119:$AG$168,DEPENSES!$BO$119:$BO$168,AE9),SUMIFS(DEPENSES!$AG$119:$AG$168,DEPENSES!$BO$119:$BO$168,AE9,DEPENSES!$G$119:$G$168,$K$7)),IF($K$7="Tous",SUMIFS(DEPENSES!$AG$119:$AG$168,DEPENSES!$BM$119:$BM$168,$C$7,DEPENSES!$BO$119:$BO$168,AE9),SUMIFS(DEPENSES!$AG$119:$AG$168,DEPENSES!$BM$119:$BM$168,$C$7,DEPENSES!$BO$119:$BO$168,AE9,DEPENSES!$G$119:$G$168,$K$7)))</f>
        <v>0</v>
      </c>
      <c r="AR9" s="211">
        <v>2031</v>
      </c>
      <c r="AS9" s="211">
        <f>COUNTIFS(PROJETS!$A$56:$A$95,"PROJ*",PROJETS!$X$56:$X$95,"&gt;="&amp;DATE(AR9,1,1),PROJETS!$X$56:$X$95,"&lt;"&amp;DATE(AR9+1,1,1))</f>
        <v>0</v>
      </c>
      <c r="AT9" s="211">
        <f>COUNTIFS(BENEFICIAIRES!$A$56:$A$115,"BEN*",BENEFICIAIRES!$BB$56:$BB$115,"&gt;="&amp;DATE(AR9,1,1),BENEFICIAIRES!$BB$56:$BB$115,"&lt;"&amp;DATE(AR9+1,1,1))</f>
        <v>0</v>
      </c>
      <c r="AU9" s="211">
        <f>SUMIFS(RECETTES!$AB$39:$AB$88,RECETTES!$V$39:$V$88,AR9)</f>
        <v>0</v>
      </c>
      <c r="AV9" s="211">
        <f>SUMIFS(DEPENSES!$AG$119:$AG$168,DEPENSES!$BM$119:$BM$168,AR9)</f>
        <v>0</v>
      </c>
      <c r="AW9" s="211">
        <f>COUNTIFS(ACTIVITES!$A$56:$A$105,"ACT*",ACTIVITES!$S$56:$S$105,AR9,ACTIVITES!$Z$56:$Z$105,"Realisee")</f>
        <v>0</v>
      </c>
      <c r="AX9" s="211">
        <f t="shared" si="0"/>
        <v>2030</v>
      </c>
      <c r="AY9" s="211">
        <f t="shared" si="1"/>
        <v>0</v>
      </c>
      <c r="AZ9" s="211" t="s">
        <v>37</v>
      </c>
      <c r="BA9" s="211">
        <f>IF($C$7="Toutes les années",SUMIFS(RECETTES!$AB$39:$AB$88,RECETTES!$V$39:$V$88,2026,RECETTES!$W$39:$W$88,8),SUMIFS(RECETTES!$AB$39:$AB$88,RECETTES!$V$39:$V$88,$C$7,RECETTES!$W$39:$W$88,8))</f>
        <v>0</v>
      </c>
      <c r="BB9" s="211">
        <f>IF($C$7="Toutes les années",SUMIFS(DEPENSES!$AG$119:$AG$168,DEPENSES!$BM$119:$BM$168,2026,DEPENSES!$BN$119:$BN$168,8),SUMIFS(DEPENSES!$AG$119:$AG$168,DEPENSES!$BM$119:$BM$168,$C$7,DEPENSES!$BN$119:$BN$168,8))</f>
        <v>0</v>
      </c>
      <c r="BC9" s="211">
        <f t="shared" si="2"/>
        <v>0</v>
      </c>
      <c r="BD9" s="212"/>
      <c r="BE9" s="212" t="str">
        <f t="shared" si="3"/>
        <v>Août</v>
      </c>
      <c r="BF9" s="212">
        <f t="shared" si="4"/>
        <v>0</v>
      </c>
      <c r="BG9" s="212">
        <f t="shared" si="5"/>
        <v>0</v>
      </c>
      <c r="BH9" s="212"/>
      <c r="BI9" s="212"/>
      <c r="BJ9" s="212"/>
      <c r="BK9" s="212"/>
      <c r="BL9" s="212"/>
      <c r="BM9" s="212"/>
      <c r="BN9" s="212"/>
      <c r="BO9" s="212"/>
      <c r="BP9" s="212"/>
    </row>
    <row r="10" spans="2:70" ht="19.5" customHeight="1">
      <c r="B10" s="236" t="s">
        <v>40</v>
      </c>
      <c r="C10" s="222"/>
      <c r="D10" s="223"/>
      <c r="F10" s="221" t="s">
        <v>41</v>
      </c>
      <c r="G10" s="222"/>
      <c r="H10" s="223"/>
      <c r="J10" s="224" t="s">
        <v>42</v>
      </c>
      <c r="K10" s="222"/>
      <c r="L10" s="223"/>
      <c r="N10" s="237" t="s">
        <v>43</v>
      </c>
      <c r="O10" s="222"/>
      <c r="P10" s="223"/>
      <c r="R10" s="225" t="s">
        <v>44</v>
      </c>
      <c r="S10" s="222"/>
      <c r="T10" s="223"/>
      <c r="V10" s="226" t="s">
        <v>45</v>
      </c>
      <c r="W10" s="222"/>
      <c r="X10" s="223"/>
      <c r="AA10" s="210">
        <v>2032</v>
      </c>
      <c r="AB10" s="210" t="s">
        <v>39</v>
      </c>
      <c r="AC10" s="210" t="s">
        <v>46</v>
      </c>
      <c r="AE10" s="210" t="s">
        <v>47</v>
      </c>
      <c r="AF10" s="210">
        <f>IF($C$7="Toutes les années",IF($K$7="Tous",SUMIFS(RECETTES!$AB$39:$AB$88,RECETTES!$X$39:$X$88,AE10),SUMIFS(RECETTES!$AB$39:$AB$88,RECETTES!$X$39:$X$88,AE10,RECETTES!$J$39:$J$88,$K$7)),IF($K$7="Tous",SUMIFS(RECETTES!$AB$39:$AB$88,RECETTES!$V$39:$V$88,$C$7,RECETTES!$X$39:$X$88,AE10),SUMIFS(RECETTES!$AB$39:$AB$88,RECETTES!$V$39:$V$88,$C$7,RECETTES!$X$39:$X$88,AE10,RECETTES!$J$39:$J$88,$K$7)))</f>
        <v>0</v>
      </c>
      <c r="AG10" s="210">
        <f>IF($C$7="Toutes les années",IF($K$7="Tous",SUMIFS(DEPENSES!$AG$119:$AG$168,DEPENSES!$BO$119:$BO$168,AE10),SUMIFS(DEPENSES!$AG$119:$AG$168,DEPENSES!$BO$119:$BO$168,AE10,DEPENSES!$G$119:$G$168,$K$7)),IF($K$7="Tous",SUMIFS(DEPENSES!$AG$119:$AG$168,DEPENSES!$BM$119:$BM$168,$C$7,DEPENSES!$BO$119:$BO$168,AE10),SUMIFS(DEPENSES!$AG$119:$AG$168,DEPENSES!$BM$119:$BM$168,$C$7,DEPENSES!$BO$119:$BO$168,AE10,DEPENSES!$G$119:$G$168,$K$7)))</f>
        <v>0</v>
      </c>
      <c r="AR10" s="211">
        <v>2032</v>
      </c>
      <c r="AS10" s="211">
        <f>COUNTIFS(PROJETS!$A$56:$A$95,"PROJ*",PROJETS!$X$56:$X$95,"&gt;="&amp;DATE(AR10,1,1),PROJETS!$X$56:$X$95,"&lt;"&amp;DATE(AR10+1,1,1))</f>
        <v>0</v>
      </c>
      <c r="AT10" s="211">
        <f>COUNTIFS(BENEFICIAIRES!$A$56:$A$115,"BEN*",BENEFICIAIRES!$BB$56:$BB$115,"&gt;="&amp;DATE(AR10,1,1),BENEFICIAIRES!$BB$56:$BB$115,"&lt;"&amp;DATE(AR10+1,1,1))</f>
        <v>0</v>
      </c>
      <c r="AU10" s="211">
        <f>SUMIFS(RECETTES!$AB$39:$AB$88,RECETTES!$V$39:$V$88,AR10)</f>
        <v>0</v>
      </c>
      <c r="AV10" s="211">
        <f>SUMIFS(DEPENSES!$AG$119:$AG$168,DEPENSES!$BM$119:$BM$168,AR10)</f>
        <v>0</v>
      </c>
      <c r="AW10" s="211">
        <f>COUNTIFS(ACTIVITES!$A$56:$A$105,"ACT*",ACTIVITES!$S$56:$S$105,AR10,ACTIVITES!$Z$56:$Z$105,"Realisee")</f>
        <v>0</v>
      </c>
      <c r="AX10" s="211">
        <f t="shared" si="0"/>
        <v>2031</v>
      </c>
      <c r="AY10" s="211">
        <f t="shared" si="1"/>
        <v>0</v>
      </c>
      <c r="AZ10" s="211" t="s">
        <v>39</v>
      </c>
      <c r="BA10" s="211">
        <f>IF($C$7="Toutes les années",SUMIFS(RECETTES!$AB$39:$AB$88,RECETTES!$V$39:$V$88,2026,RECETTES!$W$39:$W$88,9),SUMIFS(RECETTES!$AB$39:$AB$88,RECETTES!$V$39:$V$88,$C$7,RECETTES!$W$39:$W$88,9))</f>
        <v>0</v>
      </c>
      <c r="BB10" s="211">
        <f>IF($C$7="Toutes les années",SUMIFS(DEPENSES!$AG$119:$AG$168,DEPENSES!$BM$119:$BM$168,2026,DEPENSES!$BN$119:$BN$168,9),SUMIFS(DEPENSES!$AG$119:$AG$168,DEPENSES!$BM$119:$BM$168,$C$7,DEPENSES!$BN$119:$BN$168,9))</f>
        <v>0</v>
      </c>
      <c r="BC10" s="211">
        <f t="shared" si="2"/>
        <v>0</v>
      </c>
      <c r="BD10" s="212"/>
      <c r="BE10" s="212" t="str">
        <f t="shared" si="3"/>
        <v>Septembre</v>
      </c>
      <c r="BF10" s="212">
        <f t="shared" si="4"/>
        <v>0</v>
      </c>
      <c r="BG10" s="212">
        <f t="shared" si="5"/>
        <v>0</v>
      </c>
      <c r="BH10" s="212"/>
      <c r="BI10" s="212"/>
      <c r="BJ10" s="212"/>
      <c r="BK10" s="212"/>
      <c r="BL10" s="212"/>
      <c r="BM10" s="212"/>
      <c r="BN10" s="212"/>
      <c r="BO10" s="212"/>
      <c r="BP10" s="212"/>
    </row>
    <row r="11" spans="2:70" ht="24" customHeight="1">
      <c r="B11" s="227">
        <f>IF($C$7="Toutes les années",IF($K$7="Tous",COUNTIF(PROJETS!$A$56:$A$95,"PROJ*"),COUNTIFS(PROJETS!$A$56:$A$95,"PROJ*",PROJETS!$J$56:$J$95,$K$7)),IF($K$7="Tous",COUNTIFS(PROJETS!$A$56:$A$95,"PROJ*",PROJETS!$X$56:$X$95,"&gt;="&amp;DATE($C$7,1,1),PROJETS!$X$56:$X$95,"&lt;"&amp;DATE($C$7+1,1,1)),COUNTIFS(PROJETS!$A$56:$A$95,"PROJ*",PROJETS!$J$56:$J$95,$K$7,PROJETS!$X$56:$X$95,"&gt;="&amp;DATE($C$7,1,1),PROJETS!$X$56:$X$95,"&lt;"&amp;DATE($C$7+1,1,1))))</f>
        <v>1</v>
      </c>
      <c r="C11" s="228"/>
      <c r="D11" s="229"/>
      <c r="F11" s="227">
        <f>IF($C$7="Toutes les années",IF($K$7="Tous",COUNTIF(BENEFICIAIRES!$A$56:$A$115,"BEN*"),COUNTIFS(BENEFICIAIRES!$A$56:$A$115,"BEN*",BENEFICIAIRES!$BA$56:$BA$115,$K$7)),IF($K$7="Tous",COUNTIFS(BENEFICIAIRES!$A$56:$A$115,"BEN*",BENEFICIAIRES!$BB$56:$BB$115,"&gt;="&amp;DATE($C$7,1,1),BENEFICIAIRES!$BB$56:$BB$115,"&lt;"&amp;DATE($C$7+1,1,1)),COUNTIFS(BENEFICIAIRES!$A$56:$A$115,"BEN*",BENEFICIAIRES!$BA$56:$BA$115,$K$7,BENEFICIAIRES!$BB$56:$BB$115,"&gt;="&amp;DATE($C$7,1,1),BENEFICIAIRES!$BB$56:$BB$115,"&lt;"&amp;DATE($C$7+1,1,1))))</f>
        <v>1</v>
      </c>
      <c r="G11" s="228"/>
      <c r="H11" s="229"/>
      <c r="J11" s="227">
        <f>IF($C$7="Toutes les années",IF($K$7="Tous",COUNTIFS(ACTIVITES!$A$56:$A$105,"ACT*",ACTIVITES!$Z$56:$Z$105,"Realisee"),COUNTIFS(ACTIVITES!$A$56:$A$105,"ACT*",ACTIVITES!$K$56:$K$105,$K$7,ACTIVITES!$Z$56:$Z$105,"Realisee")),IF($K$7="Tous",IF($G$7="Tous les mois",COUNTIFS(ACTIVITES!$A$56:$A$105,"ACT*",ACTIVITES!$S$56:$S$105,$C$7,ACTIVITES!$Z$56:$Z$105,"Realisee"),COUNTIFS(ACTIVITES!$A$56:$A$105,"ACT*",ACTIVITES!$S$56:$S$105,$C$7,ACTIVITES!$Q$56:$Q$105,$G$7,ACTIVITES!$Z$56:$Z$105,"Realisee")),IF($G$7="Tous les mois",COUNTIFS(ACTIVITES!$A$56:$A$105,"ACT*",ACTIVITES!$K$56:$K$105,$K$7,ACTIVITES!$S$56:$S$105,$C$7,ACTIVITES!$Z$56:$Z$105,"Realisee"),COUNTIFS(ACTIVITES!$A$56:$A$105,"ACT*",ACTIVITES!$K$56:$K$105,$K$7,ACTIVITES!$S$56:$S$105,$C$7,ACTIVITES!$Q$56:$Q$105,$G$7,ACTIVITES!$Z$56:$Z$105,"Realisee"))))</f>
        <v>0</v>
      </c>
      <c r="K11" s="228"/>
      <c r="L11" s="229"/>
      <c r="N11" s="244">
        <f>IF($C$7="Toutes les années",IF($K$7="Tous",SUM(BUDGET!$AB$28:$AB$67),SUMIFS(BUDGET!$AB$28:$AB$67,BUDGET!$J$28:$J$67,$K$7)),IF($K$7="Tous",SUMIFS(BUDGET!$AB$28:$AB$67,BUDGET!$B$28:$B$67,$C$7),SUMIFS(BUDGET!$AB$28:$AB$67,BUDGET!$B$28:$B$67,$C$7,BUDGET!$J$28:$J$67,$K$7)))</f>
        <v>0</v>
      </c>
      <c r="O11" s="228"/>
      <c r="P11" s="229"/>
      <c r="R11" s="244">
        <f>IF($C$7="Toutes les années",IF($K$7="Tous",SUM(RECETTES!$AB$39:$AB$88),SUMIFS(RECETTES!$AB$39:$AB$88,RECETTES!$J$39:$J$88,$K$7)),IF($K$7="Tous",SUMIFS(RECETTES!$AB$39:$AB$88,RECETTES!$V$39:$V$88,$C$7),SUMIFS(RECETTES!$AB$39:$AB$88,RECETTES!$V$39:$V$88,$C$7,RECETTES!$J$39:$J$88,$K$7)))</f>
        <v>0</v>
      </c>
      <c r="S11" s="228"/>
      <c r="T11" s="229"/>
      <c r="V11" s="244">
        <f>IF($C$7="Toutes les années",IF($K$7="Tous",SUM(DEPENSES!$AG$119:$AG$168),SUMIFS(DEPENSES!$AG$119:$AG$168,DEPENSES!$G$119:$G$168,$K$7)),IF($K$7="Tous",SUMIFS(DEPENSES!$AG$119:$AG$168,DEPENSES!$BM$119:$BM$168,$C$7),SUMIFS(DEPENSES!$AG$119:$AG$168,DEPENSES!$BM$119:$BM$168,$C$7,DEPENSES!$G$119:$G$168,$K$7)))</f>
        <v>29999</v>
      </c>
      <c r="W11" s="228"/>
      <c r="X11" s="229"/>
      <c r="AA11" s="210">
        <v>2033</v>
      </c>
      <c r="AB11" s="210" t="s">
        <v>47</v>
      </c>
      <c r="AC11" s="210" t="s">
        <v>48</v>
      </c>
      <c r="AE11" s="210" t="s">
        <v>49</v>
      </c>
      <c r="AF11" s="210">
        <f>IF($C$7="Toutes les années",IF($K$7="Tous",SUMIFS(RECETTES!$AB$39:$AB$88,RECETTES!$X$39:$X$88,AE11),SUMIFS(RECETTES!$AB$39:$AB$88,RECETTES!$X$39:$X$88,AE11,RECETTES!$J$39:$J$88,$K$7)),IF($K$7="Tous",SUMIFS(RECETTES!$AB$39:$AB$88,RECETTES!$V$39:$V$88,$C$7,RECETTES!$X$39:$X$88,AE11),SUMIFS(RECETTES!$AB$39:$AB$88,RECETTES!$V$39:$V$88,$C$7,RECETTES!$X$39:$X$88,AE11,RECETTES!$J$39:$J$88,$K$7)))</f>
        <v>0</v>
      </c>
      <c r="AG11" s="210">
        <f>IF($C$7="Toutes les années",IF($K$7="Tous",SUMIFS(DEPENSES!$AG$119:$AG$168,DEPENSES!$BO$119:$BO$168,AE11),SUMIFS(DEPENSES!$AG$119:$AG$168,DEPENSES!$BO$119:$BO$168,AE11,DEPENSES!$G$119:$G$168,$K$7)),IF($K$7="Tous",SUMIFS(DEPENSES!$AG$119:$AG$168,DEPENSES!$BM$119:$BM$168,$C$7,DEPENSES!$BO$119:$BO$168,AE11),SUMIFS(DEPENSES!$AG$119:$AG$168,DEPENSES!$BM$119:$BM$168,$C$7,DEPENSES!$BO$119:$BO$168,AE11,DEPENSES!$G$119:$G$168,$K$7)))</f>
        <v>0</v>
      </c>
      <c r="AR11" s="211">
        <v>2033</v>
      </c>
      <c r="AS11" s="211">
        <f>COUNTIFS(PROJETS!$A$56:$A$95,"PROJ*",PROJETS!$X$56:$X$95,"&gt;="&amp;DATE(AR11,1,1),PROJETS!$X$56:$X$95,"&lt;"&amp;DATE(AR11+1,1,1))</f>
        <v>0</v>
      </c>
      <c r="AT11" s="211">
        <f>COUNTIFS(BENEFICIAIRES!$A$56:$A$115,"BEN*",BENEFICIAIRES!$BB$56:$BB$115,"&gt;="&amp;DATE(AR11,1,1),BENEFICIAIRES!$BB$56:$BB$115,"&lt;"&amp;DATE(AR11+1,1,1))</f>
        <v>0</v>
      </c>
      <c r="AU11" s="211">
        <f>SUMIFS(RECETTES!$AB$39:$AB$88,RECETTES!$V$39:$V$88,AR11)</f>
        <v>0</v>
      </c>
      <c r="AV11" s="211">
        <f>SUMIFS(DEPENSES!$AG$119:$AG$168,DEPENSES!$BM$119:$BM$168,AR11)</f>
        <v>0</v>
      </c>
      <c r="AW11" s="211">
        <f>COUNTIFS(ACTIVITES!$A$56:$A$105,"ACT*",ACTIVITES!$S$56:$S$105,AR11,ACTIVITES!$Z$56:$Z$105,"Realisee")</f>
        <v>0</v>
      </c>
      <c r="AX11" s="211">
        <f t="shared" si="0"/>
        <v>2032</v>
      </c>
      <c r="AY11" s="211">
        <f t="shared" si="1"/>
        <v>0</v>
      </c>
      <c r="AZ11" s="211" t="s">
        <v>47</v>
      </c>
      <c r="BA11" s="211">
        <f>IF($C$7="Toutes les années",SUMIFS(RECETTES!$AB$39:$AB$88,RECETTES!$V$39:$V$88,2026,RECETTES!$W$39:$W$88,10),SUMIFS(RECETTES!$AB$39:$AB$88,RECETTES!$V$39:$V$88,$C$7,RECETTES!$W$39:$W$88,10))</f>
        <v>0</v>
      </c>
      <c r="BB11" s="211">
        <f>IF($C$7="Toutes les années",SUMIFS(DEPENSES!$AG$119:$AG$168,DEPENSES!$BM$119:$BM$168,2026,DEPENSES!$BN$119:$BN$168,10),SUMIFS(DEPENSES!$AG$119:$AG$168,DEPENSES!$BM$119:$BM$168,$C$7,DEPENSES!$BN$119:$BN$168,10))</f>
        <v>0</v>
      </c>
      <c r="BC11" s="211">
        <f t="shared" si="2"/>
        <v>0</v>
      </c>
      <c r="BD11" s="212"/>
      <c r="BE11" s="212" t="str">
        <f t="shared" si="3"/>
        <v>Octobre</v>
      </c>
      <c r="BF11" s="212">
        <f t="shared" si="4"/>
        <v>0</v>
      </c>
      <c r="BG11" s="212">
        <f t="shared" si="5"/>
        <v>0</v>
      </c>
      <c r="BH11" s="212"/>
      <c r="BI11" s="212"/>
      <c r="BJ11" s="212"/>
      <c r="BK11" s="212"/>
      <c r="BL11" s="212"/>
      <c r="BM11" s="212"/>
      <c r="BN11" s="212"/>
      <c r="BO11" s="212"/>
      <c r="BP11" s="212"/>
    </row>
    <row r="12" spans="2:70" ht="18" customHeight="1">
      <c r="B12" s="230"/>
      <c r="C12" s="231"/>
      <c r="D12" s="232"/>
      <c r="F12" s="230"/>
      <c r="G12" s="231"/>
      <c r="H12" s="232"/>
      <c r="J12" s="230"/>
      <c r="K12" s="231"/>
      <c r="L12" s="232"/>
      <c r="N12" s="230"/>
      <c r="O12" s="231"/>
      <c r="P12" s="232"/>
      <c r="R12" s="230"/>
      <c r="S12" s="231"/>
      <c r="T12" s="232"/>
      <c r="V12" s="230"/>
      <c r="W12" s="231"/>
      <c r="X12" s="232"/>
      <c r="AB12" s="210" t="s">
        <v>49</v>
      </c>
      <c r="AC12" s="210" t="s">
        <v>50</v>
      </c>
      <c r="AE12" s="210" t="s">
        <v>51</v>
      </c>
      <c r="AF12" s="210">
        <f>IF($C$7="Toutes les années",IF($K$7="Tous",SUMIFS(RECETTES!$AB$39:$AB$88,RECETTES!$X$39:$X$88,AE12),SUMIFS(RECETTES!$AB$39:$AB$88,RECETTES!$X$39:$X$88,AE12,RECETTES!$J$39:$J$88,$K$7)),IF($K$7="Tous",SUMIFS(RECETTES!$AB$39:$AB$88,RECETTES!$V$39:$V$88,$C$7,RECETTES!$X$39:$X$88,AE12),SUMIFS(RECETTES!$AB$39:$AB$88,RECETTES!$V$39:$V$88,$C$7,RECETTES!$X$39:$X$88,AE12,RECETTES!$J$39:$J$88,$K$7)))</f>
        <v>0</v>
      </c>
      <c r="AG12" s="210">
        <f>IF($C$7="Toutes les années",IF($K$7="Tous",SUMIFS(DEPENSES!$AG$119:$AG$168,DEPENSES!$BO$119:$BO$168,AE12),SUMIFS(DEPENSES!$AG$119:$AG$168,DEPENSES!$BO$119:$BO$168,AE12,DEPENSES!$G$119:$G$168,$K$7)),IF($K$7="Tous",SUMIFS(DEPENSES!$AG$119:$AG$168,DEPENSES!$BM$119:$BM$168,$C$7,DEPENSES!$BO$119:$BO$168,AE12),SUMIFS(DEPENSES!$AG$119:$AG$168,DEPENSES!$BM$119:$BM$168,$C$7,DEPENSES!$BO$119:$BO$168,AE12,DEPENSES!$G$119:$G$168,$K$7)))</f>
        <v>0</v>
      </c>
      <c r="AR12" s="211"/>
      <c r="AS12" s="211"/>
      <c r="AT12" s="211"/>
      <c r="AU12" s="211"/>
      <c r="AV12" s="211"/>
      <c r="AW12" s="211"/>
      <c r="AX12" s="211"/>
      <c r="AY12" s="211"/>
      <c r="AZ12" s="211" t="s">
        <v>49</v>
      </c>
      <c r="BA12" s="211">
        <f>IF($C$7="Toutes les années",SUMIFS(RECETTES!$AB$39:$AB$88,RECETTES!$V$39:$V$88,2026,RECETTES!$W$39:$W$88,11),SUMIFS(RECETTES!$AB$39:$AB$88,RECETTES!$V$39:$V$88,$C$7,RECETTES!$W$39:$W$88,11))</f>
        <v>0</v>
      </c>
      <c r="BB12" s="211">
        <f>IF($C$7="Toutes les années",SUMIFS(DEPENSES!$AG$119:$AG$168,DEPENSES!$BM$119:$BM$168,2026,DEPENSES!$BN$119:$BN$168,11),SUMIFS(DEPENSES!$AG$119:$AG$168,DEPENSES!$BM$119:$BM$168,$C$7,DEPENSES!$BN$119:$BN$168,11))</f>
        <v>0</v>
      </c>
      <c r="BC12" s="211">
        <f t="shared" si="2"/>
        <v>0</v>
      </c>
      <c r="BD12" s="212"/>
      <c r="BE12" s="212" t="str">
        <f t="shared" si="3"/>
        <v>Novembre</v>
      </c>
      <c r="BF12" s="212">
        <f t="shared" si="4"/>
        <v>0</v>
      </c>
      <c r="BG12" s="212">
        <f t="shared" si="5"/>
        <v>0</v>
      </c>
      <c r="BH12" s="212"/>
      <c r="BI12" s="212"/>
      <c r="BJ12" s="212"/>
      <c r="BK12" s="212"/>
      <c r="BL12" s="212"/>
      <c r="BM12" s="212"/>
      <c r="BN12" s="212"/>
      <c r="BO12" s="212"/>
      <c r="BP12" s="212"/>
    </row>
    <row r="13" spans="2:70" ht="19.5" customHeight="1">
      <c r="B13" s="233"/>
      <c r="C13" s="234"/>
      <c r="D13" s="235"/>
      <c r="F13" s="233"/>
      <c r="G13" s="234"/>
      <c r="H13" s="235"/>
      <c r="J13" s="233"/>
      <c r="K13" s="234"/>
      <c r="L13" s="235"/>
      <c r="N13" s="233"/>
      <c r="O13" s="234"/>
      <c r="P13" s="235"/>
      <c r="R13" s="233"/>
      <c r="S13" s="234"/>
      <c r="T13" s="235"/>
      <c r="V13" s="233"/>
      <c r="W13" s="234"/>
      <c r="X13" s="235"/>
      <c r="AB13" s="210" t="s">
        <v>51</v>
      </c>
      <c r="AC13" s="210" t="s">
        <v>52</v>
      </c>
      <c r="AR13" s="211"/>
      <c r="AS13" s="211"/>
      <c r="AT13" s="211"/>
      <c r="AU13" s="211"/>
      <c r="AV13" s="211"/>
      <c r="AW13" s="211"/>
      <c r="AX13" s="211"/>
      <c r="AY13" s="211"/>
      <c r="AZ13" s="211" t="s">
        <v>51</v>
      </c>
      <c r="BA13" s="211">
        <f>IF($C$7="Toutes les années",SUMIFS(RECETTES!$AB$39:$AB$88,RECETTES!$V$39:$V$88,2026,RECETTES!$W$39:$W$88,12),SUMIFS(RECETTES!$AB$39:$AB$88,RECETTES!$V$39:$V$88,$C$7,RECETTES!$W$39:$W$88,12))</f>
        <v>0</v>
      </c>
      <c r="BB13" s="211">
        <f>IF($C$7="Toutes les années",SUMIFS(DEPENSES!$AG$119:$AG$168,DEPENSES!$BM$119:$BM$168,2026,DEPENSES!$BN$119:$BN$168,12),SUMIFS(DEPENSES!$AG$119:$AG$168,DEPENSES!$BM$119:$BM$168,$C$7,DEPENSES!$BN$119:$BN$168,12))</f>
        <v>0</v>
      </c>
      <c r="BC13" s="211">
        <f t="shared" si="2"/>
        <v>0</v>
      </c>
      <c r="BD13" s="212"/>
      <c r="BE13" s="212" t="str">
        <f t="shared" si="3"/>
        <v>Décembre</v>
      </c>
      <c r="BF13" s="212">
        <f t="shared" si="4"/>
        <v>0</v>
      </c>
      <c r="BG13" s="212">
        <f t="shared" si="5"/>
        <v>0</v>
      </c>
      <c r="BH13" s="212"/>
      <c r="BI13" s="212"/>
      <c r="BJ13" s="212"/>
      <c r="BK13" s="212"/>
      <c r="BL13" s="212"/>
      <c r="BM13" s="212"/>
      <c r="BN13" s="212"/>
      <c r="BO13" s="212"/>
      <c r="BP13" s="212"/>
    </row>
    <row r="14" spans="2:70" ht="19.5" customHeight="1">
      <c r="AC14" s="210" t="s">
        <v>53</v>
      </c>
    </row>
    <row r="15" spans="2:70" ht="19.5" customHeight="1">
      <c r="B15" s="242" t="s">
        <v>54</v>
      </c>
      <c r="C15" s="222"/>
      <c r="D15" s="223"/>
      <c r="F15" s="236" t="s">
        <v>55</v>
      </c>
      <c r="G15" s="222"/>
      <c r="H15" s="223"/>
      <c r="J15" s="224" t="s">
        <v>56</v>
      </c>
      <c r="K15" s="222"/>
      <c r="L15" s="223"/>
      <c r="N15" s="237" t="s">
        <v>57</v>
      </c>
      <c r="O15" s="222"/>
      <c r="P15" s="223"/>
      <c r="R15" s="225" t="s">
        <v>58</v>
      </c>
      <c r="S15" s="222"/>
      <c r="T15" s="223"/>
      <c r="V15" s="221" t="s">
        <v>59</v>
      </c>
      <c r="W15" s="222"/>
      <c r="X15" s="223"/>
      <c r="AC15" s="210" t="s">
        <v>60</v>
      </c>
    </row>
    <row r="16" spans="2:70" ht="19.5" customHeight="1">
      <c r="B16" s="244">
        <f>N11-V11</f>
        <v>-29999</v>
      </c>
      <c r="C16" s="228"/>
      <c r="D16" s="229"/>
      <c r="F16" s="253">
        <f>IFERROR(V11/N11,0)</f>
        <v>0</v>
      </c>
      <c r="G16" s="228"/>
      <c r="H16" s="229"/>
      <c r="J16" s="253">
        <f>IF($C$7="Toutes les années",IFERROR(AVERAGEIF(PROJETS!$A$56:$A$95,"PROJ*",PROJETS!$BD$56:$BD$95),0),IFERROR(AVERAGEIFS(PROJETS!$BD$56:$BD$95,PROJETS!$A$56:$A$95,"PROJ*",PROJETS!$X$56:$X$95,"&gt;="&amp;DATE($C$7,1,1),PROJETS!$X$56:$X$95,"&lt;"&amp;DATE($C$7+1,1,1)),0))</f>
        <v>0.45</v>
      </c>
      <c r="K16" s="228"/>
      <c r="L16" s="229"/>
      <c r="N16" s="227">
        <f>COUNTIFS(PARTENAIRES!$A$56:$A$115,"PART*",PARTENAIRES!$AN$56:$AN$115,"Actif")</f>
        <v>0</v>
      </c>
      <c r="O16" s="228"/>
      <c r="P16" s="229"/>
      <c r="R16" s="227">
        <f>COUNTIFS(DONATEURS!$A$56:$A$205,"DON*",DONATEURS!$AB$56:$AB$205,"Actif")</f>
        <v>0</v>
      </c>
      <c r="S16" s="228"/>
      <c r="T16" s="229"/>
      <c r="V16" s="227">
        <f>COUNTIFS('RESSOURCES HUMAINES'!$A$27:$A$76,"RH*",'RESSOURCES HUMAINES'!$P$27:$P$76,"Actif")</f>
        <v>0</v>
      </c>
      <c r="W16" s="228"/>
      <c r="X16" s="229"/>
      <c r="AC16" s="210" t="s">
        <v>61</v>
      </c>
    </row>
    <row r="17" spans="2:29" ht="19.5" customHeight="1">
      <c r="B17" s="230"/>
      <c r="C17" s="231"/>
      <c r="D17" s="232"/>
      <c r="F17" s="230"/>
      <c r="G17" s="231"/>
      <c r="H17" s="232"/>
      <c r="J17" s="230"/>
      <c r="K17" s="231"/>
      <c r="L17" s="232"/>
      <c r="N17" s="230"/>
      <c r="O17" s="231"/>
      <c r="P17" s="232"/>
      <c r="R17" s="230"/>
      <c r="S17" s="231"/>
      <c r="T17" s="232"/>
      <c r="V17" s="230"/>
      <c r="W17" s="231"/>
      <c r="X17" s="232"/>
      <c r="AC17" s="210" t="s">
        <v>62</v>
      </c>
    </row>
    <row r="18" spans="2:29" ht="19.5" customHeight="1">
      <c r="B18" s="233"/>
      <c r="C18" s="234"/>
      <c r="D18" s="235"/>
      <c r="F18" s="233"/>
      <c r="G18" s="234"/>
      <c r="H18" s="235"/>
      <c r="J18" s="233"/>
      <c r="K18" s="234"/>
      <c r="L18" s="235"/>
      <c r="N18" s="233"/>
      <c r="O18" s="234"/>
      <c r="P18" s="235"/>
      <c r="R18" s="233"/>
      <c r="S18" s="234"/>
      <c r="T18" s="235"/>
      <c r="V18" s="233"/>
      <c r="W18" s="234"/>
      <c r="X18" s="235"/>
      <c r="AC18" s="210" t="s">
        <v>63</v>
      </c>
    </row>
    <row r="19" spans="2:29" ht="19.5" customHeight="1">
      <c r="AC19" s="210" t="s">
        <v>64</v>
      </c>
    </row>
    <row r="20" spans="2:29" ht="21.75" customHeight="1">
      <c r="B20" s="252" t="s">
        <v>65</v>
      </c>
      <c r="C20" s="231"/>
      <c r="D20" s="231"/>
      <c r="E20" s="231"/>
      <c r="F20" s="231"/>
      <c r="G20" s="231"/>
      <c r="H20" s="231"/>
      <c r="I20" s="231"/>
      <c r="J20" s="231"/>
      <c r="K20" s="231"/>
      <c r="L20" s="231"/>
      <c r="M20" s="231"/>
      <c r="N20" s="252" t="s">
        <v>66</v>
      </c>
      <c r="O20" s="231"/>
      <c r="P20" s="231"/>
      <c r="Q20" s="231"/>
      <c r="R20" s="231"/>
      <c r="S20" s="231"/>
      <c r="T20" s="231"/>
      <c r="U20" s="231"/>
      <c r="V20" s="231"/>
      <c r="W20" s="231"/>
      <c r="X20" s="231"/>
      <c r="AC20" s="210" t="s">
        <v>67</v>
      </c>
    </row>
    <row r="21" spans="2:29" ht="19.5" customHeight="1">
      <c r="AC21" s="210" t="s">
        <v>68</v>
      </c>
    </row>
    <row r="22" spans="2:29" ht="19.5" customHeight="1">
      <c r="AC22" s="210" t="s">
        <v>69</v>
      </c>
    </row>
    <row r="23" spans="2:29" ht="19.5" customHeight="1">
      <c r="AC23" s="210" t="s">
        <v>70</v>
      </c>
    </row>
    <row r="24" spans="2:29" ht="19.5" customHeight="1">
      <c r="AC24" s="210" t="s">
        <v>71</v>
      </c>
    </row>
    <row r="25" spans="2:29" ht="19.5" customHeight="1">
      <c r="AC25" s="210" t="s">
        <v>72</v>
      </c>
    </row>
    <row r="26" spans="2:29" ht="19.5" customHeight="1">
      <c r="AC26" s="210" t="s">
        <v>73</v>
      </c>
    </row>
    <row r="27" spans="2:29" ht="19.5" customHeight="1">
      <c r="AC27" s="210" t="s">
        <v>74</v>
      </c>
    </row>
    <row r="28" spans="2:29" ht="19.5" customHeight="1">
      <c r="AC28" s="210" t="s">
        <v>75</v>
      </c>
    </row>
    <row r="29" spans="2:29" ht="19.5" customHeight="1">
      <c r="AC29" s="210" t="s">
        <v>76</v>
      </c>
    </row>
    <row r="30" spans="2:29" ht="19.5" customHeight="1">
      <c r="AC30" s="210" t="s">
        <v>77</v>
      </c>
    </row>
    <row r="31" spans="2:29" ht="19.5" customHeight="1">
      <c r="AC31" s="210" t="s">
        <v>78</v>
      </c>
    </row>
    <row r="32" spans="2:29" ht="19.5" customHeight="1">
      <c r="AC32" s="210" t="s">
        <v>79</v>
      </c>
    </row>
    <row r="33" spans="2:31" ht="19.5" customHeight="1">
      <c r="AC33" s="210" t="s">
        <v>80</v>
      </c>
    </row>
    <row r="34" spans="2:31" ht="19.5" customHeight="1">
      <c r="AC34" s="210" t="s">
        <v>81</v>
      </c>
    </row>
    <row r="35" spans="2:31" ht="19.5" customHeight="1">
      <c r="AA35" s="210" t="s">
        <v>82</v>
      </c>
      <c r="AC35" s="210" t="s">
        <v>83</v>
      </c>
      <c r="AD35" s="210" t="s">
        <v>84</v>
      </c>
    </row>
    <row r="36" spans="2:31" ht="21.75" customHeight="1">
      <c r="B36" s="252" t="s">
        <v>85</v>
      </c>
      <c r="C36" s="231"/>
      <c r="D36" s="231"/>
      <c r="E36" s="231"/>
      <c r="F36" s="231"/>
      <c r="G36" s="231"/>
      <c r="H36" s="231"/>
      <c r="I36" s="231"/>
      <c r="J36" s="231"/>
      <c r="K36" s="231"/>
      <c r="L36" s="231"/>
      <c r="M36" s="214"/>
      <c r="N36" s="252" t="s">
        <v>86</v>
      </c>
      <c r="O36" s="231"/>
      <c r="P36" s="231"/>
      <c r="Q36" s="231"/>
      <c r="R36" s="231"/>
      <c r="S36" s="231"/>
      <c r="T36" s="231"/>
      <c r="U36" s="231"/>
      <c r="V36" s="231"/>
      <c r="W36" s="231"/>
      <c r="X36" s="231"/>
      <c r="AA36" s="210" t="s">
        <v>87</v>
      </c>
      <c r="AB36" s="210">
        <f ca="1">B54</f>
        <v>1</v>
      </c>
      <c r="AC36" s="210" t="s">
        <v>88</v>
      </c>
      <c r="AD36" s="210" t="s">
        <v>89</v>
      </c>
      <c r="AE36" s="210">
        <f>N11</f>
        <v>0</v>
      </c>
    </row>
    <row r="37" spans="2:31" ht="19.5" customHeight="1">
      <c r="AA37" s="210" t="s">
        <v>90</v>
      </c>
      <c r="AB37" s="210">
        <f>J54</f>
        <v>0</v>
      </c>
      <c r="AC37" s="210" t="s">
        <v>91</v>
      </c>
      <c r="AD37" s="210" t="s">
        <v>92</v>
      </c>
      <c r="AE37" s="210">
        <f>R11</f>
        <v>0</v>
      </c>
    </row>
    <row r="38" spans="2:31" ht="19.5" customHeight="1">
      <c r="AA38" s="210" t="s">
        <v>93</v>
      </c>
      <c r="AB38" s="210">
        <f>R54</f>
        <v>0</v>
      </c>
      <c r="AC38" s="210" t="s">
        <v>94</v>
      </c>
      <c r="AD38" s="210" t="s">
        <v>7</v>
      </c>
      <c r="AE38" s="210">
        <f>V11</f>
        <v>29999</v>
      </c>
    </row>
    <row r="39" spans="2:31" ht="19.5" customHeight="1">
      <c r="AA39" s="210" t="s">
        <v>95</v>
      </c>
      <c r="AB39" s="210">
        <f>B57</f>
        <v>0</v>
      </c>
      <c r="AC39" s="210" t="s">
        <v>96</v>
      </c>
    </row>
    <row r="40" spans="2:31" ht="19.5" customHeight="1">
      <c r="AA40" s="210" t="s">
        <v>97</v>
      </c>
      <c r="AB40" s="210">
        <f ca="1">J57</f>
        <v>0</v>
      </c>
      <c r="AC40" s="210" t="s">
        <v>98</v>
      </c>
    </row>
    <row r="41" spans="2:31" ht="19.5" customHeight="1">
      <c r="AA41" s="210" t="s">
        <v>99</v>
      </c>
      <c r="AB41" s="210">
        <f ca="1">R57</f>
        <v>0</v>
      </c>
      <c r="AC41" s="210" t="s">
        <v>100</v>
      </c>
    </row>
    <row r="42" spans="2:31" ht="19.5" customHeight="1"/>
    <row r="43" spans="2:31" ht="19.5" customHeight="1"/>
    <row r="44" spans="2:31" ht="19.5" customHeight="1"/>
    <row r="45" spans="2:31" ht="19.5" customHeight="1"/>
    <row r="46" spans="2:31" ht="19.5" customHeight="1"/>
    <row r="47" spans="2:31" ht="19.5" customHeight="1"/>
    <row r="48" spans="2:31" ht="19.5" customHeight="1"/>
    <row r="49" spans="2:24" ht="19.5" customHeight="1"/>
    <row r="50" spans="2:24" ht="19.5" customHeight="1"/>
    <row r="51" spans="2:24" ht="19.5" customHeight="1"/>
    <row r="52" spans="2:24" ht="21.75" customHeight="1">
      <c r="B52" s="252" t="s">
        <v>101</v>
      </c>
      <c r="C52" s="231"/>
      <c r="D52" s="231"/>
      <c r="E52" s="231"/>
      <c r="F52" s="231"/>
      <c r="G52" s="231"/>
      <c r="H52" s="231"/>
      <c r="I52" s="231"/>
      <c r="J52" s="231"/>
      <c r="K52" s="231"/>
      <c r="L52" s="231"/>
      <c r="M52" s="231"/>
      <c r="N52" s="231"/>
      <c r="O52" s="231"/>
      <c r="P52" s="231"/>
      <c r="Q52" s="231"/>
      <c r="R52" s="231"/>
      <c r="S52" s="231"/>
      <c r="T52" s="231"/>
      <c r="U52" s="231"/>
      <c r="V52" s="231"/>
      <c r="W52" s="231"/>
      <c r="X52" s="231"/>
    </row>
    <row r="53" spans="2:24" ht="19.5" customHeight="1">
      <c r="B53" s="246" t="s">
        <v>87</v>
      </c>
      <c r="C53" s="247"/>
      <c r="D53" s="247"/>
      <c r="E53" s="247"/>
      <c r="F53" s="247"/>
      <c r="G53" s="247"/>
      <c r="H53" s="220"/>
      <c r="J53" s="246" t="s">
        <v>102</v>
      </c>
      <c r="K53" s="247"/>
      <c r="L53" s="247"/>
      <c r="M53" s="247"/>
      <c r="N53" s="247"/>
      <c r="O53" s="247"/>
      <c r="P53" s="220"/>
      <c r="R53" s="246" t="s">
        <v>93</v>
      </c>
      <c r="S53" s="247"/>
      <c r="T53" s="247"/>
      <c r="U53" s="247"/>
      <c r="V53" s="247"/>
      <c r="W53" s="247"/>
      <c r="X53" s="220"/>
    </row>
    <row r="54" spans="2:24" ht="19.5" customHeight="1">
      <c r="B54" s="248">
        <f ca="1">COUNTIFS(PROJETS!$A$56:$A$95,"PROJ*",PROJETS!$BE$56:$BE$95,"Oui")</f>
        <v>1</v>
      </c>
      <c r="C54" s="239"/>
      <c r="D54" s="239"/>
      <c r="E54" s="239"/>
      <c r="F54" s="239"/>
      <c r="G54" s="239"/>
      <c r="H54" s="240"/>
      <c r="J54" s="248">
        <f>COUNTIFS(PROJETS!$A$56:$A$95,"PROJ*",PROJETS!$BG$56:$BG$95,"Oui")</f>
        <v>0</v>
      </c>
      <c r="K54" s="239"/>
      <c r="L54" s="239"/>
      <c r="M54" s="239"/>
      <c r="N54" s="239"/>
      <c r="O54" s="239"/>
      <c r="P54" s="240"/>
      <c r="R54" s="248">
        <f>COUNTIFS(DEPENSES!$A$119:$A$168,"DEP*",DEPENSES!$BS$119:$BS$168,"&lt;&gt;Normal",DEPENSES!$BS$119:$BS$168,"&lt;&gt;")</f>
        <v>0</v>
      </c>
      <c r="S54" s="239"/>
      <c r="T54" s="239"/>
      <c r="U54" s="239"/>
      <c r="V54" s="239"/>
      <c r="W54" s="239"/>
      <c r="X54" s="240"/>
    </row>
    <row r="55" spans="2:24" ht="19.5" customHeight="1">
      <c r="B55" s="241"/>
      <c r="C55" s="234"/>
      <c r="D55" s="234"/>
      <c r="E55" s="234"/>
      <c r="F55" s="234"/>
      <c r="G55" s="234"/>
      <c r="H55" s="235"/>
      <c r="J55" s="241"/>
      <c r="K55" s="234"/>
      <c r="L55" s="234"/>
      <c r="M55" s="234"/>
      <c r="N55" s="234"/>
      <c r="O55" s="234"/>
      <c r="P55" s="235"/>
      <c r="R55" s="241"/>
      <c r="S55" s="234"/>
      <c r="T55" s="234"/>
      <c r="U55" s="234"/>
      <c r="V55" s="234"/>
      <c r="W55" s="234"/>
      <c r="X55" s="235"/>
    </row>
    <row r="56" spans="2:24" ht="19.5" customHeight="1">
      <c r="B56" s="246" t="s">
        <v>103</v>
      </c>
      <c r="C56" s="247"/>
      <c r="D56" s="247"/>
      <c r="E56" s="247"/>
      <c r="F56" s="247"/>
      <c r="G56" s="247"/>
      <c r="H56" s="220"/>
      <c r="J56" s="246" t="s">
        <v>97</v>
      </c>
      <c r="K56" s="247"/>
      <c r="L56" s="247"/>
      <c r="M56" s="247"/>
      <c r="N56" s="247"/>
      <c r="O56" s="247"/>
      <c r="P56" s="220"/>
      <c r="R56" s="246" t="s">
        <v>99</v>
      </c>
      <c r="S56" s="247"/>
      <c r="T56" s="247"/>
      <c r="U56" s="247"/>
      <c r="V56" s="247"/>
      <c r="W56" s="247"/>
      <c r="X56" s="220"/>
    </row>
    <row r="57" spans="2:24" ht="19.5" customHeight="1">
      <c r="B57" s="248">
        <f>COUNTIFS('SUIVI-EVALUATION'!$AY$55:$AY$104,"Oui")</f>
        <v>0</v>
      </c>
      <c r="C57" s="239"/>
      <c r="D57" s="239"/>
      <c r="E57" s="239"/>
      <c r="F57" s="239"/>
      <c r="G57" s="239"/>
      <c r="H57" s="240"/>
      <c r="J57" s="248">
        <f ca="1">COUNTIFS(ACTIVITES!$A$56:$A$105,"ACT*",ACTIVITES!$AB$56:$AB$105,"Oui")</f>
        <v>0</v>
      </c>
      <c r="K57" s="239"/>
      <c r="L57" s="239"/>
      <c r="M57" s="239"/>
      <c r="N57" s="239"/>
      <c r="O57" s="239"/>
      <c r="P57" s="240"/>
      <c r="R57" s="248">
        <f ca="1">COUNTIFS(DONATEURS!$AV$56:$AV$205,"Oui")</f>
        <v>0</v>
      </c>
      <c r="S57" s="239"/>
      <c r="T57" s="239"/>
      <c r="U57" s="239"/>
      <c r="V57" s="239"/>
      <c r="W57" s="239"/>
      <c r="X57" s="240"/>
    </row>
    <row r="58" spans="2:24" ht="19.5" customHeight="1">
      <c r="B58" s="241"/>
      <c r="C58" s="234"/>
      <c r="D58" s="234"/>
      <c r="E58" s="234"/>
      <c r="F58" s="234"/>
      <c r="G58" s="234"/>
      <c r="H58" s="235"/>
      <c r="J58" s="241"/>
      <c r="K58" s="234"/>
      <c r="L58" s="234"/>
      <c r="M58" s="234"/>
      <c r="N58" s="234"/>
      <c r="O58" s="234"/>
      <c r="P58" s="235"/>
      <c r="R58" s="241"/>
      <c r="S58" s="234"/>
      <c r="T58" s="234"/>
      <c r="U58" s="234"/>
      <c r="V58" s="234"/>
      <c r="W58" s="234"/>
      <c r="X58" s="235"/>
    </row>
    <row r="59" spans="2:24" ht="19.5" customHeight="1"/>
    <row r="60" spans="2:24" ht="22.5" customHeight="1">
      <c r="B60" s="256" t="s">
        <v>104</v>
      </c>
      <c r="C60" s="231"/>
      <c r="D60" s="231"/>
      <c r="E60" s="231"/>
      <c r="F60" s="231"/>
      <c r="G60" s="231"/>
      <c r="H60" s="231"/>
      <c r="I60" s="231"/>
      <c r="J60" s="231"/>
      <c r="K60" s="231"/>
      <c r="L60" s="231"/>
      <c r="M60" s="231"/>
      <c r="N60" s="231"/>
      <c r="O60" s="231"/>
      <c r="P60" s="231"/>
      <c r="Q60" s="231"/>
      <c r="R60" s="231"/>
      <c r="S60" s="231"/>
      <c r="T60" s="231"/>
      <c r="U60" s="231"/>
      <c r="V60" s="231"/>
      <c r="W60" s="231"/>
      <c r="X60" s="231"/>
    </row>
    <row r="61" spans="2:24" ht="19.5" customHeight="1"/>
    <row r="62" spans="2:24" ht="19.5" customHeight="1"/>
    <row r="63" spans="2:24" ht="19.5" customHeight="1"/>
    <row r="64" spans="2:24" ht="19.5" customHeight="1"/>
    <row r="65" spans="2:24" ht="19.5" customHeight="1"/>
    <row r="66" spans="2:24" ht="24.95" customHeight="1"/>
    <row r="67" spans="2:24" ht="19.5" customHeight="1"/>
    <row r="68" spans="2:24" ht="80.099999999999994" customHeight="1"/>
    <row r="69" spans="2:24" ht="21.75" customHeight="1">
      <c r="B69" s="254" t="s">
        <v>105</v>
      </c>
      <c r="C69" s="231"/>
      <c r="D69" s="231"/>
      <c r="E69" s="231"/>
      <c r="F69" s="231"/>
      <c r="G69" s="231"/>
      <c r="H69" s="231"/>
      <c r="I69" s="231"/>
      <c r="J69" s="231"/>
      <c r="K69" s="231"/>
      <c r="L69" s="231"/>
      <c r="M69" s="231"/>
      <c r="N69" s="231"/>
      <c r="O69" s="231"/>
      <c r="P69" s="231"/>
      <c r="Q69" s="231"/>
      <c r="R69" s="231"/>
      <c r="S69" s="231"/>
      <c r="T69" s="231"/>
      <c r="U69" s="231"/>
      <c r="V69" s="231"/>
      <c r="W69" s="231"/>
      <c r="X69" s="231"/>
    </row>
    <row r="70" spans="2:24" ht="21.75" customHeight="1">
      <c r="B70" s="231"/>
      <c r="C70" s="231"/>
      <c r="D70" s="231"/>
      <c r="E70" s="231"/>
      <c r="F70" s="231"/>
      <c r="G70" s="231"/>
      <c r="H70" s="231"/>
      <c r="I70" s="231"/>
      <c r="J70" s="231"/>
      <c r="K70" s="231"/>
      <c r="L70" s="231"/>
      <c r="M70" s="231"/>
      <c r="N70" s="231"/>
      <c r="O70" s="231"/>
      <c r="P70" s="231"/>
      <c r="Q70" s="231"/>
      <c r="R70" s="231"/>
      <c r="S70" s="231"/>
      <c r="T70" s="231"/>
      <c r="U70" s="231"/>
      <c r="V70" s="231"/>
      <c r="W70" s="231"/>
      <c r="X70" s="231"/>
    </row>
    <row r="71" spans="2:24" ht="23.1" customHeight="1">
      <c r="B71" s="249" t="s">
        <v>106</v>
      </c>
      <c r="C71" s="250"/>
      <c r="D71" s="250"/>
      <c r="E71" s="250"/>
      <c r="F71" s="250"/>
      <c r="G71" s="250"/>
      <c r="H71" s="250"/>
      <c r="I71" s="250"/>
      <c r="J71" s="250"/>
      <c r="K71" s="250"/>
      <c r="L71" s="250"/>
      <c r="M71" s="250"/>
      <c r="N71" s="249" t="s">
        <v>107</v>
      </c>
      <c r="O71" s="250"/>
      <c r="P71" s="250"/>
      <c r="Q71" s="250"/>
      <c r="R71" s="250"/>
      <c r="S71" s="250"/>
      <c r="T71" s="250"/>
      <c r="U71" s="250"/>
      <c r="V71" s="250"/>
      <c r="W71" s="250"/>
      <c r="X71" s="250"/>
    </row>
    <row r="72" spans="2:24" ht="27.95" customHeight="1">
      <c r="B72" s="255" t="s">
        <v>108</v>
      </c>
      <c r="C72" s="231"/>
      <c r="D72" s="231"/>
      <c r="E72" s="231"/>
      <c r="F72" s="231"/>
      <c r="G72" s="231"/>
      <c r="H72" s="231"/>
      <c r="I72" s="231"/>
      <c r="J72" s="231"/>
      <c r="K72" s="231"/>
      <c r="L72" s="231"/>
      <c r="M72" s="231"/>
      <c r="N72" s="231"/>
      <c r="O72" s="231"/>
      <c r="P72" s="231"/>
      <c r="Q72" s="231"/>
      <c r="R72" s="231"/>
      <c r="S72" s="231"/>
      <c r="T72" s="231"/>
      <c r="U72" s="231"/>
      <c r="V72" s="231"/>
      <c r="W72" s="231"/>
      <c r="X72" s="231"/>
    </row>
    <row r="73" spans="2:24" ht="20.100000000000001" customHeight="1"/>
    <row r="74" spans="2:24" ht="20.100000000000001" customHeight="1"/>
    <row r="75" spans="2:24" ht="20.100000000000001" customHeight="1"/>
    <row r="76" spans="2:24" ht="20.100000000000001" customHeight="1"/>
    <row r="77" spans="2:24" ht="20.100000000000001" customHeight="1"/>
    <row r="78" spans="2:24" ht="20.100000000000001" customHeight="1"/>
    <row r="79" spans="2:24" ht="20.100000000000001" customHeight="1"/>
    <row r="80" spans="2:24" ht="20.100000000000001" customHeight="1"/>
    <row r="81" spans="1:24" ht="20.100000000000001" customHeight="1"/>
    <row r="82" spans="1:24" ht="20.100000000000001" customHeight="1"/>
    <row r="83" spans="1:24" ht="20.100000000000001" customHeight="1"/>
    <row r="84" spans="1:24" ht="20.100000000000001" customHeight="1"/>
    <row r="85" spans="1:24" ht="20.100000000000001" customHeight="1"/>
    <row r="86" spans="1:24" ht="20.100000000000001" customHeight="1"/>
    <row r="87" spans="1:24" ht="20.100000000000001" customHeight="1"/>
    <row r="88" spans="1:24" ht="20.100000000000001" customHeight="1"/>
    <row r="89" spans="1:24" ht="24.95" customHeight="1">
      <c r="B89" s="251" t="s">
        <v>109</v>
      </c>
      <c r="C89" s="231"/>
      <c r="D89" s="231"/>
      <c r="E89" s="231"/>
      <c r="F89" s="231"/>
      <c r="G89" s="231"/>
      <c r="H89" s="231"/>
      <c r="I89" s="231"/>
      <c r="J89" s="231"/>
      <c r="K89" s="231"/>
      <c r="L89" s="231"/>
      <c r="M89" s="231"/>
      <c r="N89" s="231"/>
      <c r="O89" s="231"/>
      <c r="P89" s="231"/>
      <c r="Q89" s="231"/>
      <c r="R89" s="231"/>
      <c r="S89" s="231"/>
      <c r="T89" s="231"/>
      <c r="U89" s="231"/>
      <c r="V89" s="231"/>
      <c r="W89" s="231"/>
      <c r="X89" s="231"/>
    </row>
    <row r="91" spans="1:24" ht="21">
      <c r="A91" s="245" t="s">
        <v>110</v>
      </c>
      <c r="B91" s="231"/>
      <c r="C91" s="231"/>
      <c r="D91" s="231"/>
      <c r="E91" s="231"/>
      <c r="F91" s="231"/>
      <c r="G91" s="231"/>
      <c r="H91" s="231"/>
    </row>
    <row r="93" spans="1:24" ht="21">
      <c r="A93" s="215" t="s">
        <v>111</v>
      </c>
      <c r="C93" s="215" t="s">
        <v>112</v>
      </c>
      <c r="E93" s="215" t="s">
        <v>113</v>
      </c>
      <c r="G93" s="215" t="s">
        <v>114</v>
      </c>
      <c r="I93" s="215" t="s">
        <v>115</v>
      </c>
    </row>
    <row r="94" spans="1:24" ht="21">
      <c r="A94" s="216">
        <f>COUNTA(ONG!B270:B469)</f>
        <v>14</v>
      </c>
      <c r="C94" s="216">
        <f>COUNTIF(ONG!D270:D469,"Femme")</f>
        <v>6</v>
      </c>
      <c r="E94" s="216">
        <f>COUNTIF(ONG!D270:D469,"Homme")</f>
        <v>8</v>
      </c>
      <c r="G94" s="216">
        <f>COUNTIF(ONG!H270:H469,"BE")</f>
        <v>7</v>
      </c>
      <c r="I94" s="216">
        <f>COUNTIF(ONG!H270:H469,"CCE")</f>
        <v>2</v>
      </c>
    </row>
    <row r="97" spans="1:4" ht="21">
      <c r="A97" s="215" t="s">
        <v>5</v>
      </c>
      <c r="B97" s="215" t="s">
        <v>116</v>
      </c>
      <c r="C97" s="215" t="s">
        <v>117</v>
      </c>
      <c r="D97" s="215" t="s">
        <v>118</v>
      </c>
    </row>
    <row r="98" spans="1:4" ht="21">
      <c r="A98" s="210">
        <v>2020</v>
      </c>
      <c r="B98" s="210">
        <f>ONG!O12</f>
        <v>0</v>
      </c>
      <c r="C98" s="210">
        <f>ONG!P12</f>
        <v>0</v>
      </c>
      <c r="D98" s="210">
        <f>ONG!Q12</f>
        <v>0</v>
      </c>
    </row>
    <row r="99" spans="1:4" ht="21">
      <c r="A99" s="210">
        <v>2021</v>
      </c>
      <c r="B99" s="210">
        <f>ONG!O13</f>
        <v>0</v>
      </c>
      <c r="C99" s="210">
        <f>ONG!P13</f>
        <v>0</v>
      </c>
      <c r="D99" s="210">
        <f>ONG!Q13</f>
        <v>0</v>
      </c>
    </row>
    <row r="100" spans="1:4" ht="21">
      <c r="A100" s="210">
        <v>2022</v>
      </c>
      <c r="B100" s="210">
        <f>ONG!O14</f>
        <v>0</v>
      </c>
      <c r="C100" s="210">
        <f>ONG!P14</f>
        <v>0</v>
      </c>
      <c r="D100" s="210">
        <f>ONG!Q14</f>
        <v>0</v>
      </c>
    </row>
    <row r="101" spans="1:4" ht="21">
      <c r="A101" s="210">
        <v>2023</v>
      </c>
      <c r="B101" s="210">
        <f>ONG!O15</f>
        <v>0</v>
      </c>
      <c r="C101" s="210">
        <f>ONG!P15</f>
        <v>0</v>
      </c>
      <c r="D101" s="210">
        <f>ONG!Q15</f>
        <v>0</v>
      </c>
    </row>
    <row r="102" spans="1:4" ht="21">
      <c r="A102" s="210">
        <v>2024</v>
      </c>
      <c r="B102" s="210">
        <f>ONG!O16</f>
        <v>14</v>
      </c>
      <c r="C102" s="210">
        <f>ONG!P16</f>
        <v>6</v>
      </c>
      <c r="D102" s="210">
        <f>ONG!Q16</f>
        <v>8</v>
      </c>
    </row>
    <row r="103" spans="1:4" ht="21">
      <c r="A103" s="210">
        <v>2025</v>
      </c>
      <c r="B103" s="210">
        <f>ONG!O17</f>
        <v>0</v>
      </c>
      <c r="C103" s="210">
        <f>ONG!P17</f>
        <v>0</v>
      </c>
      <c r="D103" s="210">
        <f>ONG!Q17</f>
        <v>0</v>
      </c>
    </row>
    <row r="104" spans="1:4" ht="21">
      <c r="A104" s="210">
        <v>2026</v>
      </c>
      <c r="B104" s="210">
        <f>ONG!O18</f>
        <v>0</v>
      </c>
      <c r="C104" s="210">
        <f>ONG!P18</f>
        <v>0</v>
      </c>
      <c r="D104" s="210">
        <f>ONG!Q18</f>
        <v>0</v>
      </c>
    </row>
    <row r="105" spans="1:4" ht="21">
      <c r="A105" s="210">
        <v>2027</v>
      </c>
      <c r="B105" s="210">
        <f>ONG!O19</f>
        <v>0</v>
      </c>
      <c r="C105" s="210">
        <f>ONG!P19</f>
        <v>0</v>
      </c>
      <c r="D105" s="210">
        <f>ONG!Q19</f>
        <v>0</v>
      </c>
    </row>
    <row r="106" spans="1:4" ht="21">
      <c r="A106" s="210">
        <v>2028</v>
      </c>
      <c r="B106" s="210">
        <f>ONG!O20</f>
        <v>0</v>
      </c>
      <c r="C106" s="210">
        <f>ONG!P20</f>
        <v>0</v>
      </c>
      <c r="D106" s="210">
        <f>ONG!Q20</f>
        <v>0</v>
      </c>
    </row>
    <row r="107" spans="1:4" ht="21">
      <c r="A107" s="210">
        <v>2029</v>
      </c>
      <c r="B107" s="210">
        <f>ONG!O21</f>
        <v>0</v>
      </c>
      <c r="C107" s="210">
        <f>ONG!P21</f>
        <v>0</v>
      </c>
      <c r="D107" s="210">
        <f>ONG!Q21</f>
        <v>0</v>
      </c>
    </row>
    <row r="108" spans="1:4" ht="21">
      <c r="A108" s="210">
        <v>2030</v>
      </c>
      <c r="B108" s="210">
        <f>ONG!O22</f>
        <v>0</v>
      </c>
      <c r="C108" s="210">
        <f>ONG!P22</f>
        <v>0</v>
      </c>
      <c r="D108" s="210">
        <f>ONG!Q22</f>
        <v>0</v>
      </c>
    </row>
    <row r="109" spans="1:4" ht="21">
      <c r="A109" s="210">
        <v>2031</v>
      </c>
      <c r="B109" s="210">
        <f>ONG!O23</f>
        <v>0</v>
      </c>
      <c r="C109" s="210">
        <f>ONG!P23</f>
        <v>0</v>
      </c>
      <c r="D109" s="210">
        <f>ONG!Q23</f>
        <v>0</v>
      </c>
    </row>
    <row r="110" spans="1:4" ht="21">
      <c r="A110" s="210">
        <v>2032</v>
      </c>
      <c r="B110" s="210">
        <f>ONG!O24</f>
        <v>0</v>
      </c>
      <c r="C110" s="210">
        <f>ONG!P24</f>
        <v>0</v>
      </c>
      <c r="D110" s="210">
        <f>ONG!Q24</f>
        <v>0</v>
      </c>
    </row>
    <row r="111" spans="1:4" ht="21">
      <c r="A111" s="210">
        <v>2033</v>
      </c>
      <c r="B111" s="210">
        <f>ONG!O25</f>
        <v>0</v>
      </c>
      <c r="C111" s="210">
        <f>ONG!P25</f>
        <v>0</v>
      </c>
      <c r="D111" s="210">
        <f>ONG!Q25</f>
        <v>0</v>
      </c>
    </row>
    <row r="112" spans="1:4" ht="15" customHeight="1">
      <c r="A112" s="210">
        <v>2034</v>
      </c>
      <c r="B112" s="210">
        <f>ONG!O26</f>
        <v>0</v>
      </c>
      <c r="C112" s="210">
        <f>ONG!P26</f>
        <v>0</v>
      </c>
      <c r="D112" s="210">
        <f>ONG!Q26</f>
        <v>0</v>
      </c>
    </row>
    <row r="113" spans="1:4" ht="21.75" customHeight="1">
      <c r="A113" s="210">
        <v>2035</v>
      </c>
      <c r="B113" s="210">
        <f>ONG!O27</f>
        <v>0</v>
      </c>
      <c r="C113" s="210">
        <f>ONG!P27</f>
        <v>0</v>
      </c>
      <c r="D113" s="210">
        <f>ONG!Q27</f>
        <v>0</v>
      </c>
    </row>
    <row r="114" spans="1:4" ht="18" customHeight="1"/>
    <row r="115" spans="1:4" ht="18" customHeight="1">
      <c r="A115" s="210" t="s">
        <v>117</v>
      </c>
      <c r="B115" s="210">
        <f>COUNTIF(ONG!D270:D469,"Femme")</f>
        <v>6</v>
      </c>
    </row>
    <row r="116" spans="1:4" ht="18" customHeight="1">
      <c r="A116" s="210" t="s">
        <v>118</v>
      </c>
      <c r="B116" s="210">
        <f>COUNTIF(ONG!D270:D469,"Homme")</f>
        <v>8</v>
      </c>
    </row>
    <row r="117" spans="1:4" ht="18" customHeight="1"/>
    <row r="118" spans="1:4" ht="18" customHeight="1"/>
    <row r="119" spans="1:4" ht="18" customHeight="1">
      <c r="A119" s="210" t="s">
        <v>119</v>
      </c>
      <c r="B119" s="210">
        <f>COUNTIF(ONG!H270:H469,"BE")</f>
        <v>7</v>
      </c>
    </row>
    <row r="120" spans="1:4" ht="21">
      <c r="A120" s="210" t="s">
        <v>115</v>
      </c>
      <c r="B120" s="210">
        <f>COUNTIF(ONG!H270:H469,"CCE")</f>
        <v>2</v>
      </c>
    </row>
    <row r="121" spans="1:4" ht="21">
      <c r="A121" s="210" t="s">
        <v>120</v>
      </c>
      <c r="B121" s="210">
        <f>COUNTIF(ONG!H270:H469,"Membre")</f>
        <v>5</v>
      </c>
    </row>
    <row r="133" ht="6" customHeight="1"/>
    <row r="134" ht="21.75" customHeight="1"/>
    <row r="135" ht="18" customHeight="1"/>
    <row r="136" ht="18" customHeight="1"/>
    <row r="137" ht="18" customHeight="1"/>
    <row r="138" ht="18" customHeight="1"/>
    <row r="139" ht="18" customHeight="1"/>
    <row r="140" ht="18" customHeight="1"/>
    <row r="141" ht="18" customHeight="1"/>
    <row r="142" ht="18" customHeight="1"/>
    <row r="154" ht="6" customHeight="1"/>
    <row r="155" ht="21.75" customHeight="1"/>
    <row r="156" ht="18" customHeight="1"/>
    <row r="157" ht="18" customHeight="1"/>
    <row r="158" ht="18" customHeight="1"/>
    <row r="159" ht="18" customHeight="1"/>
    <row r="160" ht="18" customHeight="1"/>
    <row r="161" ht="18" customHeight="1"/>
    <row r="162" ht="30" customHeight="1"/>
    <row r="163" ht="6" customHeight="1"/>
    <row r="164" ht="21.75" customHeight="1"/>
    <row r="165" ht="18" customHeight="1"/>
    <row r="166" ht="18" customHeight="1"/>
    <row r="167" ht="18" customHeight="1"/>
    <row r="168" ht="18" customHeight="1"/>
    <row r="169" ht="18" customHeight="1"/>
    <row r="170" ht="18" customHeight="1"/>
    <row r="171" ht="15.75" customHeight="1"/>
    <row r="172" ht="6" customHeight="1"/>
    <row r="173" ht="21.75" customHeight="1"/>
    <row r="174" ht="16.5" customHeight="1"/>
    <row r="175" ht="16.5" customHeight="1"/>
    <row r="176" ht="16.5" customHeight="1"/>
    <row r="177" ht="16.5" customHeight="1"/>
    <row r="178" ht="16.5" customHeight="1"/>
    <row r="179" ht="16.5" customHeight="1"/>
    <row r="180" ht="16.5" customHeight="1"/>
    <row r="181" ht="19.5" customHeight="1"/>
    <row r="182" ht="6" customHeight="1"/>
    <row r="183" ht="21.75" customHeight="1"/>
    <row r="190" ht="6" customHeight="1"/>
    <row r="191" ht="21.75" customHeight="1"/>
    <row r="229" ht="6" customHeight="1"/>
    <row r="230" ht="21.75" customHeight="1"/>
    <row r="232" ht="15.75" customHeight="1"/>
    <row r="233" ht="15.75" customHeight="1"/>
    <row r="234" ht="15.75" customHeight="1"/>
    <row r="235" ht="15.75" customHeight="1"/>
    <row r="236" ht="15.75" customHeight="1"/>
    <row r="237" ht="21.75" customHeight="1"/>
    <row r="238" ht="6" customHeight="1"/>
    <row r="239" ht="21.75" customHeight="1"/>
  </sheetData>
  <mergeCells count="57">
    <mergeCell ref="N11:P13"/>
    <mergeCell ref="F11:H13"/>
    <mergeCell ref="R54:X55"/>
    <mergeCell ref="J57:P58"/>
    <mergeCell ref="N71:X71"/>
    <mergeCell ref="J16:L18"/>
    <mergeCell ref="N20:X20"/>
    <mergeCell ref="J15:L15"/>
    <mergeCell ref="B60:X60"/>
    <mergeCell ref="V16:X18"/>
    <mergeCell ref="B56:H56"/>
    <mergeCell ref="B20:M20"/>
    <mergeCell ref="R57:X58"/>
    <mergeCell ref="R53:X53"/>
    <mergeCell ref="J56:P56"/>
    <mergeCell ref="R56:X56"/>
    <mergeCell ref="J54:P55"/>
    <mergeCell ref="N15:P15"/>
    <mergeCell ref="A91:H91"/>
    <mergeCell ref="J53:P53"/>
    <mergeCell ref="B16:D18"/>
    <mergeCell ref="B54:H55"/>
    <mergeCell ref="B53:H53"/>
    <mergeCell ref="B71:M71"/>
    <mergeCell ref="B89:X89"/>
    <mergeCell ref="B36:L36"/>
    <mergeCell ref="F16:H18"/>
    <mergeCell ref="B69:X70"/>
    <mergeCell ref="B72:X72"/>
    <mergeCell ref="B57:H58"/>
    <mergeCell ref="B52:X52"/>
    <mergeCell ref="N36:X36"/>
    <mergeCell ref="N16:P18"/>
    <mergeCell ref="R15:T15"/>
    <mergeCell ref="R16:T18"/>
    <mergeCell ref="B3:X3"/>
    <mergeCell ref="V15:X15"/>
    <mergeCell ref="B10:D10"/>
    <mergeCell ref="J11:L13"/>
    <mergeCell ref="J6:K6"/>
    <mergeCell ref="N10:P10"/>
    <mergeCell ref="N6:X7"/>
    <mergeCell ref="B11:D13"/>
    <mergeCell ref="B15:D15"/>
    <mergeCell ref="B5:X5"/>
    <mergeCell ref="F6:G6"/>
    <mergeCell ref="V11:X13"/>
    <mergeCell ref="F15:H15"/>
    <mergeCell ref="R11:T13"/>
    <mergeCell ref="Y1:AU2"/>
    <mergeCell ref="AV1:BR2"/>
    <mergeCell ref="B6:C6"/>
    <mergeCell ref="F10:H10"/>
    <mergeCell ref="J10:L10"/>
    <mergeCell ref="R10:T10"/>
    <mergeCell ref="B1:X2"/>
    <mergeCell ref="V10:X10"/>
  </mergeCells>
  <conditionalFormatting sqref="AB36:AB41">
    <cfRule type="colorScale" priority="1">
      <colorScale>
        <cfvo type="min"/>
        <cfvo type="percentile" val="50"/>
        <cfvo type="max"/>
        <color rgb="FFE8F5E9"/>
        <color rgb="FFFFF3CD"/>
        <color rgb="FFF8D7DA"/>
      </colorScale>
    </cfRule>
  </conditionalFormatting>
  <dataValidations count="3">
    <dataValidation type="list" sqref="C7">
      <formula1>$AA$1:$AA$11</formula1>
      <formula2>0</formula2>
    </dataValidation>
    <dataValidation type="list" sqref="G7">
      <formula1>$AB$1:$AB$13</formula1>
      <formula2>0</formula2>
    </dataValidation>
    <dataValidation type="list" sqref="K7">
      <formula1>$AC$1:$AC$41</formula1>
      <formula2>0</formula2>
    </dataValidation>
  </dataValidations>
  <pageMargins left="0.25" right="0.25" top="0.4" bottom="0.4" header="0.511811023622047" footer="0.511811023622047"/>
  <pageSetup paperSize="9" fitToHeight="0" orientation="landscape"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498"/>
  <sheetViews>
    <sheetView showGridLines="0" topLeftCell="A252" zoomScaleNormal="100" workbookViewId="0">
      <selection activeCell="A265" sqref="A265:D265"/>
    </sheetView>
  </sheetViews>
  <sheetFormatPr baseColWidth="10" defaultColWidth="8.7109375" defaultRowHeight="15" customHeight="1"/>
  <cols>
    <col min="1" max="1" width="18" customWidth="1"/>
    <col min="2" max="2" width="30.7109375" customWidth="1"/>
    <col min="3" max="3" width="20" customWidth="1"/>
    <col min="4" max="4" width="18" customWidth="1"/>
    <col min="5" max="5" width="20.7109375" customWidth="1"/>
    <col min="6" max="6" width="18" customWidth="1"/>
    <col min="7" max="7" width="28" customWidth="1"/>
    <col min="8" max="8" width="14" customWidth="1"/>
    <col min="9" max="9" width="18" customWidth="1"/>
    <col min="10" max="10" width="30" customWidth="1"/>
    <col min="11" max="12" width="25.7109375" customWidth="1"/>
  </cols>
  <sheetData>
    <row r="1" spans="1:19" ht="31.5" customHeight="1">
      <c r="A1" s="284" t="s">
        <v>1293</v>
      </c>
      <c r="B1" s="262"/>
      <c r="C1" s="262"/>
      <c r="D1" s="262"/>
      <c r="E1" s="262"/>
      <c r="F1" s="262"/>
      <c r="G1" s="262"/>
      <c r="H1" s="262"/>
      <c r="L1" s="203" t="s">
        <v>1294</v>
      </c>
      <c r="N1" s="208" t="s">
        <v>1295</v>
      </c>
    </row>
    <row r="2" spans="1:19" ht="18" customHeight="1">
      <c r="A2" s="281" t="s">
        <v>1296</v>
      </c>
      <c r="B2" s="262"/>
      <c r="C2" s="262"/>
      <c r="D2" s="262"/>
      <c r="E2" s="262"/>
      <c r="F2" s="262"/>
      <c r="G2" s="262"/>
      <c r="H2" s="262"/>
      <c r="L2" s="204" t="s">
        <v>1297</v>
      </c>
      <c r="M2" s="204">
        <f>COUNTA(B270:B469)</f>
        <v>14</v>
      </c>
      <c r="N2" s="204" t="s">
        <v>1298</v>
      </c>
      <c r="O2" s="209">
        <f>COUNTA(B270:B469)</f>
        <v>14</v>
      </c>
    </row>
    <row r="3" spans="1:19" ht="19.5" customHeight="1">
      <c r="A3" s="286" t="s">
        <v>1299</v>
      </c>
      <c r="B3" s="262"/>
      <c r="C3" s="20"/>
      <c r="D3" s="19" t="s">
        <v>1300</v>
      </c>
      <c r="E3" s="21"/>
      <c r="F3" s="19" t="s">
        <v>1301</v>
      </c>
      <c r="G3" s="285" t="s">
        <v>177</v>
      </c>
      <c r="H3" s="258"/>
      <c r="L3" s="204" t="s">
        <v>117</v>
      </c>
      <c r="M3" s="204">
        <f>COUNTIF(D270:D469,"Femme")</f>
        <v>6</v>
      </c>
      <c r="N3" s="204" t="s">
        <v>116</v>
      </c>
      <c r="O3" s="209">
        <f>COUNTA(B270:B469)</f>
        <v>14</v>
      </c>
    </row>
    <row r="4" spans="1:19" ht="15.75">
      <c r="L4" s="204" t="s">
        <v>118</v>
      </c>
      <c r="M4" s="204">
        <f>COUNTIF(D270:D469,"Homme")</f>
        <v>8</v>
      </c>
      <c r="N4" s="204" t="s">
        <v>117</v>
      </c>
      <c r="O4" s="209">
        <f>COUNTIF(D270:D469,"Femme")</f>
        <v>6</v>
      </c>
    </row>
    <row r="5" spans="1:19" ht="27.75" customHeight="1">
      <c r="A5" s="282" t="s">
        <v>1302</v>
      </c>
      <c r="B5" s="262"/>
      <c r="C5" s="262"/>
      <c r="D5" s="262"/>
      <c r="E5" s="262"/>
      <c r="F5" s="262"/>
      <c r="G5" s="262"/>
      <c r="H5" s="262"/>
      <c r="L5" s="204" t="s">
        <v>119</v>
      </c>
      <c r="M5" s="204">
        <f>COUNTIF(H270:H469,"BE")</f>
        <v>7</v>
      </c>
      <c r="N5" s="204" t="s">
        <v>118</v>
      </c>
      <c r="O5" s="209">
        <f>COUNTIF(D270:D469,"Homme")</f>
        <v>8</v>
      </c>
    </row>
    <row r="6" spans="1:19" ht="15.75">
      <c r="L6" s="204" t="s">
        <v>1303</v>
      </c>
      <c r="M6" s="204">
        <f>COUNTIF(H270:H469,"CCE")</f>
        <v>2</v>
      </c>
      <c r="N6" s="204" t="s">
        <v>1304</v>
      </c>
      <c r="O6" s="209">
        <f>COUNTIF(H270:H469,"BE")</f>
        <v>7</v>
      </c>
    </row>
    <row r="7" spans="1:19" ht="19.5" customHeight="1">
      <c r="A7" s="266" t="s">
        <v>1305</v>
      </c>
      <c r="B7" s="262"/>
      <c r="C7" s="262"/>
      <c r="D7" s="262"/>
      <c r="E7" s="262"/>
      <c r="F7" s="262"/>
      <c r="G7" s="262"/>
      <c r="H7" s="262"/>
      <c r="N7" s="204" t="s">
        <v>115</v>
      </c>
      <c r="O7" s="209">
        <f>COUNTIF(H270:H469,"CCE")</f>
        <v>2</v>
      </c>
    </row>
    <row r="8" spans="1:19" ht="15" customHeight="1">
      <c r="A8" s="269" t="s">
        <v>1306</v>
      </c>
      <c r="B8" s="262"/>
      <c r="C8" s="262"/>
      <c r="D8" s="262"/>
      <c r="E8" s="262"/>
      <c r="F8" s="262"/>
      <c r="G8" s="270" t="s">
        <v>1307</v>
      </c>
      <c r="H8" s="262"/>
      <c r="N8" s="204" t="s">
        <v>1308</v>
      </c>
      <c r="O8" s="209">
        <f>COUNTIF(H270:H469,"Membre")</f>
        <v>5</v>
      </c>
    </row>
    <row r="9" spans="1:19" ht="15" customHeight="1">
      <c r="A9" s="271" t="s">
        <v>1309</v>
      </c>
      <c r="B9" s="262"/>
      <c r="C9" s="262"/>
      <c r="D9" s="262"/>
      <c r="E9" s="262"/>
      <c r="F9" s="262"/>
      <c r="G9" s="268" t="s">
        <v>1307</v>
      </c>
      <c r="H9" s="262"/>
    </row>
    <row r="10" spans="1:19" ht="15" customHeight="1">
      <c r="A10" s="269" t="s">
        <v>1310</v>
      </c>
      <c r="B10" s="262"/>
      <c r="C10" s="262"/>
      <c r="D10" s="262"/>
      <c r="E10" s="262"/>
      <c r="F10" s="262"/>
      <c r="G10" s="270" t="s">
        <v>1307</v>
      </c>
      <c r="H10" s="262"/>
    </row>
    <row r="11" spans="1:19" ht="15" customHeight="1">
      <c r="A11" s="271" t="s">
        <v>1311</v>
      </c>
      <c r="B11" s="262"/>
      <c r="C11" s="262"/>
      <c r="D11" s="262"/>
      <c r="E11" s="262"/>
      <c r="F11" s="262"/>
      <c r="G11" s="268" t="s">
        <v>1312</v>
      </c>
      <c r="H11" s="262"/>
      <c r="N11" s="205" t="s">
        <v>5</v>
      </c>
      <c r="O11" s="205" t="s">
        <v>116</v>
      </c>
      <c r="P11" s="205" t="s">
        <v>117</v>
      </c>
      <c r="Q11" s="205" t="s">
        <v>118</v>
      </c>
      <c r="R11" s="205" t="s">
        <v>119</v>
      </c>
      <c r="S11" s="205" t="s">
        <v>115</v>
      </c>
    </row>
    <row r="12" spans="1:19" ht="15" customHeight="1">
      <c r="A12" s="269" t="s">
        <v>1313</v>
      </c>
      <c r="B12" s="262"/>
      <c r="C12" s="262"/>
      <c r="D12" s="262"/>
      <c r="E12" s="262"/>
      <c r="F12" s="262"/>
      <c r="G12" s="270" t="s">
        <v>1314</v>
      </c>
      <c r="H12" s="262"/>
      <c r="N12">
        <v>2020</v>
      </c>
      <c r="O12">
        <f t="shared" ref="O12:O27" si="0">COUNTIF($I$270:$I$469,N12)</f>
        <v>0</v>
      </c>
      <c r="P12">
        <f t="shared" ref="P12:P27" si="1">COUNTIFS($I$270:$I$469,N12,$D$270:$D$469,"Femme")</f>
        <v>0</v>
      </c>
      <c r="Q12">
        <f t="shared" ref="Q12:Q27" si="2">COUNTIFS($I$270:$I$469,N12,$D$270:$D$469,"Homme")</f>
        <v>0</v>
      </c>
      <c r="R12">
        <f t="shared" ref="R12:R27" si="3">COUNTIFS($I$270:$I$469,N12,$H$270:$H$469,"BE")</f>
        <v>0</v>
      </c>
      <c r="S12">
        <f t="shared" ref="S12:S27" si="4">COUNTIFS($I$270:$I$469,N12,$H$270:$H$469,"CCE")</f>
        <v>0</v>
      </c>
    </row>
    <row r="13" spans="1:19" ht="15" customHeight="1">
      <c r="A13" s="271" t="s">
        <v>1315</v>
      </c>
      <c r="B13" s="262"/>
      <c r="C13" s="262"/>
      <c r="D13" s="262"/>
      <c r="E13" s="262"/>
      <c r="F13" s="262"/>
      <c r="G13" s="268" t="s">
        <v>1314</v>
      </c>
      <c r="H13" s="262"/>
      <c r="N13">
        <v>2021</v>
      </c>
      <c r="O13">
        <f t="shared" si="0"/>
        <v>0</v>
      </c>
      <c r="P13">
        <f t="shared" si="1"/>
        <v>0</v>
      </c>
      <c r="Q13">
        <f t="shared" si="2"/>
        <v>0</v>
      </c>
      <c r="R13">
        <f t="shared" si="3"/>
        <v>0</v>
      </c>
      <c r="S13">
        <f t="shared" si="4"/>
        <v>0</v>
      </c>
    </row>
    <row r="14" spans="1:19" ht="15" customHeight="1">
      <c r="A14" s="269" t="s">
        <v>1316</v>
      </c>
      <c r="B14" s="262"/>
      <c r="C14" s="262"/>
      <c r="D14" s="262"/>
      <c r="E14" s="262"/>
      <c r="F14" s="262"/>
      <c r="G14" s="270" t="s">
        <v>1312</v>
      </c>
      <c r="H14" s="262"/>
      <c r="N14">
        <v>2022</v>
      </c>
      <c r="O14">
        <f t="shared" si="0"/>
        <v>0</v>
      </c>
      <c r="P14">
        <f t="shared" si="1"/>
        <v>0</v>
      </c>
      <c r="Q14">
        <f t="shared" si="2"/>
        <v>0</v>
      </c>
      <c r="R14">
        <f t="shared" si="3"/>
        <v>0</v>
      </c>
      <c r="S14">
        <f t="shared" si="4"/>
        <v>0</v>
      </c>
    </row>
    <row r="15" spans="1:19" ht="15" customHeight="1">
      <c r="A15" s="271" t="s">
        <v>1317</v>
      </c>
      <c r="B15" s="262"/>
      <c r="C15" s="262"/>
      <c r="D15" s="262"/>
      <c r="E15" s="262"/>
      <c r="F15" s="262"/>
      <c r="G15" s="268" t="s">
        <v>1312</v>
      </c>
      <c r="H15" s="262"/>
      <c r="N15">
        <v>2023</v>
      </c>
      <c r="O15">
        <f t="shared" si="0"/>
        <v>0</v>
      </c>
      <c r="P15">
        <f t="shared" si="1"/>
        <v>0</v>
      </c>
      <c r="Q15">
        <f t="shared" si="2"/>
        <v>0</v>
      </c>
      <c r="R15">
        <f t="shared" si="3"/>
        <v>0</v>
      </c>
      <c r="S15">
        <f t="shared" si="4"/>
        <v>0</v>
      </c>
    </row>
    <row r="16" spans="1:19" ht="15" customHeight="1">
      <c r="A16" s="269" t="s">
        <v>1318</v>
      </c>
      <c r="B16" s="262"/>
      <c r="C16" s="262"/>
      <c r="D16" s="262"/>
      <c r="E16" s="262"/>
      <c r="F16" s="262"/>
      <c r="G16" s="270" t="s">
        <v>1312</v>
      </c>
      <c r="H16" s="262"/>
      <c r="N16">
        <v>2024</v>
      </c>
      <c r="O16">
        <f t="shared" si="0"/>
        <v>14</v>
      </c>
      <c r="P16">
        <f t="shared" si="1"/>
        <v>6</v>
      </c>
      <c r="Q16">
        <f t="shared" si="2"/>
        <v>8</v>
      </c>
      <c r="R16">
        <f t="shared" si="3"/>
        <v>7</v>
      </c>
      <c r="S16">
        <f t="shared" si="4"/>
        <v>2</v>
      </c>
    </row>
    <row r="17" spans="1:19" ht="15" customHeight="1">
      <c r="A17" s="271" t="s">
        <v>1319</v>
      </c>
      <c r="B17" s="262"/>
      <c r="C17" s="262"/>
      <c r="D17" s="262"/>
      <c r="E17" s="262"/>
      <c r="F17" s="262"/>
      <c r="G17" s="268" t="s">
        <v>1312</v>
      </c>
      <c r="H17" s="262"/>
      <c r="N17">
        <v>2025</v>
      </c>
      <c r="O17">
        <f t="shared" si="0"/>
        <v>0</v>
      </c>
      <c r="P17">
        <f t="shared" si="1"/>
        <v>0</v>
      </c>
      <c r="Q17">
        <f t="shared" si="2"/>
        <v>0</v>
      </c>
      <c r="R17">
        <f t="shared" si="3"/>
        <v>0</v>
      </c>
      <c r="S17">
        <f t="shared" si="4"/>
        <v>0</v>
      </c>
    </row>
    <row r="18" spans="1:19" ht="15" customHeight="1">
      <c r="A18" s="269" t="s">
        <v>1320</v>
      </c>
      <c r="B18" s="262"/>
      <c r="C18" s="262"/>
      <c r="D18" s="262"/>
      <c r="E18" s="262"/>
      <c r="F18" s="262"/>
      <c r="G18" s="270" t="s">
        <v>1312</v>
      </c>
      <c r="H18" s="262"/>
      <c r="N18">
        <v>2026</v>
      </c>
      <c r="O18">
        <f t="shared" si="0"/>
        <v>0</v>
      </c>
      <c r="P18">
        <f t="shared" si="1"/>
        <v>0</v>
      </c>
      <c r="Q18">
        <f t="shared" si="2"/>
        <v>0</v>
      </c>
      <c r="R18">
        <f t="shared" si="3"/>
        <v>0</v>
      </c>
      <c r="S18">
        <f t="shared" si="4"/>
        <v>0</v>
      </c>
    </row>
    <row r="19" spans="1:19" ht="15" customHeight="1">
      <c r="A19" s="271" t="s">
        <v>1321</v>
      </c>
      <c r="B19" s="262"/>
      <c r="C19" s="262"/>
      <c r="D19" s="262"/>
      <c r="E19" s="262"/>
      <c r="F19" s="262"/>
      <c r="G19" s="268" t="s">
        <v>1322</v>
      </c>
      <c r="H19" s="262"/>
      <c r="N19">
        <v>2027</v>
      </c>
      <c r="O19">
        <f t="shared" si="0"/>
        <v>0</v>
      </c>
      <c r="P19">
        <f t="shared" si="1"/>
        <v>0</v>
      </c>
      <c r="Q19">
        <f t="shared" si="2"/>
        <v>0</v>
      </c>
      <c r="R19">
        <f t="shared" si="3"/>
        <v>0</v>
      </c>
      <c r="S19">
        <f t="shared" si="4"/>
        <v>0</v>
      </c>
    </row>
    <row r="20" spans="1:19" ht="15" customHeight="1">
      <c r="A20" s="269" t="s">
        <v>1323</v>
      </c>
      <c r="B20" s="262"/>
      <c r="C20" s="262"/>
      <c r="D20" s="262"/>
      <c r="E20" s="262"/>
      <c r="F20" s="262"/>
      <c r="G20" s="270" t="s">
        <v>1312</v>
      </c>
      <c r="H20" s="262"/>
      <c r="N20">
        <v>2028</v>
      </c>
      <c r="O20">
        <f t="shared" si="0"/>
        <v>0</v>
      </c>
      <c r="P20">
        <f t="shared" si="1"/>
        <v>0</v>
      </c>
      <c r="Q20">
        <f t="shared" si="2"/>
        <v>0</v>
      </c>
      <c r="R20">
        <f t="shared" si="3"/>
        <v>0</v>
      </c>
      <c r="S20">
        <f t="shared" si="4"/>
        <v>0</v>
      </c>
    </row>
    <row r="21" spans="1:19" ht="15" customHeight="1">
      <c r="A21" s="271" t="s">
        <v>150</v>
      </c>
      <c r="B21" s="262"/>
      <c r="C21" s="262"/>
      <c r="D21" s="262"/>
      <c r="E21" s="262"/>
      <c r="F21" s="262"/>
      <c r="G21" s="268" t="s">
        <v>1312</v>
      </c>
      <c r="H21" s="262"/>
      <c r="N21">
        <v>2029</v>
      </c>
      <c r="O21">
        <f t="shared" si="0"/>
        <v>0</v>
      </c>
      <c r="P21">
        <f t="shared" si="1"/>
        <v>0</v>
      </c>
      <c r="Q21">
        <f t="shared" si="2"/>
        <v>0</v>
      </c>
      <c r="R21">
        <f t="shared" si="3"/>
        <v>0</v>
      </c>
      <c r="S21">
        <f t="shared" si="4"/>
        <v>0</v>
      </c>
    </row>
    <row r="22" spans="1:19" ht="15" customHeight="1">
      <c r="A22" s="269" t="s">
        <v>1324</v>
      </c>
      <c r="B22" s="262"/>
      <c r="C22" s="262"/>
      <c r="D22" s="262"/>
      <c r="E22" s="262"/>
      <c r="F22" s="262"/>
      <c r="G22" s="270" t="s">
        <v>1312</v>
      </c>
      <c r="H22" s="262"/>
      <c r="N22">
        <v>2030</v>
      </c>
      <c r="O22">
        <f t="shared" si="0"/>
        <v>0</v>
      </c>
      <c r="P22">
        <f t="shared" si="1"/>
        <v>0</v>
      </c>
      <c r="Q22">
        <f t="shared" si="2"/>
        <v>0</v>
      </c>
      <c r="R22">
        <f t="shared" si="3"/>
        <v>0</v>
      </c>
      <c r="S22">
        <f t="shared" si="4"/>
        <v>0</v>
      </c>
    </row>
    <row r="23" spans="1:19" ht="15" customHeight="1">
      <c r="A23" s="271" t="s">
        <v>1325</v>
      </c>
      <c r="B23" s="262"/>
      <c r="C23" s="262"/>
      <c r="D23" s="262"/>
      <c r="E23" s="262"/>
      <c r="F23" s="262"/>
      <c r="G23" s="268" t="s">
        <v>1312</v>
      </c>
      <c r="H23" s="262"/>
      <c r="N23">
        <v>2031</v>
      </c>
      <c r="O23">
        <f t="shared" si="0"/>
        <v>0</v>
      </c>
      <c r="P23">
        <f t="shared" si="1"/>
        <v>0</v>
      </c>
      <c r="Q23">
        <f t="shared" si="2"/>
        <v>0</v>
      </c>
      <c r="R23">
        <f t="shared" si="3"/>
        <v>0</v>
      </c>
      <c r="S23">
        <f t="shared" si="4"/>
        <v>0</v>
      </c>
    </row>
    <row r="24" spans="1:19" ht="15" customHeight="1">
      <c r="A24" s="269" t="s">
        <v>1326</v>
      </c>
      <c r="B24" s="262"/>
      <c r="C24" s="262"/>
      <c r="D24" s="262"/>
      <c r="E24" s="262"/>
      <c r="F24" s="262"/>
      <c r="G24" s="270" t="s">
        <v>1312</v>
      </c>
      <c r="H24" s="262"/>
      <c r="N24">
        <v>2032</v>
      </c>
      <c r="O24">
        <f t="shared" si="0"/>
        <v>0</v>
      </c>
      <c r="P24">
        <f t="shared" si="1"/>
        <v>0</v>
      </c>
      <c r="Q24">
        <f t="shared" si="2"/>
        <v>0</v>
      </c>
      <c r="R24">
        <f t="shared" si="3"/>
        <v>0</v>
      </c>
      <c r="S24">
        <f t="shared" si="4"/>
        <v>0</v>
      </c>
    </row>
    <row r="25" spans="1:19" ht="15" customHeight="1">
      <c r="A25" s="271" t="s">
        <v>1327</v>
      </c>
      <c r="B25" s="262"/>
      <c r="C25" s="262"/>
      <c r="D25" s="262"/>
      <c r="E25" s="262"/>
      <c r="F25" s="262"/>
      <c r="G25" s="268" t="s">
        <v>1307</v>
      </c>
      <c r="H25" s="262"/>
      <c r="N25">
        <v>2033</v>
      </c>
      <c r="O25">
        <f t="shared" si="0"/>
        <v>0</v>
      </c>
      <c r="P25">
        <f t="shared" si="1"/>
        <v>0</v>
      </c>
      <c r="Q25">
        <f t="shared" si="2"/>
        <v>0</v>
      </c>
      <c r="R25">
        <f t="shared" si="3"/>
        <v>0</v>
      </c>
      <c r="S25">
        <f t="shared" si="4"/>
        <v>0</v>
      </c>
    </row>
    <row r="26" spans="1:19" ht="15" customHeight="1">
      <c r="A26" s="269" t="s">
        <v>1328</v>
      </c>
      <c r="B26" s="262"/>
      <c r="C26" s="262"/>
      <c r="D26" s="262"/>
      <c r="E26" s="262"/>
      <c r="F26" s="262"/>
      <c r="G26" s="270" t="s">
        <v>1307</v>
      </c>
      <c r="H26" s="262"/>
      <c r="N26">
        <v>2034</v>
      </c>
      <c r="O26">
        <f t="shared" si="0"/>
        <v>0</v>
      </c>
      <c r="P26">
        <f t="shared" si="1"/>
        <v>0</v>
      </c>
      <c r="Q26">
        <f t="shared" si="2"/>
        <v>0</v>
      </c>
      <c r="R26">
        <f t="shared" si="3"/>
        <v>0</v>
      </c>
      <c r="S26">
        <f t="shared" si="4"/>
        <v>0</v>
      </c>
    </row>
    <row r="27" spans="1:19" ht="15" customHeight="1">
      <c r="A27" s="271" t="s">
        <v>1329</v>
      </c>
      <c r="B27" s="262"/>
      <c r="C27" s="262"/>
      <c r="D27" s="262"/>
      <c r="E27" s="262"/>
      <c r="F27" s="262"/>
      <c r="G27" s="268" t="s">
        <v>1312</v>
      </c>
      <c r="H27" s="262"/>
      <c r="N27">
        <v>2035</v>
      </c>
      <c r="O27">
        <f t="shared" si="0"/>
        <v>0</v>
      </c>
      <c r="P27">
        <f t="shared" si="1"/>
        <v>0</v>
      </c>
      <c r="Q27">
        <f t="shared" si="2"/>
        <v>0</v>
      </c>
      <c r="R27">
        <f t="shared" si="3"/>
        <v>0</v>
      </c>
      <c r="S27">
        <f t="shared" si="4"/>
        <v>0</v>
      </c>
    </row>
    <row r="28" spans="1:19" ht="15" customHeight="1">
      <c r="A28" s="269" t="s">
        <v>1330</v>
      </c>
      <c r="B28" s="262"/>
      <c r="C28" s="262"/>
      <c r="D28" s="262"/>
      <c r="E28" s="262"/>
      <c r="F28" s="262"/>
      <c r="G28" s="270" t="s">
        <v>1312</v>
      </c>
      <c r="H28" s="262"/>
    </row>
    <row r="29" spans="1:19" ht="15" customHeight="1">
      <c r="A29" s="271" t="s">
        <v>1331</v>
      </c>
      <c r="B29" s="262"/>
      <c r="C29" s="262"/>
      <c r="D29" s="262"/>
      <c r="E29" s="262"/>
      <c r="F29" s="262"/>
      <c r="G29" s="268" t="s">
        <v>1322</v>
      </c>
      <c r="H29" s="262"/>
    </row>
    <row r="30" spans="1:19" ht="15" customHeight="1">
      <c r="A30" s="269" t="s">
        <v>1332</v>
      </c>
      <c r="B30" s="262"/>
      <c r="C30" s="262"/>
      <c r="D30" s="262"/>
      <c r="E30" s="262"/>
      <c r="F30" s="262"/>
      <c r="G30" s="270" t="s">
        <v>1312</v>
      </c>
      <c r="H30" s="262"/>
    </row>
    <row r="32" spans="1:19" ht="19.5" customHeight="1">
      <c r="A32" s="266" t="s">
        <v>1306</v>
      </c>
      <c r="B32" s="262"/>
      <c r="C32" s="262"/>
      <c r="D32" s="262"/>
      <c r="E32" s="262"/>
      <c r="F32" s="262"/>
      <c r="G32" s="262"/>
      <c r="H32" s="262"/>
    </row>
    <row r="33" spans="1:8" ht="18" customHeight="1">
      <c r="A33" s="257" t="s">
        <v>1333</v>
      </c>
      <c r="B33" s="258"/>
      <c r="C33" s="259" t="s">
        <v>1334</v>
      </c>
      <c r="D33" s="260"/>
      <c r="E33" s="260"/>
      <c r="F33" s="260"/>
      <c r="G33" s="260"/>
      <c r="H33" s="258"/>
    </row>
    <row r="34" spans="1:8" ht="18" customHeight="1">
      <c r="A34" s="257" t="s">
        <v>1335</v>
      </c>
      <c r="B34" s="258"/>
      <c r="C34" s="259" t="s">
        <v>1336</v>
      </c>
      <c r="D34" s="260"/>
      <c r="E34" s="260"/>
      <c r="F34" s="260"/>
      <c r="G34" s="260"/>
      <c r="H34" s="258"/>
    </row>
    <row r="35" spans="1:8" ht="18" customHeight="1">
      <c r="A35" s="257" t="s">
        <v>1337</v>
      </c>
      <c r="B35" s="258"/>
      <c r="C35" s="259" t="s">
        <v>1338</v>
      </c>
      <c r="D35" s="260"/>
      <c r="E35" s="260"/>
      <c r="F35" s="260"/>
      <c r="G35" s="260"/>
      <c r="H35" s="258"/>
    </row>
    <row r="36" spans="1:8" ht="18" customHeight="1">
      <c r="A36" s="257" t="s">
        <v>1339</v>
      </c>
      <c r="B36" s="258"/>
      <c r="C36" s="259"/>
      <c r="D36" s="260"/>
      <c r="E36" s="260"/>
      <c r="F36" s="260"/>
      <c r="G36" s="260"/>
      <c r="H36" s="258"/>
    </row>
    <row r="37" spans="1:8" ht="18" customHeight="1">
      <c r="A37" s="257" t="s">
        <v>1340</v>
      </c>
      <c r="B37" s="258"/>
      <c r="C37" s="259"/>
      <c r="D37" s="260"/>
      <c r="E37" s="260"/>
      <c r="F37" s="260"/>
      <c r="G37" s="260"/>
      <c r="H37" s="258"/>
    </row>
    <row r="38" spans="1:8" ht="18" customHeight="1">
      <c r="A38" s="257" t="s">
        <v>1341</v>
      </c>
      <c r="B38" s="258"/>
      <c r="C38" s="259"/>
      <c r="D38" s="260"/>
      <c r="E38" s="260"/>
      <c r="F38" s="260"/>
      <c r="G38" s="260"/>
      <c r="H38" s="258"/>
    </row>
    <row r="39" spans="1:8" ht="18" customHeight="1">
      <c r="A39" s="257" t="s">
        <v>1342</v>
      </c>
      <c r="B39" s="258"/>
      <c r="C39" s="259"/>
      <c r="D39" s="260"/>
      <c r="E39" s="260"/>
      <c r="F39" s="260"/>
      <c r="G39" s="260"/>
      <c r="H39" s="258"/>
    </row>
    <row r="40" spans="1:8" ht="18" customHeight="1">
      <c r="A40" s="257" t="s">
        <v>1343</v>
      </c>
      <c r="B40" s="258"/>
      <c r="C40" s="259"/>
      <c r="D40" s="260"/>
      <c r="E40" s="260"/>
      <c r="F40" s="260"/>
      <c r="G40" s="260"/>
      <c r="H40" s="258"/>
    </row>
    <row r="41" spans="1:8" ht="18" customHeight="1">
      <c r="A41" s="257" t="s">
        <v>1344</v>
      </c>
      <c r="B41" s="258"/>
      <c r="C41" s="259"/>
      <c r="D41" s="260"/>
      <c r="E41" s="260"/>
      <c r="F41" s="260"/>
      <c r="G41" s="260"/>
      <c r="H41" s="258"/>
    </row>
    <row r="42" spans="1:8" ht="18" customHeight="1">
      <c r="A42" s="257" t="s">
        <v>1345</v>
      </c>
      <c r="B42" s="258"/>
      <c r="C42" s="259"/>
      <c r="D42" s="260"/>
      <c r="E42" s="260"/>
      <c r="F42" s="260"/>
      <c r="G42" s="260"/>
      <c r="H42" s="258"/>
    </row>
    <row r="43" spans="1:8" ht="18" customHeight="1">
      <c r="A43" s="257" t="s">
        <v>1346</v>
      </c>
      <c r="B43" s="258"/>
      <c r="C43" s="259" t="s">
        <v>952</v>
      </c>
      <c r="D43" s="260"/>
      <c r="E43" s="260"/>
      <c r="F43" s="260"/>
      <c r="G43" s="260"/>
      <c r="H43" s="258"/>
    </row>
    <row r="44" spans="1:8" ht="18" customHeight="1">
      <c r="A44" s="257" t="s">
        <v>1347</v>
      </c>
      <c r="B44" s="258"/>
      <c r="C44" s="259"/>
      <c r="D44" s="260"/>
      <c r="E44" s="260"/>
      <c r="F44" s="260"/>
      <c r="G44" s="260"/>
      <c r="H44" s="258"/>
    </row>
    <row r="45" spans="1:8" ht="18" customHeight="1">
      <c r="A45" s="257" t="s">
        <v>1348</v>
      </c>
      <c r="B45" s="258"/>
      <c r="C45" s="259" t="s">
        <v>1349</v>
      </c>
      <c r="D45" s="260"/>
      <c r="E45" s="260"/>
      <c r="F45" s="260"/>
      <c r="G45" s="260"/>
      <c r="H45" s="258"/>
    </row>
    <row r="46" spans="1:8" ht="18" customHeight="1">
      <c r="A46" s="257" t="s">
        <v>1350</v>
      </c>
      <c r="B46" s="258"/>
      <c r="C46" s="259"/>
      <c r="D46" s="260"/>
      <c r="E46" s="260"/>
      <c r="F46" s="260"/>
      <c r="G46" s="260"/>
      <c r="H46" s="258"/>
    </row>
    <row r="47" spans="1:8" ht="18" customHeight="1">
      <c r="A47" s="257" t="s">
        <v>1351</v>
      </c>
      <c r="B47" s="258"/>
      <c r="C47" s="259"/>
      <c r="D47" s="260"/>
      <c r="E47" s="260"/>
      <c r="F47" s="260"/>
      <c r="G47" s="260"/>
      <c r="H47" s="258"/>
    </row>
    <row r="48" spans="1:8" ht="18" customHeight="1">
      <c r="A48" s="257" t="s">
        <v>1352</v>
      </c>
      <c r="B48" s="258"/>
      <c r="C48" s="259"/>
      <c r="D48" s="260"/>
      <c r="E48" s="260"/>
      <c r="F48" s="260"/>
      <c r="G48" s="260"/>
      <c r="H48" s="258"/>
    </row>
    <row r="49" spans="1:8" ht="18" customHeight="1">
      <c r="A49" s="257" t="s">
        <v>1353</v>
      </c>
      <c r="B49" s="258"/>
      <c r="C49" s="259"/>
      <c r="D49" s="260"/>
      <c r="E49" s="260"/>
      <c r="F49" s="260"/>
      <c r="G49" s="260"/>
      <c r="H49" s="258"/>
    </row>
    <row r="50" spans="1:8" ht="18" customHeight="1">
      <c r="A50" s="257" t="s">
        <v>1354</v>
      </c>
      <c r="B50" s="258"/>
      <c r="C50" s="259"/>
      <c r="D50" s="260"/>
      <c r="E50" s="260"/>
      <c r="F50" s="260"/>
      <c r="G50" s="260"/>
      <c r="H50" s="258"/>
    </row>
    <row r="51" spans="1:8" ht="15" customHeight="1">
      <c r="A51" s="7" t="s">
        <v>196</v>
      </c>
    </row>
    <row r="53" spans="1:8" ht="19.5" customHeight="1">
      <c r="A53" s="266" t="s">
        <v>1309</v>
      </c>
      <c r="B53" s="262"/>
      <c r="C53" s="262"/>
      <c r="D53" s="262"/>
      <c r="E53" s="262"/>
      <c r="F53" s="262"/>
      <c r="G53" s="262"/>
      <c r="H53" s="262"/>
    </row>
    <row r="54" spans="1:8" ht="18" customHeight="1">
      <c r="A54" s="257" t="s">
        <v>1355</v>
      </c>
      <c r="B54" s="258"/>
      <c r="C54" s="259"/>
      <c r="D54" s="260"/>
      <c r="E54" s="260"/>
      <c r="F54" s="260"/>
      <c r="G54" s="260"/>
      <c r="H54" s="258"/>
    </row>
    <row r="55" spans="1:8" ht="18" customHeight="1">
      <c r="A55" s="257" t="s">
        <v>1356</v>
      </c>
      <c r="B55" s="258"/>
      <c r="C55" s="259"/>
      <c r="D55" s="260"/>
      <c r="E55" s="260"/>
      <c r="F55" s="260"/>
      <c r="G55" s="260"/>
      <c r="H55" s="258"/>
    </row>
    <row r="56" spans="1:8" ht="18" customHeight="1">
      <c r="A56" s="257" t="s">
        <v>1344</v>
      </c>
      <c r="B56" s="258"/>
      <c r="C56" s="259"/>
      <c r="D56" s="260"/>
      <c r="E56" s="260"/>
      <c r="F56" s="260"/>
      <c r="G56" s="260"/>
      <c r="H56" s="258"/>
    </row>
    <row r="57" spans="1:8" ht="18" customHeight="1">
      <c r="A57" s="257" t="s">
        <v>1357</v>
      </c>
      <c r="B57" s="258"/>
      <c r="C57" s="259"/>
      <c r="D57" s="260"/>
      <c r="E57" s="260"/>
      <c r="F57" s="260"/>
      <c r="G57" s="260"/>
      <c r="H57" s="258"/>
    </row>
    <row r="58" spans="1:8" ht="18" customHeight="1">
      <c r="A58" s="257" t="s">
        <v>1358</v>
      </c>
      <c r="B58" s="258"/>
      <c r="C58" s="259"/>
      <c r="D58" s="260"/>
      <c r="E58" s="260"/>
      <c r="F58" s="260"/>
      <c r="G58" s="260"/>
      <c r="H58" s="258"/>
    </row>
    <row r="59" spans="1:8" ht="18" customHeight="1">
      <c r="A59" s="257" t="s">
        <v>1343</v>
      </c>
      <c r="B59" s="258"/>
      <c r="C59" s="259"/>
      <c r="D59" s="260"/>
      <c r="E59" s="260"/>
      <c r="F59" s="260"/>
      <c r="G59" s="260"/>
      <c r="H59" s="258"/>
    </row>
    <row r="60" spans="1:8" ht="18" customHeight="1">
      <c r="A60" s="257" t="s">
        <v>1359</v>
      </c>
      <c r="B60" s="258"/>
      <c r="C60" s="259"/>
      <c r="D60" s="260"/>
      <c r="E60" s="260"/>
      <c r="F60" s="260"/>
      <c r="G60" s="260"/>
      <c r="H60" s="258"/>
    </row>
    <row r="61" spans="1:8" ht="18" customHeight="1">
      <c r="A61" s="257" t="s">
        <v>1360</v>
      </c>
      <c r="B61" s="258"/>
      <c r="C61" s="259"/>
      <c r="D61" s="260"/>
      <c r="E61" s="260"/>
      <c r="F61" s="260"/>
      <c r="G61" s="260"/>
      <c r="H61" s="258"/>
    </row>
    <row r="62" spans="1:8" ht="18" customHeight="1">
      <c r="A62" s="257" t="s">
        <v>1340</v>
      </c>
      <c r="B62" s="258"/>
      <c r="C62" s="259"/>
      <c r="D62" s="260"/>
      <c r="E62" s="260"/>
      <c r="F62" s="260"/>
      <c r="G62" s="260"/>
      <c r="H62" s="258"/>
    </row>
    <row r="63" spans="1:8" ht="18" customHeight="1">
      <c r="A63" s="257" t="s">
        <v>1346</v>
      </c>
      <c r="B63" s="258"/>
      <c r="C63" s="259" t="s">
        <v>952</v>
      </c>
      <c r="D63" s="260"/>
      <c r="E63" s="260"/>
      <c r="F63" s="260"/>
      <c r="G63" s="260"/>
      <c r="H63" s="258"/>
    </row>
    <row r="64" spans="1:8" ht="18" customHeight="1">
      <c r="A64" s="257" t="s">
        <v>1361</v>
      </c>
      <c r="B64" s="258"/>
      <c r="C64" s="259"/>
      <c r="D64" s="260"/>
      <c r="E64" s="260"/>
      <c r="F64" s="260"/>
      <c r="G64" s="260"/>
      <c r="H64" s="258"/>
    </row>
    <row r="65" spans="1:8" ht="18" customHeight="1">
      <c r="A65" s="257" t="s">
        <v>1362</v>
      </c>
      <c r="B65" s="258"/>
      <c r="C65" s="259"/>
      <c r="D65" s="260"/>
      <c r="E65" s="260"/>
      <c r="F65" s="260"/>
      <c r="G65" s="260"/>
      <c r="H65" s="258"/>
    </row>
    <row r="66" spans="1:8" ht="15" customHeight="1">
      <c r="A66" s="7" t="s">
        <v>196</v>
      </c>
    </row>
    <row r="68" spans="1:8" ht="19.5" customHeight="1">
      <c r="A68" s="266" t="s">
        <v>1310</v>
      </c>
      <c r="B68" s="262"/>
      <c r="C68" s="262"/>
      <c r="D68" s="262"/>
      <c r="E68" s="262"/>
      <c r="F68" s="262"/>
      <c r="G68" s="262"/>
      <c r="H68" s="262"/>
    </row>
    <row r="69" spans="1:8" ht="18" customHeight="1">
      <c r="A69" s="257" t="s">
        <v>1363</v>
      </c>
      <c r="B69" s="258"/>
      <c r="C69" s="259"/>
      <c r="D69" s="260"/>
      <c r="E69" s="260"/>
      <c r="F69" s="260"/>
      <c r="G69" s="260"/>
      <c r="H69" s="258"/>
    </row>
    <row r="70" spans="1:8" ht="18" customHeight="1">
      <c r="A70" s="257" t="s">
        <v>941</v>
      </c>
      <c r="B70" s="258"/>
      <c r="C70" s="272" t="str">
        <f>IFERROR(INDEX(#REF!,MATCH($C$69,#REF!,0)),"")</f>
        <v/>
      </c>
      <c r="D70" s="260"/>
      <c r="E70" s="260"/>
      <c r="F70" s="260"/>
      <c r="G70" s="260"/>
      <c r="H70" s="258"/>
    </row>
    <row r="71" spans="1:8" ht="18" customHeight="1">
      <c r="A71" s="257" t="s">
        <v>1364</v>
      </c>
      <c r="B71" s="258"/>
      <c r="C71" s="272" t="str">
        <f>IFERROR(INDEX(#REF!,MATCH($C$69,#REF!,0)),"")</f>
        <v/>
      </c>
      <c r="D71" s="260"/>
      <c r="E71" s="260"/>
      <c r="F71" s="260"/>
      <c r="G71" s="260"/>
      <c r="H71" s="258"/>
    </row>
    <row r="72" spans="1:8" ht="18" customHeight="1">
      <c r="A72" s="257" t="s">
        <v>1365</v>
      </c>
      <c r="B72" s="258"/>
      <c r="C72" s="272" t="str">
        <f>IFERROR(INDEX(#REF!,MATCH($C$69,#REF!,0)),"")</f>
        <v/>
      </c>
      <c r="D72" s="260"/>
      <c r="E72" s="260"/>
      <c r="F72" s="260"/>
      <c r="G72" s="260"/>
      <c r="H72" s="258"/>
    </row>
    <row r="73" spans="1:8" ht="18" customHeight="1">
      <c r="A73" s="257" t="s">
        <v>947</v>
      </c>
      <c r="B73" s="258"/>
      <c r="C73" s="272" t="str">
        <f>IFERROR(INDEX(#REF!,MATCH($C$69,#REF!,0)),"")</f>
        <v/>
      </c>
      <c r="D73" s="260"/>
      <c r="E73" s="260"/>
      <c r="F73" s="260"/>
      <c r="G73" s="260"/>
      <c r="H73" s="258"/>
    </row>
    <row r="74" spans="1:8" ht="18" customHeight="1">
      <c r="A74" s="257" t="s">
        <v>1366</v>
      </c>
      <c r="B74" s="258"/>
      <c r="C74" s="259"/>
      <c r="D74" s="260"/>
      <c r="E74" s="260"/>
      <c r="F74" s="260"/>
      <c r="G74" s="260"/>
      <c r="H74" s="258"/>
    </row>
    <row r="75" spans="1:8" ht="18" customHeight="1">
      <c r="A75" s="257" t="s">
        <v>1367</v>
      </c>
      <c r="B75" s="258"/>
      <c r="C75" s="259"/>
      <c r="D75" s="260"/>
      <c r="E75" s="260"/>
      <c r="F75" s="260"/>
      <c r="G75" s="260"/>
      <c r="H75" s="258"/>
    </row>
    <row r="76" spans="1:8" ht="18" customHeight="1">
      <c r="A76" s="257" t="s">
        <v>1368</v>
      </c>
      <c r="B76" s="258"/>
      <c r="C76" s="259"/>
      <c r="D76" s="260"/>
      <c r="E76" s="260"/>
      <c r="F76" s="260"/>
      <c r="G76" s="260"/>
      <c r="H76" s="258"/>
    </row>
    <row r="77" spans="1:8" ht="18" customHeight="1">
      <c r="A77" s="257" t="s">
        <v>1369</v>
      </c>
      <c r="B77" s="258"/>
      <c r="C77" s="259"/>
      <c r="D77" s="260"/>
      <c r="E77" s="260"/>
      <c r="F77" s="260"/>
      <c r="G77" s="260"/>
      <c r="H77" s="258"/>
    </row>
    <row r="78" spans="1:8" ht="18" customHeight="1">
      <c r="A78" s="257" t="s">
        <v>1370</v>
      </c>
      <c r="B78" s="258"/>
      <c r="C78" s="259"/>
      <c r="D78" s="260"/>
      <c r="E78" s="260"/>
      <c r="F78" s="260"/>
      <c r="G78" s="260"/>
      <c r="H78" s="258"/>
    </row>
    <row r="79" spans="1:8" ht="15" customHeight="1">
      <c r="A79" s="7" t="s">
        <v>196</v>
      </c>
    </row>
    <row r="81" spans="1:8" ht="19.5" customHeight="1">
      <c r="A81" s="266" t="s">
        <v>1311</v>
      </c>
      <c r="B81" s="262"/>
      <c r="C81" s="262"/>
      <c r="D81" s="262"/>
      <c r="E81" s="262"/>
    </row>
    <row r="82" spans="1:8" ht="25.5" customHeight="1">
      <c r="A82" s="3" t="s">
        <v>1371</v>
      </c>
      <c r="B82" s="3" t="s">
        <v>1372</v>
      </c>
      <c r="C82" s="3" t="s">
        <v>1368</v>
      </c>
      <c r="D82" s="3" t="s">
        <v>1373</v>
      </c>
      <c r="E82" s="3" t="s">
        <v>175</v>
      </c>
    </row>
    <row r="83" spans="1:8" ht="15" customHeight="1">
      <c r="A83" s="22" t="s">
        <v>725</v>
      </c>
      <c r="B83" s="23"/>
      <c r="C83" s="23"/>
      <c r="D83" s="23"/>
      <c r="E83" s="22" t="s">
        <v>177</v>
      </c>
    </row>
    <row r="84" spans="1:8" ht="15" customHeight="1">
      <c r="A84" s="22" t="s">
        <v>733</v>
      </c>
      <c r="B84" s="23"/>
      <c r="C84" s="23"/>
      <c r="D84" s="23"/>
      <c r="E84" s="22" t="s">
        <v>177</v>
      </c>
    </row>
    <row r="85" spans="1:8" ht="15" customHeight="1">
      <c r="A85" s="22" t="s">
        <v>729</v>
      </c>
      <c r="B85" s="23"/>
      <c r="C85" s="23"/>
      <c r="D85" s="23"/>
      <c r="E85" s="22" t="s">
        <v>177</v>
      </c>
    </row>
    <row r="86" spans="1:8" ht="34.5" customHeight="1">
      <c r="A86" s="22" t="s">
        <v>739</v>
      </c>
      <c r="B86" s="23"/>
      <c r="C86" s="23"/>
      <c r="D86" s="23"/>
      <c r="E86" s="22" t="s">
        <v>177</v>
      </c>
    </row>
    <row r="87" spans="1:8" ht="23.25" customHeight="1">
      <c r="A87" s="22" t="s">
        <v>1374</v>
      </c>
      <c r="B87" s="23"/>
      <c r="C87" s="23"/>
      <c r="D87" s="23"/>
      <c r="E87" s="22" t="s">
        <v>177</v>
      </c>
    </row>
    <row r="88" spans="1:8" ht="23.25" customHeight="1">
      <c r="A88" s="22" t="s">
        <v>743</v>
      </c>
      <c r="B88" s="23"/>
      <c r="C88" s="23"/>
      <c r="D88" s="23"/>
      <c r="E88" s="22" t="s">
        <v>177</v>
      </c>
    </row>
    <row r="89" spans="1:8" ht="23.25" customHeight="1">
      <c r="A89" s="22" t="s">
        <v>1375</v>
      </c>
      <c r="B89" s="23"/>
      <c r="C89" s="23"/>
      <c r="D89" s="23"/>
      <c r="E89" s="22" t="s">
        <v>177</v>
      </c>
    </row>
    <row r="90" spans="1:8" ht="23.25" customHeight="1">
      <c r="A90" s="22" t="s">
        <v>1376</v>
      </c>
      <c r="B90" s="23"/>
      <c r="C90" s="23"/>
      <c r="D90" s="23"/>
      <c r="E90" s="22" t="s">
        <v>177</v>
      </c>
    </row>
    <row r="91" spans="1:8" ht="15" customHeight="1">
      <c r="A91" s="7" t="s">
        <v>196</v>
      </c>
    </row>
    <row r="93" spans="1:8" ht="19.5" customHeight="1">
      <c r="A93" s="266" t="s">
        <v>1313</v>
      </c>
      <c r="B93" s="262"/>
      <c r="C93" s="262"/>
      <c r="D93" s="262"/>
      <c r="E93" s="262"/>
      <c r="F93" s="262"/>
      <c r="G93" s="262"/>
      <c r="H93" s="262"/>
    </row>
    <row r="94" spans="1:8" ht="19.5" customHeight="1">
      <c r="A94" s="273"/>
      <c r="B94" s="274"/>
      <c r="C94" s="274"/>
      <c r="D94" s="274"/>
      <c r="E94" s="274"/>
      <c r="F94" s="274"/>
      <c r="G94" s="274"/>
      <c r="H94" s="275"/>
    </row>
    <row r="95" spans="1:8" ht="19.5" customHeight="1">
      <c r="A95" s="276"/>
      <c r="B95" s="262"/>
      <c r="C95" s="262"/>
      <c r="D95" s="262"/>
      <c r="E95" s="262"/>
      <c r="F95" s="262"/>
      <c r="G95" s="262"/>
      <c r="H95" s="277"/>
    </row>
    <row r="96" spans="1:8" ht="19.5" customHeight="1">
      <c r="A96" s="276"/>
      <c r="B96" s="262"/>
      <c r="C96" s="262"/>
      <c r="D96" s="262"/>
      <c r="E96" s="262"/>
      <c r="F96" s="262"/>
      <c r="G96" s="262"/>
      <c r="H96" s="277"/>
    </row>
    <row r="97" spans="1:8" ht="19.5" customHeight="1">
      <c r="A97" s="278"/>
      <c r="B97" s="279"/>
      <c r="C97" s="279"/>
      <c r="D97" s="279"/>
      <c r="E97" s="279"/>
      <c r="F97" s="279"/>
      <c r="G97" s="279"/>
      <c r="H97" s="280"/>
    </row>
    <row r="98" spans="1:8" ht="15" customHeight="1">
      <c r="A98" s="7" t="s">
        <v>196</v>
      </c>
    </row>
    <row r="100" spans="1:8" ht="19.5" customHeight="1">
      <c r="A100" s="266" t="s">
        <v>1315</v>
      </c>
      <c r="B100" s="262"/>
      <c r="C100" s="262"/>
      <c r="D100" s="262"/>
      <c r="E100" s="262"/>
      <c r="F100" s="262"/>
      <c r="G100" s="262"/>
      <c r="H100" s="262"/>
    </row>
    <row r="101" spans="1:8" ht="19.5" customHeight="1">
      <c r="A101" s="273"/>
      <c r="B101" s="274"/>
      <c r="C101" s="274"/>
      <c r="D101" s="274"/>
      <c r="E101" s="274"/>
      <c r="F101" s="274"/>
      <c r="G101" s="274"/>
      <c r="H101" s="275"/>
    </row>
    <row r="102" spans="1:8" ht="19.5" customHeight="1">
      <c r="A102" s="276"/>
      <c r="B102" s="262"/>
      <c r="C102" s="262"/>
      <c r="D102" s="262"/>
      <c r="E102" s="262"/>
      <c r="F102" s="262"/>
      <c r="G102" s="262"/>
      <c r="H102" s="277"/>
    </row>
    <row r="103" spans="1:8" ht="19.5" customHeight="1">
      <c r="A103" s="276"/>
      <c r="B103" s="262"/>
      <c r="C103" s="262"/>
      <c r="D103" s="262"/>
      <c r="E103" s="262"/>
      <c r="F103" s="262"/>
      <c r="G103" s="262"/>
      <c r="H103" s="277"/>
    </row>
    <row r="104" spans="1:8" ht="19.5" customHeight="1">
      <c r="A104" s="278"/>
      <c r="B104" s="279"/>
      <c r="C104" s="279"/>
      <c r="D104" s="279"/>
      <c r="E104" s="279"/>
      <c r="F104" s="279"/>
      <c r="G104" s="279"/>
      <c r="H104" s="280"/>
    </row>
    <row r="105" spans="1:8" ht="15" customHeight="1">
      <c r="A105" s="7" t="s">
        <v>196</v>
      </c>
    </row>
    <row r="107" spans="1:8" ht="19.5" customHeight="1">
      <c r="A107" s="266" t="s">
        <v>1316</v>
      </c>
      <c r="B107" s="262"/>
      <c r="C107" s="262"/>
    </row>
    <row r="108" spans="1:8" ht="25.5" customHeight="1">
      <c r="A108" s="3" t="s">
        <v>173</v>
      </c>
      <c r="B108" s="3" t="s">
        <v>1280</v>
      </c>
      <c r="C108" s="3" t="s">
        <v>252</v>
      </c>
    </row>
    <row r="109" spans="1:8" ht="15" customHeight="1">
      <c r="A109" s="22" t="s">
        <v>1377</v>
      </c>
      <c r="B109" s="22" t="s">
        <v>1378</v>
      </c>
      <c r="C109" s="23"/>
    </row>
    <row r="110" spans="1:8" ht="15" customHeight="1">
      <c r="A110" s="22" t="s">
        <v>1379</v>
      </c>
      <c r="B110" s="22" t="s">
        <v>1380</v>
      </c>
      <c r="C110" s="23"/>
    </row>
    <row r="111" spans="1:8" ht="15" customHeight="1">
      <c r="A111" s="22" t="s">
        <v>1381</v>
      </c>
      <c r="B111" s="22" t="s">
        <v>1382</v>
      </c>
      <c r="C111" s="23"/>
    </row>
    <row r="112" spans="1:8" ht="15" customHeight="1">
      <c r="A112" s="22" t="s">
        <v>1383</v>
      </c>
      <c r="B112" s="22" t="s">
        <v>1384</v>
      </c>
      <c r="C112" s="23"/>
    </row>
    <row r="113" spans="1:5" ht="15" customHeight="1">
      <c r="A113" s="22" t="s">
        <v>1385</v>
      </c>
      <c r="B113" s="22" t="s">
        <v>1386</v>
      </c>
      <c r="C113" s="23"/>
    </row>
    <row r="114" spans="1:5" ht="15" customHeight="1">
      <c r="A114" s="22" t="s">
        <v>1387</v>
      </c>
      <c r="B114" s="22" t="s">
        <v>1388</v>
      </c>
      <c r="C114" s="23"/>
    </row>
    <row r="115" spans="1:5" ht="15" customHeight="1">
      <c r="A115" s="22" t="s">
        <v>1389</v>
      </c>
      <c r="B115" s="22" t="s">
        <v>1390</v>
      </c>
      <c r="C115" s="23"/>
    </row>
    <row r="116" spans="1:5" ht="15" customHeight="1">
      <c r="A116" s="22" t="s">
        <v>1391</v>
      </c>
      <c r="B116" s="22" t="s">
        <v>1392</v>
      </c>
      <c r="C116" s="23"/>
    </row>
    <row r="117" spans="1:5" ht="15" customHeight="1">
      <c r="A117" s="22" t="s">
        <v>1393</v>
      </c>
      <c r="B117" s="22" t="s">
        <v>1394</v>
      </c>
      <c r="C117" s="23"/>
    </row>
    <row r="118" spans="1:5" ht="15" customHeight="1">
      <c r="A118" s="7" t="s">
        <v>196</v>
      </c>
    </row>
    <row r="120" spans="1:5" ht="19.5" customHeight="1">
      <c r="A120" s="266" t="s">
        <v>1317</v>
      </c>
      <c r="B120" s="262"/>
      <c r="C120" s="262"/>
      <c r="D120" s="262"/>
      <c r="E120" s="262"/>
    </row>
    <row r="121" spans="1:5" ht="25.5" customHeight="1">
      <c r="A121" s="3" t="s">
        <v>173</v>
      </c>
      <c r="B121" s="3" t="s">
        <v>1395</v>
      </c>
      <c r="C121" s="3" t="s">
        <v>252</v>
      </c>
      <c r="D121" s="3" t="s">
        <v>197</v>
      </c>
      <c r="E121" s="3" t="s">
        <v>175</v>
      </c>
    </row>
    <row r="122" spans="1:5" ht="45.75" customHeight="1">
      <c r="A122" s="22" t="s">
        <v>1396</v>
      </c>
      <c r="B122" s="22" t="s">
        <v>1397</v>
      </c>
      <c r="C122" s="22" t="s">
        <v>1398</v>
      </c>
      <c r="D122" s="22" t="s">
        <v>1399</v>
      </c>
      <c r="E122" s="22" t="s">
        <v>177</v>
      </c>
    </row>
    <row r="123" spans="1:5" ht="15" customHeight="1">
      <c r="A123" s="7" t="s">
        <v>196</v>
      </c>
    </row>
    <row r="125" spans="1:5" ht="19.5" customHeight="1">
      <c r="A125" s="266" t="s">
        <v>1318</v>
      </c>
      <c r="B125" s="262"/>
      <c r="C125" s="262"/>
      <c r="D125" s="262"/>
    </row>
    <row r="126" spans="1:5" ht="25.5" customHeight="1">
      <c r="A126" s="3" t="s">
        <v>173</v>
      </c>
      <c r="B126" s="3" t="s">
        <v>1400</v>
      </c>
      <c r="C126" s="3" t="s">
        <v>1401</v>
      </c>
      <c r="D126" s="3" t="s">
        <v>175</v>
      </c>
    </row>
    <row r="127" spans="1:5" ht="15" customHeight="1">
      <c r="A127" s="22" t="s">
        <v>254</v>
      </c>
      <c r="B127" s="24" t="str">
        <f>IFERROR(INDEX(tbl_Domaines[Libelle],MATCH($A127,tbl_Domaines[Code],0)),"")</f>
        <v>Education</v>
      </c>
      <c r="C127" s="24" t="str">
        <f>IFERROR(INDEX(tbl_Domaines[Domaine prioritaire BK],MATCH($A127,tbl_Domaines[Code],0)),"")</f>
        <v>Oui</v>
      </c>
      <c r="D127" s="24" t="str">
        <f>IFERROR(INDEX(tbl_Domaines[Statut],MATCH($A127,tbl_Domaines[Code],0)),"")</f>
        <v>Actif</v>
      </c>
    </row>
    <row r="128" spans="1:5" ht="23.25" customHeight="1">
      <c r="A128" s="22" t="s">
        <v>257</v>
      </c>
      <c r="B128" s="24" t="str">
        <f>IFERROR(INDEX(tbl_Domaines[Libelle],MATCH($A128,tbl_Domaines[Code],0)),"")</f>
        <v>Formation professionnelle</v>
      </c>
      <c r="C128" s="24" t="str">
        <f>IFERROR(INDEX(tbl_Domaines[Domaine prioritaire BK],MATCH($A128,tbl_Domaines[Code],0)),"")</f>
        <v>Oui</v>
      </c>
      <c r="D128" s="24" t="str">
        <f>IFERROR(INDEX(tbl_Domaines[Statut],MATCH($A128,tbl_Domaines[Code],0)),"")</f>
        <v>Actif</v>
      </c>
    </row>
    <row r="129" spans="1:7" ht="15" customHeight="1">
      <c r="A129" s="22" t="s">
        <v>259</v>
      </c>
      <c r="B129" s="24" t="str">
        <f>IFERROR(INDEX(tbl_Domaines[Libelle],MATCH($A129,tbl_Domaines[Code],0)),"")</f>
        <v>Entrepreneuriat</v>
      </c>
      <c r="C129" s="24" t="str">
        <f>IFERROR(INDEX(tbl_Domaines[Domaine prioritaire BK],MATCH($A129,tbl_Domaines[Code],0)),"")</f>
        <v>Oui</v>
      </c>
      <c r="D129" s="24" t="str">
        <f>IFERROR(INDEX(tbl_Domaines[Statut],MATCH($A129,tbl_Domaines[Code],0)),"")</f>
        <v>Actif</v>
      </c>
    </row>
    <row r="130" spans="1:7" ht="15" customHeight="1">
      <c r="A130" s="22" t="s">
        <v>261</v>
      </c>
      <c r="B130" s="24" t="str">
        <f>IFERROR(INDEX(tbl_Domaines[Libelle],MATCH($A130,tbl_Domaines[Code],0)),"")</f>
        <v>Culture</v>
      </c>
      <c r="C130" s="24" t="str">
        <f>IFERROR(INDEX(tbl_Domaines[Domaine prioritaire BK],MATCH($A130,tbl_Domaines[Code],0)),"")</f>
        <v>Oui</v>
      </c>
      <c r="D130" s="24" t="str">
        <f>IFERROR(INDEX(tbl_Domaines[Statut],MATCH($A130,tbl_Domaines[Code],0)),"")</f>
        <v>Actif</v>
      </c>
    </row>
    <row r="131" spans="1:7" ht="15" customHeight="1">
      <c r="A131" s="22" t="s">
        <v>263</v>
      </c>
      <c r="B131" s="24" t="str">
        <f>IFERROR(INDEX(tbl_Domaines[Libelle],MATCH($A131,tbl_Domaines[Code],0)),"")</f>
        <v>Environnement</v>
      </c>
      <c r="C131" s="24" t="str">
        <f>IFERROR(INDEX(tbl_Domaines[Domaine prioritaire BK],MATCH($A131,tbl_Domaines[Code],0)),"")</f>
        <v>Oui</v>
      </c>
      <c r="D131" s="24" t="str">
        <f>IFERROR(INDEX(tbl_Domaines[Statut],MATCH($A131,tbl_Domaines[Code],0)),"")</f>
        <v>Actif</v>
      </c>
    </row>
    <row r="132" spans="1:7" ht="15" customHeight="1">
      <c r="A132" s="22" t="s">
        <v>265</v>
      </c>
      <c r="B132" s="24" t="str">
        <f>IFERROR(INDEX(tbl_Domaines[Libelle],MATCH($A132,tbl_Domaines[Code],0)),"")</f>
        <v>Sante</v>
      </c>
      <c r="C132" s="24" t="str">
        <f>IFERROR(INDEX(tbl_Domaines[Domaine prioritaire BK],MATCH($A132,tbl_Domaines[Code],0)),"")</f>
        <v>Oui</v>
      </c>
      <c r="D132" s="24" t="str">
        <f>IFERROR(INDEX(tbl_Domaines[Statut],MATCH($A132,tbl_Domaines[Code],0)),"")</f>
        <v>Actif</v>
      </c>
    </row>
    <row r="133" spans="1:7" ht="15" customHeight="1">
      <c r="A133" s="22" t="s">
        <v>267</v>
      </c>
      <c r="B133" s="24" t="str">
        <f>IFERROR(INDEX(tbl_Domaines[Libelle],MATCH($A133,tbl_Domaines[Code],0)),"")</f>
        <v>Genre</v>
      </c>
      <c r="C133" s="24" t="str">
        <f>IFERROR(INDEX(tbl_Domaines[Domaine prioritaire BK],MATCH($A133,tbl_Domaines[Code],0)),"")</f>
        <v>Oui</v>
      </c>
      <c r="D133" s="24" t="str">
        <f>IFERROR(INDEX(tbl_Domaines[Statut],MATCH($A133,tbl_Domaines[Code],0)),"")</f>
        <v>Actif</v>
      </c>
    </row>
    <row r="134" spans="1:7" ht="15" customHeight="1">
      <c r="A134" s="22" t="s">
        <v>269</v>
      </c>
      <c r="B134" s="24" t="str">
        <f>IFERROR(INDEX(tbl_Domaines[Libelle],MATCH($A134,tbl_Domaines[Code],0)),"")</f>
        <v>Tourisme</v>
      </c>
      <c r="C134" s="24" t="str">
        <f>IFERROR(INDEX(tbl_Domaines[Domaine prioritaire BK],MATCH($A134,tbl_Domaines[Code],0)),"")</f>
        <v>Oui</v>
      </c>
      <c r="D134" s="24" t="str">
        <f>IFERROR(INDEX(tbl_Domaines[Statut],MATCH($A134,tbl_Domaines[Code],0)),"")</f>
        <v>Actif</v>
      </c>
    </row>
    <row r="135" spans="1:7" ht="15" customHeight="1">
      <c r="A135" s="22" t="s">
        <v>271</v>
      </c>
      <c r="B135" s="24" t="str">
        <f>IFERROR(INDEX(tbl_Domaines[Libelle],MATCH($A135,tbl_Domaines[Code],0)),"")</f>
        <v>Sport</v>
      </c>
      <c r="C135" s="24" t="str">
        <f>IFERROR(INDEX(tbl_Domaines[Domaine prioritaire BK],MATCH($A135,tbl_Domaines[Code],0)),"")</f>
        <v>Oui</v>
      </c>
      <c r="D135" s="24" t="str">
        <f>IFERROR(INDEX(tbl_Domaines[Statut],MATCH($A135,tbl_Domaines[Code],0)),"")</f>
        <v>Actif</v>
      </c>
    </row>
    <row r="136" spans="1:7" ht="15" customHeight="1">
      <c r="A136" s="23"/>
      <c r="B136" s="24" t="str">
        <f>IFERROR(INDEX(tbl_Domaines[Libelle],MATCH($A136,tbl_Domaines[Code],0)),"")</f>
        <v/>
      </c>
      <c r="C136" s="24" t="str">
        <f>IFERROR(INDEX(tbl_Domaines[Domaine prioritaire BK],MATCH($A136,tbl_Domaines[Code],0)),"")</f>
        <v/>
      </c>
      <c r="D136" s="24" t="str">
        <f>IFERROR(INDEX(tbl_Domaines[Statut],MATCH($A136,tbl_Domaines[Code],0)),"")</f>
        <v/>
      </c>
    </row>
    <row r="137" spans="1:7" ht="15" customHeight="1">
      <c r="A137" s="23"/>
      <c r="B137" s="24" t="str">
        <f>IFERROR(INDEX(tbl_Domaines[Libelle],MATCH($A137,tbl_Domaines[Code],0)),"")</f>
        <v/>
      </c>
      <c r="C137" s="24" t="str">
        <f>IFERROR(INDEX(tbl_Domaines[Domaine prioritaire BK],MATCH($A137,tbl_Domaines[Code],0)),"")</f>
        <v/>
      </c>
      <c r="D137" s="24" t="str">
        <f>IFERROR(INDEX(tbl_Domaines[Statut],MATCH($A137,tbl_Domaines[Code],0)),"")</f>
        <v/>
      </c>
    </row>
    <row r="138" spans="1:7" ht="15" customHeight="1">
      <c r="A138" s="23"/>
      <c r="B138" s="24" t="str">
        <f>IFERROR(INDEX(tbl_Domaines[Libelle],MATCH($A138,tbl_Domaines[Code],0)),"")</f>
        <v/>
      </c>
      <c r="C138" s="24" t="str">
        <f>IFERROR(INDEX(tbl_Domaines[Domaine prioritaire BK],MATCH($A138,tbl_Domaines[Code],0)),"")</f>
        <v/>
      </c>
      <c r="D138" s="24" t="str">
        <f>IFERROR(INDEX(tbl_Domaines[Statut],MATCH($A138,tbl_Domaines[Code],0)),"")</f>
        <v/>
      </c>
    </row>
    <row r="139" spans="1:7" ht="15" customHeight="1">
      <c r="A139" s="7" t="s">
        <v>196</v>
      </c>
    </row>
    <row r="141" spans="1:7" ht="19.5" customHeight="1">
      <c r="A141" s="266" t="s">
        <v>1319</v>
      </c>
      <c r="B141" s="262"/>
      <c r="C141" s="262"/>
      <c r="D141" s="262"/>
      <c r="E141" s="262"/>
      <c r="F141" s="262"/>
      <c r="G141" s="262"/>
    </row>
    <row r="142" spans="1:7" ht="25.5" customHeight="1">
      <c r="A142" s="3" t="s">
        <v>1402</v>
      </c>
      <c r="B142" s="3" t="s">
        <v>941</v>
      </c>
      <c r="C142" s="3" t="s">
        <v>943</v>
      </c>
      <c r="D142" s="3" t="s">
        <v>945</v>
      </c>
      <c r="E142" s="3" t="s">
        <v>947</v>
      </c>
      <c r="F142" s="3" t="s">
        <v>1403</v>
      </c>
      <c r="G142" s="3" t="s">
        <v>1404</v>
      </c>
    </row>
    <row r="143" spans="1:7" ht="23.25" customHeight="1">
      <c r="A143" s="22" t="s">
        <v>1405</v>
      </c>
      <c r="B143" s="24" t="str">
        <f>IFERROR(INDEX(#REF!,MATCH($A143,#REF!,0)),"")</f>
        <v/>
      </c>
      <c r="C143" s="24" t="str">
        <f>IFERROR(INDEX(#REF!,MATCH($A143,#REF!,0)),"")</f>
        <v/>
      </c>
      <c r="D143" s="24" t="str">
        <f>IFERROR(INDEX(#REF!,MATCH($A143,#REF!,0)),"")</f>
        <v/>
      </c>
      <c r="E143" s="24" t="str">
        <f>IFERROR(INDEX(#REF!,MATCH($A143,#REF!,0)),"")</f>
        <v/>
      </c>
      <c r="F143" s="22" t="s">
        <v>177</v>
      </c>
      <c r="G143" s="22">
        <v>2026</v>
      </c>
    </row>
    <row r="144" spans="1:7" ht="15" customHeight="1">
      <c r="A144" s="23"/>
      <c r="B144" s="24" t="str">
        <f>IFERROR(INDEX(#REF!,MATCH($A144,#REF!,0)),"")</f>
        <v/>
      </c>
      <c r="C144" s="24" t="str">
        <f>IFERROR(INDEX(#REF!,MATCH($A144,#REF!,0)),"")</f>
        <v/>
      </c>
      <c r="D144" s="24" t="str">
        <f>IFERROR(INDEX(#REF!,MATCH($A144,#REF!,0)),"")</f>
        <v/>
      </c>
      <c r="E144" s="24" t="str">
        <f>IFERROR(INDEX(#REF!,MATCH($A144,#REF!,0)),"")</f>
        <v/>
      </c>
      <c r="F144" s="23"/>
      <c r="G144" s="23"/>
    </row>
    <row r="145" spans="1:8" ht="15" customHeight="1">
      <c r="A145" s="23"/>
      <c r="B145" s="24" t="str">
        <f>IFERROR(INDEX(#REF!,MATCH($A145,#REF!,0)),"")</f>
        <v/>
      </c>
      <c r="C145" s="24" t="str">
        <f>IFERROR(INDEX(#REF!,MATCH($A145,#REF!,0)),"")</f>
        <v/>
      </c>
      <c r="D145" s="24" t="str">
        <f>IFERROR(INDEX(#REF!,MATCH($A145,#REF!,0)),"")</f>
        <v/>
      </c>
      <c r="E145" s="24" t="str">
        <f>IFERROR(INDEX(#REF!,MATCH($A145,#REF!,0)),"")</f>
        <v/>
      </c>
      <c r="F145" s="23"/>
      <c r="G145" s="23"/>
    </row>
    <row r="146" spans="1:8" ht="15" customHeight="1">
      <c r="A146" s="7" t="s">
        <v>196</v>
      </c>
    </row>
    <row r="148" spans="1:8" ht="19.5" customHeight="1">
      <c r="A148" s="266" t="s">
        <v>1320</v>
      </c>
      <c r="B148" s="262"/>
      <c r="C148" s="262"/>
      <c r="D148" s="262"/>
      <c r="E148" s="262"/>
    </row>
    <row r="149" spans="1:8" ht="25.5" customHeight="1">
      <c r="A149" s="3" t="s">
        <v>173</v>
      </c>
      <c r="B149" s="3" t="s">
        <v>1406</v>
      </c>
      <c r="C149" s="3" t="s">
        <v>1407</v>
      </c>
      <c r="D149" s="3" t="s">
        <v>1408</v>
      </c>
      <c r="E149" s="3" t="s">
        <v>175</v>
      </c>
    </row>
    <row r="150" spans="1:8" ht="15" customHeight="1">
      <c r="A150" s="22" t="s">
        <v>1163</v>
      </c>
      <c r="B150" s="23"/>
      <c r="C150" s="23"/>
      <c r="D150" s="23"/>
      <c r="E150" s="22" t="s">
        <v>177</v>
      </c>
    </row>
    <row r="151" spans="1:8" ht="15" customHeight="1">
      <c r="A151" s="22" t="s">
        <v>1164</v>
      </c>
      <c r="B151" s="23"/>
      <c r="C151" s="23"/>
      <c r="D151" s="23"/>
      <c r="E151" s="22" t="s">
        <v>177</v>
      </c>
    </row>
    <row r="152" spans="1:8" ht="15" customHeight="1">
      <c r="A152" s="22" t="s">
        <v>1166</v>
      </c>
      <c r="B152" s="23"/>
      <c r="C152" s="23"/>
      <c r="D152" s="23"/>
      <c r="E152" s="22" t="s">
        <v>177</v>
      </c>
    </row>
    <row r="153" spans="1:8" ht="15" customHeight="1">
      <c r="A153" s="22" t="s">
        <v>1167</v>
      </c>
      <c r="B153" s="23"/>
      <c r="C153" s="23"/>
      <c r="D153" s="23"/>
      <c r="E153" s="22" t="s">
        <v>177</v>
      </c>
    </row>
    <row r="154" spans="1:8" ht="15" customHeight="1">
      <c r="A154" s="22" t="s">
        <v>1169</v>
      </c>
      <c r="B154" s="23"/>
      <c r="C154" s="23"/>
      <c r="D154" s="23"/>
      <c r="E154" s="22" t="s">
        <v>177</v>
      </c>
    </row>
    <row r="155" spans="1:8" ht="15" customHeight="1">
      <c r="A155" s="7" t="s">
        <v>196</v>
      </c>
    </row>
    <row r="157" spans="1:8" ht="19.5" customHeight="1">
      <c r="A157" s="266" t="s">
        <v>1321</v>
      </c>
      <c r="B157" s="262"/>
      <c r="C157" s="262"/>
      <c r="D157" s="262"/>
      <c r="E157" s="262"/>
      <c r="F157" s="262"/>
      <c r="G157" s="262"/>
      <c r="H157" s="262"/>
    </row>
    <row r="158" spans="1:8" ht="15.75" customHeight="1">
      <c r="A158" s="264" t="s">
        <v>1409</v>
      </c>
      <c r="B158" s="260"/>
      <c r="C158" s="260"/>
      <c r="D158" s="258"/>
      <c r="E158" s="25">
        <v>0</v>
      </c>
      <c r="F158" s="265" t="s">
        <v>1410</v>
      </c>
      <c r="G158" s="260"/>
      <c r="H158" s="258"/>
    </row>
    <row r="159" spans="1:8" ht="15.75" customHeight="1">
      <c r="A159" s="264" t="s">
        <v>118</v>
      </c>
      <c r="B159" s="260"/>
      <c r="C159" s="260"/>
      <c r="D159" s="258"/>
      <c r="E159" s="25">
        <v>0</v>
      </c>
      <c r="F159" s="265" t="s">
        <v>1411</v>
      </c>
      <c r="G159" s="260"/>
      <c r="H159" s="258"/>
    </row>
    <row r="160" spans="1:8" ht="15.75" customHeight="1">
      <c r="A160" s="264" t="s">
        <v>117</v>
      </c>
      <c r="B160" s="260"/>
      <c r="C160" s="260"/>
      <c r="D160" s="258"/>
      <c r="E160" s="25">
        <v>0</v>
      </c>
      <c r="F160" s="265" t="s">
        <v>1411</v>
      </c>
      <c r="G160" s="260"/>
      <c r="H160" s="258"/>
    </row>
    <row r="161" spans="1:8" ht="15.75" customHeight="1">
      <c r="A161" s="264" t="s">
        <v>1412</v>
      </c>
      <c r="B161" s="260"/>
      <c r="C161" s="260"/>
      <c r="D161" s="258"/>
      <c r="E161" s="25">
        <v>0</v>
      </c>
      <c r="F161" s="265" t="s">
        <v>1411</v>
      </c>
      <c r="G161" s="260"/>
      <c r="H161" s="258"/>
    </row>
    <row r="162" spans="1:8" ht="15.75" customHeight="1">
      <c r="A162" s="264" t="s">
        <v>1413</v>
      </c>
      <c r="B162" s="260"/>
      <c r="C162" s="260"/>
      <c r="D162" s="258"/>
      <c r="E162" s="25">
        <v>0</v>
      </c>
      <c r="F162" s="265" t="s">
        <v>1411</v>
      </c>
      <c r="G162" s="260"/>
      <c r="H162" s="258"/>
    </row>
    <row r="163" spans="1:8" ht="15.75" customHeight="1">
      <c r="A163" s="264" t="s">
        <v>629</v>
      </c>
      <c r="B163" s="260"/>
      <c r="C163" s="260"/>
      <c r="D163" s="258"/>
      <c r="E163" s="25">
        <v>0</v>
      </c>
      <c r="F163" s="265" t="s">
        <v>1411</v>
      </c>
      <c r="G163" s="260"/>
      <c r="H163" s="258"/>
    </row>
    <row r="164" spans="1:8" ht="15.75" customHeight="1">
      <c r="A164" s="264" t="s">
        <v>1414</v>
      </c>
      <c r="B164" s="260"/>
      <c r="C164" s="260"/>
      <c r="D164" s="258"/>
      <c r="E164" s="25">
        <v>0</v>
      </c>
      <c r="F164" s="265" t="s">
        <v>1411</v>
      </c>
      <c r="G164" s="260"/>
      <c r="H164" s="258"/>
    </row>
    <row r="165" spans="1:8" ht="15.75" customHeight="1">
      <c r="A165" s="264" t="s">
        <v>1415</v>
      </c>
      <c r="B165" s="260"/>
      <c r="C165" s="260"/>
      <c r="D165" s="258"/>
      <c r="E165" s="25">
        <v>0</v>
      </c>
      <c r="F165" s="265" t="s">
        <v>1411</v>
      </c>
      <c r="G165" s="260"/>
      <c r="H165" s="258"/>
    </row>
    <row r="166" spans="1:8" ht="15" customHeight="1">
      <c r="A166" s="7" t="s">
        <v>196</v>
      </c>
    </row>
    <row r="168" spans="1:8" ht="19.5" customHeight="1">
      <c r="A168" s="266" t="s">
        <v>1323</v>
      </c>
      <c r="B168" s="262"/>
      <c r="C168" s="262"/>
      <c r="D168" s="262"/>
      <c r="E168" s="262"/>
      <c r="F168" s="262"/>
    </row>
    <row r="169" spans="1:8" ht="25.5" customHeight="1">
      <c r="A169" s="3" t="s">
        <v>1416</v>
      </c>
      <c r="B169" s="3" t="s">
        <v>1417</v>
      </c>
      <c r="C169" s="3" t="s">
        <v>1407</v>
      </c>
      <c r="D169" s="3" t="s">
        <v>1400</v>
      </c>
      <c r="E169" s="3" t="s">
        <v>1418</v>
      </c>
      <c r="F169" s="3" t="s">
        <v>175</v>
      </c>
    </row>
    <row r="170" spans="1:8" ht="15" customHeight="1">
      <c r="A170" s="22" t="s">
        <v>1419</v>
      </c>
      <c r="B170" s="23"/>
      <c r="C170" s="23"/>
      <c r="D170" s="23"/>
      <c r="E170" s="23"/>
      <c r="F170" s="22" t="s">
        <v>177</v>
      </c>
    </row>
    <row r="171" spans="1:8" ht="15" customHeight="1">
      <c r="A171" s="22" t="s">
        <v>1420</v>
      </c>
      <c r="B171" s="23"/>
      <c r="C171" s="23"/>
      <c r="D171" s="23"/>
      <c r="E171" s="23"/>
      <c r="F171" s="22" t="s">
        <v>177</v>
      </c>
    </row>
    <row r="172" spans="1:8" ht="15" customHeight="1">
      <c r="A172" s="22" t="s">
        <v>1421</v>
      </c>
      <c r="B172" s="23"/>
      <c r="C172" s="23"/>
      <c r="D172" s="23"/>
      <c r="E172" s="23"/>
      <c r="F172" s="22" t="s">
        <v>177</v>
      </c>
    </row>
    <row r="173" spans="1:8" ht="15" customHeight="1">
      <c r="A173" s="22" t="s">
        <v>1422</v>
      </c>
      <c r="B173" s="23"/>
      <c r="C173" s="23"/>
      <c r="D173" s="23"/>
      <c r="E173" s="23"/>
      <c r="F173" s="22" t="s">
        <v>177</v>
      </c>
    </row>
    <row r="174" spans="1:8" ht="15" customHeight="1">
      <c r="A174" s="22" t="s">
        <v>1423</v>
      </c>
      <c r="B174" s="23"/>
      <c r="C174" s="23"/>
      <c r="D174" s="23"/>
      <c r="E174" s="23"/>
      <c r="F174" s="22" t="s">
        <v>177</v>
      </c>
    </row>
    <row r="175" spans="1:8" ht="15" customHeight="1">
      <c r="A175" s="7" t="s">
        <v>196</v>
      </c>
    </row>
    <row r="177" spans="1:7" ht="19.5" customHeight="1">
      <c r="A177" s="266" t="s">
        <v>150</v>
      </c>
      <c r="B177" s="262"/>
      <c r="C177" s="262"/>
      <c r="D177" s="262"/>
    </row>
    <row r="178" spans="1:7" ht="25.5" customHeight="1">
      <c r="A178" s="3" t="s">
        <v>1424</v>
      </c>
      <c r="B178" s="3" t="s">
        <v>1425</v>
      </c>
      <c r="C178" s="3" t="s">
        <v>252</v>
      </c>
      <c r="D178" s="3" t="s">
        <v>175</v>
      </c>
    </row>
    <row r="179" spans="1:7" ht="15" customHeight="1">
      <c r="A179" s="23"/>
      <c r="B179" s="23"/>
      <c r="C179" s="23"/>
      <c r="D179" s="22" t="s">
        <v>177</v>
      </c>
    </row>
    <row r="180" spans="1:7" ht="15" customHeight="1">
      <c r="A180" s="23"/>
      <c r="B180" s="23"/>
      <c r="C180" s="23"/>
      <c r="D180" s="22" t="s">
        <v>177</v>
      </c>
    </row>
    <row r="181" spans="1:7" ht="15" customHeight="1">
      <c r="A181" s="23"/>
      <c r="B181" s="23"/>
      <c r="C181" s="23"/>
      <c r="D181" s="22" t="s">
        <v>177</v>
      </c>
    </row>
    <row r="182" spans="1:7" ht="15" customHeight="1">
      <c r="A182" s="23"/>
      <c r="B182" s="23"/>
      <c r="C182" s="23"/>
      <c r="D182" s="22" t="s">
        <v>177</v>
      </c>
    </row>
    <row r="183" spans="1:7" ht="15" customHeight="1">
      <c r="A183" s="23"/>
      <c r="B183" s="23"/>
      <c r="C183" s="23"/>
      <c r="D183" s="22" t="s">
        <v>177</v>
      </c>
    </row>
    <row r="184" spans="1:7" ht="15" customHeight="1">
      <c r="A184" s="7" t="s">
        <v>196</v>
      </c>
    </row>
    <row r="186" spans="1:7" ht="19.5" customHeight="1">
      <c r="A186" s="266" t="s">
        <v>1324</v>
      </c>
      <c r="B186" s="262"/>
      <c r="C186" s="262"/>
      <c r="D186" s="262"/>
      <c r="E186" s="262"/>
      <c r="F186" s="262"/>
      <c r="G186" s="262"/>
    </row>
    <row r="187" spans="1:7" ht="25.5" customHeight="1">
      <c r="A187" s="3" t="s">
        <v>173</v>
      </c>
      <c r="B187" s="3" t="s">
        <v>1426</v>
      </c>
      <c r="C187" s="3" t="s">
        <v>1427</v>
      </c>
      <c r="D187" s="3" t="s">
        <v>1428</v>
      </c>
      <c r="E187" s="3" t="s">
        <v>1429</v>
      </c>
      <c r="F187" s="3" t="s">
        <v>175</v>
      </c>
      <c r="G187" s="3" t="s">
        <v>1430</v>
      </c>
    </row>
    <row r="188" spans="1:7" ht="15" customHeight="1">
      <c r="A188" s="22" t="s">
        <v>1431</v>
      </c>
      <c r="B188" s="22" t="s">
        <v>875</v>
      </c>
      <c r="C188" s="23"/>
      <c r="D188" s="23"/>
      <c r="E188" s="23"/>
      <c r="F188" s="23"/>
      <c r="G188" s="23"/>
    </row>
    <row r="189" spans="1:7" ht="15" customHeight="1">
      <c r="A189" s="22" t="s">
        <v>1432</v>
      </c>
      <c r="B189" s="22" t="s">
        <v>877</v>
      </c>
      <c r="C189" s="23"/>
      <c r="D189" s="23"/>
      <c r="E189" s="23"/>
      <c r="F189" s="23"/>
      <c r="G189" s="23"/>
    </row>
    <row r="190" spans="1:7" ht="15" customHeight="1">
      <c r="A190" s="22" t="s">
        <v>1433</v>
      </c>
      <c r="B190" s="22" t="s">
        <v>879</v>
      </c>
      <c r="C190" s="23"/>
      <c r="D190" s="23"/>
      <c r="E190" s="23"/>
      <c r="F190" s="23"/>
      <c r="G190" s="23"/>
    </row>
    <row r="191" spans="1:7" ht="15" customHeight="1">
      <c r="A191" s="22" t="s">
        <v>1434</v>
      </c>
      <c r="B191" s="22" t="s">
        <v>1435</v>
      </c>
      <c r="C191" s="23"/>
      <c r="D191" s="23"/>
      <c r="E191" s="23"/>
      <c r="F191" s="23"/>
      <c r="G191" s="23"/>
    </row>
    <row r="192" spans="1:7" ht="15" customHeight="1">
      <c r="A192" s="7" t="s">
        <v>196</v>
      </c>
    </row>
    <row r="194" spans="1:8" ht="19.5" customHeight="1">
      <c r="A194" s="266" t="s">
        <v>1325</v>
      </c>
      <c r="B194" s="262"/>
      <c r="C194" s="262"/>
      <c r="D194" s="262"/>
      <c r="E194" s="262"/>
      <c r="F194" s="262"/>
      <c r="G194" s="262"/>
      <c r="H194" s="262"/>
    </row>
    <row r="195" spans="1:8" ht="25.5" customHeight="1">
      <c r="A195" s="3" t="s">
        <v>573</v>
      </c>
      <c r="B195" s="3" t="s">
        <v>1436</v>
      </c>
      <c r="C195" s="3" t="s">
        <v>1437</v>
      </c>
      <c r="D195" s="3" t="s">
        <v>1438</v>
      </c>
      <c r="E195" s="3" t="s">
        <v>1439</v>
      </c>
      <c r="F195" s="3" t="s">
        <v>1440</v>
      </c>
      <c r="G195" s="3" t="s">
        <v>1441</v>
      </c>
      <c r="H195" s="3" t="s">
        <v>175</v>
      </c>
    </row>
    <row r="196" spans="1:8" ht="15" customHeight="1">
      <c r="A196" s="23"/>
      <c r="B196" s="23"/>
      <c r="C196" s="23"/>
      <c r="D196" s="23"/>
      <c r="E196" s="23"/>
      <c r="F196" s="23"/>
      <c r="G196" s="23"/>
      <c r="H196" s="22" t="s">
        <v>177</v>
      </c>
    </row>
    <row r="197" spans="1:8" ht="15" customHeight="1">
      <c r="A197" s="23"/>
      <c r="B197" s="23"/>
      <c r="C197" s="23"/>
      <c r="D197" s="23"/>
      <c r="E197" s="23"/>
      <c r="F197" s="23"/>
      <c r="G197" s="23"/>
      <c r="H197" s="22" t="s">
        <v>177</v>
      </c>
    </row>
    <row r="198" spans="1:8" ht="15" customHeight="1">
      <c r="A198" s="23"/>
      <c r="B198" s="23"/>
      <c r="C198" s="23"/>
      <c r="D198" s="23"/>
      <c r="E198" s="23"/>
      <c r="F198" s="23"/>
      <c r="G198" s="23"/>
      <c r="H198" s="22" t="s">
        <v>177</v>
      </c>
    </row>
    <row r="199" spans="1:8" ht="15" customHeight="1">
      <c r="A199" s="7" t="s">
        <v>196</v>
      </c>
    </row>
    <row r="201" spans="1:8" ht="19.5" customHeight="1">
      <c r="A201" s="266" t="s">
        <v>1326</v>
      </c>
      <c r="B201" s="262"/>
      <c r="C201" s="262"/>
    </row>
    <row r="202" spans="1:8" ht="25.5" customHeight="1">
      <c r="A202" s="3" t="s">
        <v>1442</v>
      </c>
      <c r="B202" s="3" t="s">
        <v>1443</v>
      </c>
      <c r="C202" s="3" t="s">
        <v>1444</v>
      </c>
    </row>
    <row r="203" spans="1:8" ht="15" customHeight="1">
      <c r="A203" s="22" t="s">
        <v>1445</v>
      </c>
      <c r="B203" s="23"/>
      <c r="C203" s="22" t="s">
        <v>177</v>
      </c>
    </row>
    <row r="204" spans="1:8" ht="15" customHeight="1">
      <c r="A204" s="22" t="s">
        <v>1446</v>
      </c>
      <c r="B204" s="23"/>
      <c r="C204" s="22" t="s">
        <v>177</v>
      </c>
    </row>
    <row r="205" spans="1:8" ht="15" customHeight="1">
      <c r="A205" s="22" t="s">
        <v>1368</v>
      </c>
      <c r="B205" s="23"/>
      <c r="C205" s="22" t="s">
        <v>177</v>
      </c>
    </row>
    <row r="206" spans="1:8" ht="23.25" customHeight="1">
      <c r="A206" s="22" t="s">
        <v>1447</v>
      </c>
      <c r="B206" s="23"/>
      <c r="C206" s="22" t="s">
        <v>177</v>
      </c>
    </row>
    <row r="207" spans="1:8" ht="15" customHeight="1">
      <c r="A207" s="22" t="s">
        <v>1448</v>
      </c>
      <c r="B207" s="23"/>
      <c r="C207" s="22" t="s">
        <v>177</v>
      </c>
    </row>
    <row r="208" spans="1:8" ht="15" customHeight="1">
      <c r="A208" s="22" t="s">
        <v>1449</v>
      </c>
      <c r="B208" s="23"/>
      <c r="C208" s="22" t="s">
        <v>177</v>
      </c>
    </row>
    <row r="209" spans="1:8" ht="15" customHeight="1">
      <c r="A209" s="22" t="s">
        <v>1450</v>
      </c>
      <c r="B209" s="23"/>
      <c r="C209" s="22" t="s">
        <v>177</v>
      </c>
    </row>
    <row r="210" spans="1:8" ht="15" customHeight="1">
      <c r="A210" s="22" t="s">
        <v>1451</v>
      </c>
      <c r="B210" s="23"/>
      <c r="C210" s="22" t="s">
        <v>177</v>
      </c>
    </row>
    <row r="211" spans="1:8" ht="23.25" customHeight="1">
      <c r="A211" s="22" t="s">
        <v>1452</v>
      </c>
      <c r="B211" s="23"/>
      <c r="C211" s="22" t="s">
        <v>177</v>
      </c>
    </row>
    <row r="212" spans="1:8" ht="15" customHeight="1">
      <c r="A212" s="7" t="s">
        <v>196</v>
      </c>
    </row>
    <row r="214" spans="1:8" ht="19.5" customHeight="1">
      <c r="A214" s="266" t="s">
        <v>1327</v>
      </c>
      <c r="B214" s="262"/>
      <c r="C214" s="262"/>
      <c r="D214" s="262"/>
      <c r="E214" s="262"/>
      <c r="F214" s="262"/>
      <c r="G214" s="262"/>
      <c r="H214" s="262"/>
    </row>
    <row r="215" spans="1:8" ht="18" customHeight="1">
      <c r="A215" s="257" t="s">
        <v>1453</v>
      </c>
      <c r="B215" s="258"/>
      <c r="C215" s="259"/>
      <c r="D215" s="260"/>
      <c r="E215" s="260"/>
      <c r="F215" s="260"/>
      <c r="G215" s="260"/>
      <c r="H215" s="258"/>
    </row>
    <row r="216" spans="1:8" ht="18" customHeight="1">
      <c r="A216" s="257" t="s">
        <v>1454</v>
      </c>
      <c r="B216" s="258"/>
      <c r="C216" s="259"/>
      <c r="D216" s="260"/>
      <c r="E216" s="260"/>
      <c r="F216" s="260"/>
      <c r="G216" s="260"/>
      <c r="H216" s="258"/>
    </row>
    <row r="217" spans="1:8" ht="18" customHeight="1">
      <c r="A217" s="257" t="s">
        <v>1455</v>
      </c>
      <c r="B217" s="258"/>
      <c r="C217" s="259"/>
      <c r="D217" s="260"/>
      <c r="E217" s="260"/>
      <c r="F217" s="260"/>
      <c r="G217" s="260"/>
      <c r="H217" s="258"/>
    </row>
    <row r="218" spans="1:8" ht="18" customHeight="1">
      <c r="A218" s="257" t="s">
        <v>1456</v>
      </c>
      <c r="B218" s="258"/>
      <c r="C218" s="259" t="s">
        <v>1349</v>
      </c>
      <c r="D218" s="260"/>
      <c r="E218" s="260"/>
      <c r="F218" s="260"/>
      <c r="G218" s="260"/>
      <c r="H218" s="258"/>
    </row>
    <row r="219" spans="1:8" ht="18" customHeight="1">
      <c r="A219" s="257" t="s">
        <v>1457</v>
      </c>
      <c r="B219" s="258"/>
      <c r="C219" s="259"/>
      <c r="D219" s="260"/>
      <c r="E219" s="260"/>
      <c r="F219" s="260"/>
      <c r="G219" s="260"/>
      <c r="H219" s="258"/>
    </row>
    <row r="220" spans="1:8" ht="15" customHeight="1">
      <c r="A220" s="7" t="s">
        <v>196</v>
      </c>
    </row>
    <row r="222" spans="1:8" ht="19.5" customHeight="1">
      <c r="A222" s="266" t="s">
        <v>1328</v>
      </c>
      <c r="B222" s="262"/>
      <c r="C222" s="262"/>
      <c r="D222" s="262"/>
      <c r="E222" s="262"/>
      <c r="F222" s="262"/>
      <c r="G222" s="262"/>
      <c r="H222" s="262"/>
    </row>
    <row r="223" spans="1:8" ht="18" customHeight="1">
      <c r="A223" s="257" t="s">
        <v>1458</v>
      </c>
      <c r="B223" s="258"/>
      <c r="C223" s="259"/>
      <c r="D223" s="260"/>
      <c r="E223" s="260"/>
      <c r="F223" s="260"/>
      <c r="G223" s="260"/>
      <c r="H223" s="258"/>
    </row>
    <row r="224" spans="1:8" ht="18" customHeight="1">
      <c r="A224" s="257" t="s">
        <v>1459</v>
      </c>
      <c r="B224" s="258"/>
      <c r="C224" s="259"/>
      <c r="D224" s="260"/>
      <c r="E224" s="260"/>
      <c r="F224" s="260"/>
      <c r="G224" s="260"/>
      <c r="H224" s="258"/>
    </row>
    <row r="225" spans="1:8" ht="18" customHeight="1">
      <c r="A225" s="257" t="s">
        <v>1460</v>
      </c>
      <c r="B225" s="258"/>
      <c r="C225" s="259"/>
      <c r="D225" s="260"/>
      <c r="E225" s="260"/>
      <c r="F225" s="260"/>
      <c r="G225" s="260"/>
      <c r="H225" s="258"/>
    </row>
    <row r="226" spans="1:8" ht="18" customHeight="1">
      <c r="A226" s="257" t="s">
        <v>1461</v>
      </c>
      <c r="B226" s="258"/>
      <c r="C226" s="259"/>
      <c r="D226" s="260"/>
      <c r="E226" s="260"/>
      <c r="F226" s="260"/>
      <c r="G226" s="260"/>
      <c r="H226" s="258"/>
    </row>
    <row r="227" spans="1:8" ht="18" customHeight="1">
      <c r="A227" s="257" t="s">
        <v>1462</v>
      </c>
      <c r="B227" s="258"/>
      <c r="C227" s="259"/>
      <c r="D227" s="260"/>
      <c r="E227" s="260"/>
      <c r="F227" s="260"/>
      <c r="G227" s="260"/>
      <c r="H227" s="258"/>
    </row>
    <row r="228" spans="1:8" ht="15" customHeight="1">
      <c r="A228" s="7" t="s">
        <v>196</v>
      </c>
    </row>
    <row r="230" spans="1:8" ht="19.5" customHeight="1">
      <c r="A230" s="266" t="s">
        <v>1329</v>
      </c>
      <c r="B230" s="262"/>
      <c r="C230" s="262"/>
      <c r="D230" s="262"/>
      <c r="E230" s="262"/>
      <c r="F230" s="262"/>
    </row>
    <row r="231" spans="1:8" ht="25.5" customHeight="1">
      <c r="A231" s="3" t="s">
        <v>173</v>
      </c>
      <c r="B231" s="3" t="s">
        <v>1463</v>
      </c>
      <c r="C231" s="3" t="s">
        <v>1408</v>
      </c>
      <c r="D231" s="3" t="s">
        <v>1464</v>
      </c>
      <c r="E231" s="3" t="s">
        <v>1465</v>
      </c>
      <c r="F231" s="3" t="s">
        <v>175</v>
      </c>
    </row>
    <row r="232" spans="1:8" ht="23.25" customHeight="1">
      <c r="A232" s="22" t="s">
        <v>1466</v>
      </c>
      <c r="B232" s="22" t="s">
        <v>1467</v>
      </c>
      <c r="C232" s="23"/>
      <c r="D232" s="23"/>
      <c r="E232" s="23"/>
      <c r="F232" s="22" t="s">
        <v>177</v>
      </c>
    </row>
    <row r="233" spans="1:8" ht="23.25" customHeight="1">
      <c r="A233" s="22" t="s">
        <v>1468</v>
      </c>
      <c r="B233" s="22" t="s">
        <v>1469</v>
      </c>
      <c r="C233" s="23"/>
      <c r="D233" s="23"/>
      <c r="E233" s="23"/>
      <c r="F233" s="22" t="s">
        <v>177</v>
      </c>
    </row>
    <row r="234" spans="1:8" ht="15" customHeight="1">
      <c r="A234" s="22" t="s">
        <v>1470</v>
      </c>
      <c r="B234" s="22" t="s">
        <v>1471</v>
      </c>
      <c r="C234" s="23"/>
      <c r="D234" s="23"/>
      <c r="E234" s="23"/>
      <c r="F234" s="22" t="s">
        <v>177</v>
      </c>
    </row>
    <row r="235" spans="1:8" ht="15" customHeight="1">
      <c r="A235" s="22" t="s">
        <v>1472</v>
      </c>
      <c r="B235" s="22" t="s">
        <v>1473</v>
      </c>
      <c r="C235" s="23"/>
      <c r="D235" s="23"/>
      <c r="E235" s="23"/>
      <c r="F235" s="22" t="s">
        <v>177</v>
      </c>
    </row>
    <row r="236" spans="1:8" ht="15" customHeight="1">
      <c r="A236" s="22" t="s">
        <v>1474</v>
      </c>
      <c r="B236" s="22" t="s">
        <v>1475</v>
      </c>
      <c r="C236" s="23"/>
      <c r="D236" s="23"/>
      <c r="E236" s="23"/>
      <c r="F236" s="22" t="s">
        <v>177</v>
      </c>
    </row>
    <row r="237" spans="1:8" ht="15" customHeight="1">
      <c r="A237" s="22" t="s">
        <v>1476</v>
      </c>
      <c r="B237" s="22" t="s">
        <v>1477</v>
      </c>
      <c r="C237" s="23"/>
      <c r="D237" s="23"/>
      <c r="E237" s="23"/>
      <c r="F237" s="22" t="s">
        <v>177</v>
      </c>
    </row>
    <row r="238" spans="1:8" ht="15" customHeight="1">
      <c r="A238" s="7" t="s">
        <v>196</v>
      </c>
    </row>
    <row r="240" spans="1:8" ht="19.5" customHeight="1">
      <c r="A240" s="266" t="s">
        <v>1330</v>
      </c>
      <c r="B240" s="262"/>
      <c r="C240" s="262"/>
      <c r="D240" s="262"/>
      <c r="E240" s="262"/>
      <c r="F240" s="262"/>
    </row>
    <row r="241" spans="1:8" ht="25.5" customHeight="1">
      <c r="A241" s="3" t="s">
        <v>1478</v>
      </c>
      <c r="B241" s="3" t="s">
        <v>1479</v>
      </c>
      <c r="C241" s="3" t="s">
        <v>1408</v>
      </c>
      <c r="D241" s="3" t="s">
        <v>1480</v>
      </c>
      <c r="E241" s="3" t="s">
        <v>1481</v>
      </c>
      <c r="F241" s="3" t="s">
        <v>175</v>
      </c>
    </row>
    <row r="242" spans="1:8" ht="23.25" customHeight="1">
      <c r="A242" s="22" t="s">
        <v>1467</v>
      </c>
      <c r="B242" s="23"/>
      <c r="C242" s="23"/>
      <c r="D242" s="23"/>
      <c r="E242" s="23"/>
      <c r="F242" s="22" t="s">
        <v>177</v>
      </c>
    </row>
    <row r="243" spans="1:8" ht="23.25" customHeight="1">
      <c r="A243" s="22" t="s">
        <v>1469</v>
      </c>
      <c r="B243" s="23"/>
      <c r="C243" s="23"/>
      <c r="D243" s="23"/>
      <c r="E243" s="23"/>
      <c r="F243" s="22" t="s">
        <v>177</v>
      </c>
    </row>
    <row r="244" spans="1:8" ht="15" customHeight="1">
      <c r="A244" s="22" t="s">
        <v>1471</v>
      </c>
      <c r="B244" s="23"/>
      <c r="C244" s="23"/>
      <c r="D244" s="23"/>
      <c r="E244" s="23"/>
      <c r="F244" s="22" t="s">
        <v>177</v>
      </c>
    </row>
    <row r="245" spans="1:8" ht="15" customHeight="1">
      <c r="A245" s="22" t="s">
        <v>1482</v>
      </c>
      <c r="B245" s="23"/>
      <c r="C245" s="23"/>
      <c r="D245" s="23"/>
      <c r="E245" s="23"/>
      <c r="F245" s="22" t="s">
        <v>177</v>
      </c>
    </row>
    <row r="246" spans="1:8" ht="15" customHeight="1">
      <c r="A246" s="7" t="s">
        <v>196</v>
      </c>
    </row>
    <row r="248" spans="1:8" ht="19.5" customHeight="1">
      <c r="A248" s="266" t="s">
        <v>1331</v>
      </c>
      <c r="B248" s="262"/>
      <c r="C248" s="262"/>
      <c r="D248" s="262"/>
      <c r="E248" s="262"/>
      <c r="F248" s="262"/>
      <c r="G248" s="262"/>
      <c r="H248" s="262"/>
    </row>
    <row r="249" spans="1:8" ht="15.75" customHeight="1">
      <c r="A249" s="264" t="s">
        <v>1483</v>
      </c>
      <c r="B249" s="260"/>
      <c r="C249" s="260"/>
      <c r="D249" s="258"/>
      <c r="E249" s="25">
        <v>0</v>
      </c>
      <c r="F249" s="265" t="s">
        <v>1484</v>
      </c>
      <c r="G249" s="260"/>
      <c r="H249" s="258"/>
    </row>
    <row r="250" spans="1:8" ht="15.75" customHeight="1">
      <c r="A250" s="264" t="s">
        <v>1485</v>
      </c>
      <c r="B250" s="260"/>
      <c r="C250" s="260"/>
      <c r="D250" s="258"/>
      <c r="E250" s="25">
        <v>0</v>
      </c>
      <c r="F250" s="265" t="s">
        <v>1486</v>
      </c>
      <c r="G250" s="260"/>
      <c r="H250" s="258"/>
    </row>
    <row r="251" spans="1:8" ht="15.75" customHeight="1">
      <c r="A251" s="264" t="s">
        <v>1487</v>
      </c>
      <c r="B251" s="260"/>
      <c r="C251" s="260"/>
      <c r="D251" s="258"/>
      <c r="E251" s="25">
        <v>0</v>
      </c>
      <c r="F251" s="265" t="s">
        <v>1488</v>
      </c>
      <c r="G251" s="260"/>
      <c r="H251" s="258"/>
    </row>
    <row r="252" spans="1:8" ht="15.75" customHeight="1">
      <c r="A252" s="264" t="s">
        <v>1489</v>
      </c>
      <c r="B252" s="260"/>
      <c r="C252" s="260"/>
      <c r="D252" s="258"/>
      <c r="E252" s="25">
        <v>0</v>
      </c>
      <c r="F252" s="265" t="s">
        <v>1490</v>
      </c>
      <c r="G252" s="260"/>
      <c r="H252" s="258"/>
    </row>
    <row r="253" spans="1:8" ht="15.75" customHeight="1">
      <c r="A253" s="264" t="s">
        <v>1491</v>
      </c>
      <c r="B253" s="260"/>
      <c r="C253" s="260"/>
      <c r="D253" s="258"/>
      <c r="E253" s="25">
        <v>0</v>
      </c>
      <c r="F253" s="265" t="s">
        <v>1492</v>
      </c>
      <c r="G253" s="260"/>
      <c r="H253" s="258"/>
    </row>
    <row r="254" spans="1:8" ht="15.75" customHeight="1">
      <c r="A254" s="264" t="s">
        <v>1493</v>
      </c>
      <c r="B254" s="260"/>
      <c r="C254" s="260"/>
      <c r="D254" s="258"/>
      <c r="E254" s="25">
        <v>0</v>
      </c>
      <c r="F254" s="265" t="s">
        <v>1494</v>
      </c>
      <c r="G254" s="260"/>
      <c r="H254" s="258"/>
    </row>
    <row r="255" spans="1:8" ht="15.75" customHeight="1">
      <c r="A255" s="264" t="s">
        <v>1495</v>
      </c>
      <c r="B255" s="260"/>
      <c r="C255" s="260"/>
      <c r="D255" s="258"/>
      <c r="E255" s="25">
        <v>0</v>
      </c>
      <c r="F255" s="265" t="s">
        <v>1496</v>
      </c>
      <c r="G255" s="260"/>
      <c r="H255" s="258"/>
    </row>
    <row r="256" spans="1:8" ht="15.75" customHeight="1">
      <c r="A256" s="264" t="s">
        <v>1497</v>
      </c>
      <c r="B256" s="260"/>
      <c r="C256" s="260"/>
      <c r="D256" s="258"/>
      <c r="E256" s="25">
        <v>0</v>
      </c>
      <c r="F256" s="265" t="s">
        <v>1498</v>
      </c>
      <c r="G256" s="260"/>
      <c r="H256" s="258"/>
    </row>
    <row r="257" spans="1:20" ht="15" customHeight="1">
      <c r="A257" s="7" t="s">
        <v>196</v>
      </c>
    </row>
    <row r="259" spans="1:20" ht="19.5" customHeight="1">
      <c r="A259" s="266" t="s">
        <v>1332</v>
      </c>
      <c r="B259" s="262"/>
      <c r="C259" s="262"/>
      <c r="D259" s="262"/>
      <c r="E259" s="262"/>
      <c r="F259" s="262"/>
    </row>
    <row r="260" spans="1:20" ht="25.5" customHeight="1">
      <c r="A260" s="3" t="s">
        <v>1428</v>
      </c>
      <c r="B260" s="3" t="s">
        <v>1499</v>
      </c>
      <c r="C260" s="3" t="s">
        <v>1500</v>
      </c>
      <c r="D260" s="3" t="s">
        <v>1501</v>
      </c>
      <c r="E260" s="3" t="s">
        <v>1502</v>
      </c>
      <c r="F260" s="3" t="s">
        <v>1503</v>
      </c>
    </row>
    <row r="261" spans="1:20" ht="34.5" customHeight="1">
      <c r="A261" s="22" t="s">
        <v>1504</v>
      </c>
      <c r="B261" s="22" t="s">
        <v>1505</v>
      </c>
      <c r="C261" s="22" t="s">
        <v>1506</v>
      </c>
      <c r="D261" s="22" t="s">
        <v>1506</v>
      </c>
      <c r="E261" s="22" t="s">
        <v>1507</v>
      </c>
      <c r="F261" s="22" t="s">
        <v>1508</v>
      </c>
    </row>
    <row r="262" spans="1:20" ht="15" customHeight="1">
      <c r="A262" s="7" t="s">
        <v>196</v>
      </c>
    </row>
    <row r="265" spans="1:20" ht="19.5" customHeight="1">
      <c r="A265" s="267" t="s">
        <v>1509</v>
      </c>
      <c r="B265" s="262"/>
      <c r="C265" s="262"/>
      <c r="D265" s="262"/>
      <c r="E265" s="283"/>
      <c r="F265" s="262"/>
      <c r="G265" s="262"/>
      <c r="H265" s="262"/>
    </row>
    <row r="268" spans="1:20" ht="21">
      <c r="A268" s="261" t="s">
        <v>1510</v>
      </c>
      <c r="B268" s="262"/>
      <c r="C268" s="262"/>
      <c r="D268" s="262"/>
      <c r="E268" s="262"/>
      <c r="F268" s="262"/>
      <c r="G268" s="262"/>
      <c r="H268" s="262"/>
      <c r="I268" s="262"/>
      <c r="J268" s="262"/>
      <c r="K268" s="261"/>
      <c r="L268" s="262"/>
      <c r="M268" s="262"/>
      <c r="N268" s="262"/>
      <c r="O268" s="262"/>
      <c r="P268" s="262"/>
      <c r="Q268" s="262"/>
      <c r="R268" s="262"/>
      <c r="S268" s="262"/>
      <c r="T268" s="262"/>
    </row>
    <row r="269" spans="1:20">
      <c r="A269" s="205" t="s">
        <v>1511</v>
      </c>
      <c r="B269" s="205" t="s">
        <v>1512</v>
      </c>
      <c r="C269" s="205" t="s">
        <v>1513</v>
      </c>
      <c r="D269" s="205" t="s">
        <v>10</v>
      </c>
      <c r="E269" s="205" t="s">
        <v>1514</v>
      </c>
      <c r="F269" s="205" t="s">
        <v>1515</v>
      </c>
      <c r="G269" s="205" t="s">
        <v>1373</v>
      </c>
      <c r="H269" s="205" t="s">
        <v>175</v>
      </c>
      <c r="I269" s="205" t="s">
        <v>1516</v>
      </c>
      <c r="J269" s="205" t="s">
        <v>1517</v>
      </c>
      <c r="K269" s="205" t="s">
        <v>1571</v>
      </c>
      <c r="L269" s="205" t="s">
        <v>2596</v>
      </c>
    </row>
    <row r="270" spans="1:20" ht="15.75">
      <c r="A270" s="333" t="str">
        <f t="shared" ref="A270:A301" si="5">IF(OR(B270&lt;&gt;"",C270&lt;&gt;""),"MB-"&amp;TEXT(ROW()-269,"0000"),"")</f>
        <v>MB-0001</v>
      </c>
      <c r="B270" s="333" t="s">
        <v>2592</v>
      </c>
      <c r="C270" s="333" t="s">
        <v>2597</v>
      </c>
      <c r="D270" s="333" t="s">
        <v>456</v>
      </c>
      <c r="E270" s="334">
        <v>34124</v>
      </c>
      <c r="F270" s="335" t="s">
        <v>2598</v>
      </c>
      <c r="G270" s="336"/>
      <c r="H270" s="333" t="s">
        <v>119</v>
      </c>
      <c r="I270" s="335">
        <v>2024</v>
      </c>
      <c r="J270" s="333" t="s">
        <v>2593</v>
      </c>
      <c r="K270" s="337" t="s">
        <v>2599</v>
      </c>
      <c r="L270" s="337" t="s">
        <v>2600</v>
      </c>
    </row>
    <row r="271" spans="1:20" ht="15.75">
      <c r="A271" s="333" t="str">
        <f t="shared" si="5"/>
        <v>MB-0002</v>
      </c>
      <c r="B271" s="333" t="s">
        <v>2601</v>
      </c>
      <c r="C271" s="333" t="s">
        <v>2602</v>
      </c>
      <c r="D271" s="333" t="s">
        <v>456</v>
      </c>
      <c r="E271" s="338">
        <v>36022</v>
      </c>
      <c r="F271" s="339">
        <v>242069063316</v>
      </c>
      <c r="G271" s="333"/>
      <c r="H271" s="333" t="s">
        <v>119</v>
      </c>
      <c r="I271" s="335">
        <v>2024</v>
      </c>
      <c r="J271" s="333" t="s">
        <v>2603</v>
      </c>
      <c r="K271" s="337" t="s">
        <v>2604</v>
      </c>
      <c r="L271" s="337" t="s">
        <v>2605</v>
      </c>
    </row>
    <row r="272" spans="1:20" ht="15.75">
      <c r="A272" s="333" t="str">
        <f t="shared" si="5"/>
        <v>MB-0003</v>
      </c>
      <c r="B272" s="337" t="s">
        <v>2606</v>
      </c>
      <c r="C272" s="337" t="s">
        <v>2607</v>
      </c>
      <c r="D272" s="333" t="s">
        <v>454</v>
      </c>
      <c r="E272" s="338">
        <v>35210</v>
      </c>
      <c r="F272" s="339">
        <v>242069284243</v>
      </c>
      <c r="G272" s="333"/>
      <c r="H272" s="333" t="s">
        <v>119</v>
      </c>
      <c r="I272" s="335">
        <v>2024</v>
      </c>
      <c r="J272" s="333" t="s">
        <v>2609</v>
      </c>
      <c r="K272" s="333" t="s">
        <v>2608</v>
      </c>
      <c r="L272" s="333" t="s">
        <v>2610</v>
      </c>
    </row>
    <row r="273" spans="1:12">
      <c r="A273" s="333" t="str">
        <f t="shared" si="5"/>
        <v>MB-0004</v>
      </c>
      <c r="B273" s="333" t="s">
        <v>2589</v>
      </c>
      <c r="C273" s="333" t="s">
        <v>2590</v>
      </c>
      <c r="D273" s="333" t="s">
        <v>456</v>
      </c>
      <c r="E273" s="334">
        <v>37739</v>
      </c>
      <c r="F273" s="340">
        <v>242065337815</v>
      </c>
      <c r="G273" s="336" t="s">
        <v>2591</v>
      </c>
      <c r="H273" s="333" t="s">
        <v>119</v>
      </c>
      <c r="I273" s="335">
        <v>2024</v>
      </c>
      <c r="J273" s="333" t="s">
        <v>2612</v>
      </c>
      <c r="K273" s="333" t="s">
        <v>2611</v>
      </c>
      <c r="L273" s="333" t="s">
        <v>2613</v>
      </c>
    </row>
    <row r="274" spans="1:12" ht="15.75">
      <c r="A274" s="333" t="str">
        <f t="shared" si="5"/>
        <v>MB-0005</v>
      </c>
      <c r="B274" s="337" t="s">
        <v>2614</v>
      </c>
      <c r="C274" s="333" t="s">
        <v>2615</v>
      </c>
      <c r="D274" s="333" t="s">
        <v>454</v>
      </c>
      <c r="E274" s="338">
        <v>33731</v>
      </c>
      <c r="F274" s="339">
        <v>242068596676</v>
      </c>
      <c r="G274" s="333"/>
      <c r="H274" s="333" t="s">
        <v>119</v>
      </c>
      <c r="I274" s="335">
        <v>2024</v>
      </c>
      <c r="J274" s="333" t="s">
        <v>2616</v>
      </c>
      <c r="K274" s="333" t="s">
        <v>2617</v>
      </c>
      <c r="L274" s="333" t="s">
        <v>2613</v>
      </c>
    </row>
    <row r="275" spans="1:12" ht="15.75">
      <c r="A275" s="333" t="str">
        <f t="shared" si="5"/>
        <v>MB-0006</v>
      </c>
      <c r="B275" s="337" t="s">
        <v>2618</v>
      </c>
      <c r="C275" s="337" t="s">
        <v>2619</v>
      </c>
      <c r="D275" s="333" t="s">
        <v>456</v>
      </c>
      <c r="E275" s="338">
        <v>34678</v>
      </c>
      <c r="F275" s="339">
        <v>242066389322</v>
      </c>
      <c r="G275" s="333"/>
      <c r="H275" s="333" t="s">
        <v>119</v>
      </c>
      <c r="I275" s="335">
        <v>2024</v>
      </c>
      <c r="J275" s="333" t="s">
        <v>2620</v>
      </c>
      <c r="K275" s="333" t="s">
        <v>2621</v>
      </c>
      <c r="L275" s="333" t="s">
        <v>2613</v>
      </c>
    </row>
    <row r="276" spans="1:12" ht="15.75">
      <c r="A276" s="333" t="str">
        <f t="shared" si="5"/>
        <v>MB-0007</v>
      </c>
      <c r="B276" s="337" t="s">
        <v>2622</v>
      </c>
      <c r="C276" s="337" t="s">
        <v>2623</v>
      </c>
      <c r="D276" s="333" t="s">
        <v>454</v>
      </c>
      <c r="E276" s="338">
        <v>35824</v>
      </c>
      <c r="F276" s="340">
        <v>559591736611</v>
      </c>
      <c r="G276" s="333"/>
      <c r="H276" s="333" t="s">
        <v>119</v>
      </c>
      <c r="I276" s="335">
        <v>2024</v>
      </c>
      <c r="J276" s="333" t="s">
        <v>2624</v>
      </c>
      <c r="K276" s="333" t="s">
        <v>2608</v>
      </c>
      <c r="L276" s="333" t="s">
        <v>2625</v>
      </c>
    </row>
    <row r="277" spans="1:12" ht="15.75">
      <c r="A277" s="333" t="str">
        <f t="shared" si="5"/>
        <v>MB-0008</v>
      </c>
      <c r="B277" s="337" t="s">
        <v>2626</v>
      </c>
      <c r="C277" s="333" t="s">
        <v>2627</v>
      </c>
      <c r="D277" s="333" t="s">
        <v>454</v>
      </c>
      <c r="E277" s="334">
        <v>33889</v>
      </c>
      <c r="F277" s="339">
        <v>242069313666</v>
      </c>
      <c r="G277" s="333"/>
      <c r="H277" s="333" t="s">
        <v>115</v>
      </c>
      <c r="I277" s="335">
        <v>2024</v>
      </c>
      <c r="J277" s="333" t="s">
        <v>115</v>
      </c>
      <c r="K277" s="333" t="s">
        <v>2628</v>
      </c>
      <c r="L277" s="333" t="s">
        <v>2613</v>
      </c>
    </row>
    <row r="278" spans="1:12" ht="15.75">
      <c r="A278" s="333" t="str">
        <f t="shared" si="5"/>
        <v>MB-0009</v>
      </c>
      <c r="B278" s="337" t="s">
        <v>2629</v>
      </c>
      <c r="C278" s="337" t="s">
        <v>2630</v>
      </c>
      <c r="D278" s="333" t="s">
        <v>456</v>
      </c>
      <c r="E278" s="334">
        <v>34011</v>
      </c>
      <c r="F278" s="339">
        <v>242064938773</v>
      </c>
      <c r="G278" s="333"/>
      <c r="H278" s="333" t="s">
        <v>115</v>
      </c>
      <c r="I278" s="335">
        <v>2024</v>
      </c>
      <c r="J278" s="333" t="s">
        <v>115</v>
      </c>
      <c r="K278" s="333" t="s">
        <v>2631</v>
      </c>
      <c r="L278" s="333" t="s">
        <v>2613</v>
      </c>
    </row>
    <row r="279" spans="1:12" ht="15.75">
      <c r="A279" s="333" t="str">
        <f t="shared" si="5"/>
        <v>MB-0010</v>
      </c>
      <c r="B279" s="337" t="s">
        <v>2632</v>
      </c>
      <c r="C279" s="337" t="s">
        <v>2633</v>
      </c>
      <c r="D279" s="333" t="s">
        <v>454</v>
      </c>
      <c r="E279" s="334">
        <v>37714</v>
      </c>
      <c r="F279" s="339">
        <v>242065220177</v>
      </c>
      <c r="G279" s="333"/>
      <c r="H279" s="333" t="s">
        <v>120</v>
      </c>
      <c r="I279" s="335">
        <v>2024</v>
      </c>
      <c r="J279" s="333" t="s">
        <v>120</v>
      </c>
      <c r="K279" s="333" t="s">
        <v>2634</v>
      </c>
      <c r="L279" s="333" t="s">
        <v>2613</v>
      </c>
    </row>
    <row r="280" spans="1:12" ht="15.75">
      <c r="A280" s="333" t="str">
        <f t="shared" si="5"/>
        <v>MB-0011</v>
      </c>
      <c r="B280" s="337" t="s">
        <v>2635</v>
      </c>
      <c r="C280" s="337" t="s">
        <v>2636</v>
      </c>
      <c r="D280" s="333" t="s">
        <v>456</v>
      </c>
      <c r="E280" s="334">
        <v>36655</v>
      </c>
      <c r="F280" s="339">
        <v>242069506194</v>
      </c>
      <c r="G280" s="333"/>
      <c r="H280" s="333" t="s">
        <v>120</v>
      </c>
      <c r="I280" s="335">
        <v>2024</v>
      </c>
      <c r="J280" s="333" t="s">
        <v>120</v>
      </c>
      <c r="K280" s="333"/>
      <c r="L280" s="333" t="s">
        <v>2613</v>
      </c>
    </row>
    <row r="281" spans="1:12" ht="15.75">
      <c r="A281" s="333" t="str">
        <f t="shared" si="5"/>
        <v>MB-0012</v>
      </c>
      <c r="B281" s="337" t="s">
        <v>2637</v>
      </c>
      <c r="C281" s="337" t="s">
        <v>2638</v>
      </c>
      <c r="D281" s="333" t="s">
        <v>454</v>
      </c>
      <c r="E281" s="338">
        <v>38585</v>
      </c>
      <c r="F281" s="337">
        <v>33603954370</v>
      </c>
      <c r="G281" s="333"/>
      <c r="H281" s="333" t="s">
        <v>120</v>
      </c>
      <c r="I281" s="335">
        <v>2024</v>
      </c>
      <c r="J281" s="333" t="s">
        <v>120</v>
      </c>
      <c r="K281" s="333" t="s">
        <v>2639</v>
      </c>
      <c r="L281" s="333" t="s">
        <v>2640</v>
      </c>
    </row>
    <row r="282" spans="1:12" ht="15.75">
      <c r="A282" s="333" t="str">
        <f t="shared" si="5"/>
        <v>MB-0013</v>
      </c>
      <c r="B282" s="337" t="s">
        <v>2642</v>
      </c>
      <c r="C282" s="333" t="s">
        <v>2641</v>
      </c>
      <c r="D282" s="333" t="s">
        <v>456</v>
      </c>
      <c r="E282" s="334">
        <v>35838</v>
      </c>
      <c r="F282" s="339">
        <v>242056457991</v>
      </c>
      <c r="G282" s="333"/>
      <c r="H282" s="333" t="s">
        <v>120</v>
      </c>
      <c r="I282" s="335">
        <v>2024</v>
      </c>
      <c r="J282" s="333" t="s">
        <v>120</v>
      </c>
      <c r="K282" s="333" t="s">
        <v>470</v>
      </c>
      <c r="L282" s="333" t="s">
        <v>2613</v>
      </c>
    </row>
    <row r="283" spans="1:12" ht="15.75">
      <c r="A283" s="333" t="str">
        <f t="shared" si="5"/>
        <v>MB-0014</v>
      </c>
      <c r="B283" s="337" t="s">
        <v>2606</v>
      </c>
      <c r="C283" s="333" t="s">
        <v>2643</v>
      </c>
      <c r="D283" s="333" t="s">
        <v>456</v>
      </c>
      <c r="E283" s="334">
        <v>38132</v>
      </c>
      <c r="F283" s="333"/>
      <c r="G283" s="333"/>
      <c r="H283" s="333" t="s">
        <v>120</v>
      </c>
      <c r="I283" s="335">
        <v>2024</v>
      </c>
      <c r="J283" s="333" t="s">
        <v>120</v>
      </c>
      <c r="K283" s="333" t="s">
        <v>2611</v>
      </c>
      <c r="L283" s="333" t="s">
        <v>2613</v>
      </c>
    </row>
    <row r="284" spans="1:12">
      <c r="A284" s="333" t="str">
        <f t="shared" si="5"/>
        <v/>
      </c>
      <c r="B284" s="333"/>
      <c r="C284" s="333"/>
      <c r="D284" s="333"/>
      <c r="E284" s="334"/>
      <c r="F284" s="333"/>
      <c r="G284" s="333"/>
      <c r="H284" s="333"/>
      <c r="I284" s="335"/>
      <c r="J284" s="333"/>
      <c r="K284" s="333"/>
      <c r="L284" s="333"/>
    </row>
    <row r="285" spans="1:12">
      <c r="A285" s="333" t="str">
        <f t="shared" si="5"/>
        <v/>
      </c>
      <c r="B285" s="333"/>
      <c r="C285" s="333"/>
      <c r="D285" s="333"/>
      <c r="E285" s="334"/>
      <c r="F285" s="333"/>
      <c r="G285" s="333"/>
      <c r="H285" s="333"/>
      <c r="I285" s="335"/>
      <c r="J285" s="333"/>
      <c r="K285" s="333"/>
      <c r="L285" s="333"/>
    </row>
    <row r="286" spans="1:12">
      <c r="A286" s="333" t="str">
        <f t="shared" si="5"/>
        <v/>
      </c>
      <c r="B286" s="333"/>
      <c r="C286" s="333"/>
      <c r="D286" s="333"/>
      <c r="E286" s="334"/>
      <c r="F286" s="333"/>
      <c r="G286" s="333"/>
      <c r="H286" s="333"/>
      <c r="I286" s="335"/>
      <c r="J286" s="333"/>
      <c r="K286" s="333"/>
      <c r="L286" s="333"/>
    </row>
    <row r="287" spans="1:12">
      <c r="A287" s="333" t="str">
        <f t="shared" si="5"/>
        <v/>
      </c>
      <c r="B287" s="333"/>
      <c r="C287" s="333"/>
      <c r="D287" s="333"/>
      <c r="E287" s="334"/>
      <c r="F287" s="333"/>
      <c r="G287" s="333"/>
      <c r="H287" s="333"/>
      <c r="I287" s="335"/>
      <c r="J287" s="333"/>
      <c r="K287" s="333"/>
      <c r="L287" s="333"/>
    </row>
    <row r="288" spans="1:12">
      <c r="A288" s="333" t="str">
        <f t="shared" si="5"/>
        <v/>
      </c>
      <c r="B288" s="333"/>
      <c r="C288" s="333"/>
      <c r="D288" s="333"/>
      <c r="E288" s="334"/>
      <c r="F288" s="333"/>
      <c r="G288" s="333"/>
      <c r="H288" s="333"/>
      <c r="I288" s="335"/>
      <c r="J288" s="333"/>
      <c r="K288" s="333"/>
      <c r="L288" s="333"/>
    </row>
    <row r="289" spans="1:12">
      <c r="A289" s="333" t="str">
        <f t="shared" si="5"/>
        <v/>
      </c>
      <c r="B289" s="333"/>
      <c r="C289" s="333"/>
      <c r="D289" s="333"/>
      <c r="E289" s="334"/>
      <c r="F289" s="333"/>
      <c r="G289" s="333"/>
      <c r="H289" s="333"/>
      <c r="I289" s="335"/>
      <c r="J289" s="333"/>
      <c r="K289" s="333"/>
      <c r="L289" s="333"/>
    </row>
    <row r="290" spans="1:12">
      <c r="A290" s="333" t="str">
        <f t="shared" si="5"/>
        <v/>
      </c>
      <c r="B290" s="333"/>
      <c r="C290" s="333"/>
      <c r="D290" s="333"/>
      <c r="E290" s="334"/>
      <c r="F290" s="333"/>
      <c r="G290" s="333"/>
      <c r="H290" s="333"/>
      <c r="I290" s="335"/>
      <c r="J290" s="333"/>
      <c r="K290" s="333"/>
      <c r="L290" s="333"/>
    </row>
    <row r="291" spans="1:12">
      <c r="A291" s="333" t="str">
        <f t="shared" si="5"/>
        <v/>
      </c>
      <c r="B291" s="333"/>
      <c r="C291" s="333"/>
      <c r="D291" s="333"/>
      <c r="E291" s="334"/>
      <c r="F291" s="333"/>
      <c r="G291" s="333"/>
      <c r="H291" s="333"/>
      <c r="I291" s="335"/>
      <c r="J291" s="333"/>
      <c r="K291" s="333"/>
      <c r="L291" s="333"/>
    </row>
    <row r="292" spans="1:12">
      <c r="A292" s="333" t="str">
        <f t="shared" si="5"/>
        <v/>
      </c>
      <c r="B292" s="333"/>
      <c r="C292" s="333"/>
      <c r="D292" s="333"/>
      <c r="E292" s="334"/>
      <c r="F292" s="333"/>
      <c r="G292" s="333"/>
      <c r="H292" s="333"/>
      <c r="I292" s="335"/>
      <c r="J292" s="333"/>
      <c r="K292" s="333"/>
      <c r="L292" s="333"/>
    </row>
    <row r="293" spans="1:12">
      <c r="A293" s="333" t="str">
        <f t="shared" si="5"/>
        <v/>
      </c>
      <c r="B293" s="333"/>
      <c r="C293" s="333"/>
      <c r="D293" s="333"/>
      <c r="E293" s="334"/>
      <c r="F293" s="333"/>
      <c r="G293" s="333"/>
      <c r="H293" s="333"/>
      <c r="I293" s="335"/>
      <c r="J293" s="333"/>
      <c r="K293" s="333"/>
      <c r="L293" s="333"/>
    </row>
    <row r="294" spans="1:12">
      <c r="A294" s="333" t="str">
        <f t="shared" si="5"/>
        <v/>
      </c>
      <c r="B294" s="333"/>
      <c r="C294" s="333"/>
      <c r="D294" s="333"/>
      <c r="E294" s="334"/>
      <c r="F294" s="333"/>
      <c r="G294" s="333"/>
      <c r="H294" s="333"/>
      <c r="I294" s="335"/>
      <c r="J294" s="333"/>
      <c r="K294" s="333"/>
      <c r="L294" s="333"/>
    </row>
    <row r="295" spans="1:12">
      <c r="A295" s="333" t="str">
        <f t="shared" si="5"/>
        <v/>
      </c>
      <c r="B295" s="333"/>
      <c r="C295" s="333"/>
      <c r="D295" s="333"/>
      <c r="E295" s="334"/>
      <c r="F295" s="333"/>
      <c r="G295" s="333"/>
      <c r="H295" s="333"/>
      <c r="I295" s="335"/>
      <c r="J295" s="333"/>
      <c r="K295" s="333"/>
      <c r="L295" s="333"/>
    </row>
    <row r="296" spans="1:12">
      <c r="A296" s="333" t="str">
        <f t="shared" si="5"/>
        <v/>
      </c>
      <c r="B296" s="333"/>
      <c r="C296" s="333"/>
      <c r="D296" s="333"/>
      <c r="E296" s="334"/>
      <c r="F296" s="333"/>
      <c r="G296" s="333"/>
      <c r="H296" s="333"/>
      <c r="I296" s="335"/>
      <c r="J296" s="333"/>
      <c r="K296" s="333"/>
      <c r="L296" s="333"/>
    </row>
    <row r="297" spans="1:12">
      <c r="A297" s="333" t="str">
        <f t="shared" si="5"/>
        <v/>
      </c>
      <c r="B297" s="333"/>
      <c r="C297" s="333"/>
      <c r="D297" s="333"/>
      <c r="E297" s="334"/>
      <c r="F297" s="333"/>
      <c r="G297" s="333"/>
      <c r="H297" s="333"/>
      <c r="I297" s="335"/>
      <c r="J297" s="333"/>
      <c r="K297" s="333"/>
      <c r="L297" s="333"/>
    </row>
    <row r="298" spans="1:12">
      <c r="A298" s="333" t="str">
        <f t="shared" si="5"/>
        <v/>
      </c>
      <c r="B298" s="333"/>
      <c r="C298" s="333"/>
      <c r="D298" s="333"/>
      <c r="E298" s="334"/>
      <c r="F298" s="333"/>
      <c r="G298" s="333"/>
      <c r="H298" s="333"/>
      <c r="I298" s="335"/>
      <c r="J298" s="333"/>
      <c r="K298" s="333"/>
      <c r="L298" s="333"/>
    </row>
    <row r="299" spans="1:12">
      <c r="A299" s="333" t="str">
        <f t="shared" si="5"/>
        <v/>
      </c>
      <c r="B299" s="333"/>
      <c r="C299" s="333"/>
      <c r="D299" s="333"/>
      <c r="E299" s="334"/>
      <c r="F299" s="333"/>
      <c r="G299" s="333"/>
      <c r="H299" s="333"/>
      <c r="I299" s="335"/>
      <c r="J299" s="333"/>
      <c r="K299" s="333"/>
      <c r="L299" s="333"/>
    </row>
    <row r="300" spans="1:12">
      <c r="A300" s="333" t="str">
        <f t="shared" si="5"/>
        <v/>
      </c>
      <c r="B300" s="333"/>
      <c r="C300" s="333"/>
      <c r="D300" s="333"/>
      <c r="E300" s="334"/>
      <c r="F300" s="333"/>
      <c r="G300" s="333"/>
      <c r="H300" s="333"/>
      <c r="I300" s="335"/>
      <c r="J300" s="333"/>
      <c r="K300" s="333"/>
      <c r="L300" s="333"/>
    </row>
    <row r="301" spans="1:12">
      <c r="A301" s="333" t="str">
        <f t="shared" si="5"/>
        <v/>
      </c>
      <c r="B301" s="333"/>
      <c r="C301" s="333"/>
      <c r="D301" s="333"/>
      <c r="E301" s="334"/>
      <c r="F301" s="333"/>
      <c r="G301" s="333"/>
      <c r="H301" s="333"/>
      <c r="I301" s="335"/>
      <c r="J301" s="333"/>
      <c r="K301" s="333"/>
      <c r="L301" s="333"/>
    </row>
    <row r="302" spans="1:12">
      <c r="A302" s="333" t="str">
        <f t="shared" ref="A302:A333" si="6">IF(OR(B302&lt;&gt;"",C302&lt;&gt;""),"MB-"&amp;TEXT(ROW()-269,"0000"),"")</f>
        <v/>
      </c>
      <c r="B302" s="333"/>
      <c r="C302" s="333"/>
      <c r="D302" s="333"/>
      <c r="E302" s="334"/>
      <c r="F302" s="333"/>
      <c r="G302" s="333"/>
      <c r="H302" s="333"/>
      <c r="I302" s="335"/>
      <c r="J302" s="333"/>
      <c r="K302" s="333"/>
      <c r="L302" s="333"/>
    </row>
    <row r="303" spans="1:12">
      <c r="A303" s="333" t="str">
        <f t="shared" si="6"/>
        <v/>
      </c>
      <c r="B303" s="333"/>
      <c r="C303" s="333"/>
      <c r="D303" s="333"/>
      <c r="E303" s="334"/>
      <c r="F303" s="333"/>
      <c r="G303" s="333"/>
      <c r="H303" s="333"/>
      <c r="I303" s="335"/>
      <c r="J303" s="333"/>
      <c r="K303" s="333"/>
      <c r="L303" s="333"/>
    </row>
    <row r="304" spans="1:12">
      <c r="A304" s="333" t="str">
        <f t="shared" si="6"/>
        <v/>
      </c>
      <c r="B304" s="333"/>
      <c r="C304" s="333"/>
      <c r="D304" s="333"/>
      <c r="E304" s="334"/>
      <c r="F304" s="333"/>
      <c r="G304" s="333"/>
      <c r="H304" s="333"/>
      <c r="I304" s="335"/>
      <c r="J304" s="333"/>
      <c r="K304" s="333"/>
      <c r="L304" s="333"/>
    </row>
    <row r="305" spans="1:12">
      <c r="A305" s="333" t="str">
        <f t="shared" si="6"/>
        <v/>
      </c>
      <c r="B305" s="333"/>
      <c r="C305" s="333"/>
      <c r="D305" s="333"/>
      <c r="E305" s="334"/>
      <c r="F305" s="333"/>
      <c r="G305" s="333"/>
      <c r="H305" s="333"/>
      <c r="I305" s="335"/>
      <c r="J305" s="333"/>
      <c r="K305" s="333"/>
      <c r="L305" s="333"/>
    </row>
    <row r="306" spans="1:12">
      <c r="A306" s="333" t="str">
        <f t="shared" si="6"/>
        <v/>
      </c>
      <c r="B306" s="333"/>
      <c r="C306" s="333"/>
      <c r="D306" s="333"/>
      <c r="E306" s="334"/>
      <c r="F306" s="333"/>
      <c r="G306" s="333"/>
      <c r="H306" s="333"/>
      <c r="I306" s="335"/>
      <c r="J306" s="333"/>
      <c r="K306" s="333"/>
      <c r="L306" s="333"/>
    </row>
    <row r="307" spans="1:12">
      <c r="A307" s="333" t="str">
        <f t="shared" si="6"/>
        <v/>
      </c>
      <c r="B307" s="333"/>
      <c r="C307" s="333"/>
      <c r="D307" s="333"/>
      <c r="E307" s="334"/>
      <c r="F307" s="333"/>
      <c r="G307" s="333"/>
      <c r="H307" s="333"/>
      <c r="I307" s="335"/>
      <c r="J307" s="333"/>
      <c r="K307" s="333"/>
      <c r="L307" s="333"/>
    </row>
    <row r="308" spans="1:12">
      <c r="A308" s="333" t="str">
        <f t="shared" si="6"/>
        <v/>
      </c>
      <c r="B308" s="333"/>
      <c r="C308" s="333"/>
      <c r="D308" s="333"/>
      <c r="E308" s="334"/>
      <c r="F308" s="333"/>
      <c r="G308" s="333"/>
      <c r="H308" s="333"/>
      <c r="I308" s="335"/>
      <c r="J308" s="333"/>
      <c r="K308" s="333"/>
      <c r="L308" s="333"/>
    </row>
    <row r="309" spans="1:12">
      <c r="A309" s="333" t="str">
        <f t="shared" si="6"/>
        <v/>
      </c>
      <c r="B309" s="333"/>
      <c r="C309" s="333"/>
      <c r="D309" s="333"/>
      <c r="E309" s="334"/>
      <c r="F309" s="333"/>
      <c r="G309" s="333"/>
      <c r="H309" s="333"/>
      <c r="I309" s="335"/>
      <c r="J309" s="333"/>
      <c r="K309" s="333"/>
      <c r="L309" s="333"/>
    </row>
    <row r="310" spans="1:12">
      <c r="A310" s="333" t="str">
        <f t="shared" si="6"/>
        <v/>
      </c>
      <c r="B310" s="333"/>
      <c r="C310" s="333"/>
      <c r="D310" s="333"/>
      <c r="E310" s="334"/>
      <c r="F310" s="333"/>
      <c r="G310" s="333"/>
      <c r="H310" s="333"/>
      <c r="I310" s="335"/>
      <c r="J310" s="333"/>
      <c r="K310" s="333"/>
      <c r="L310" s="333"/>
    </row>
    <row r="311" spans="1:12">
      <c r="A311" s="333" t="str">
        <f t="shared" si="6"/>
        <v/>
      </c>
      <c r="B311" s="333"/>
      <c r="C311" s="333"/>
      <c r="D311" s="333"/>
      <c r="E311" s="334"/>
      <c r="F311" s="333"/>
      <c r="G311" s="333"/>
      <c r="H311" s="333"/>
      <c r="I311" s="335"/>
      <c r="J311" s="333"/>
      <c r="K311" s="333"/>
      <c r="L311" s="333"/>
    </row>
    <row r="312" spans="1:12">
      <c r="A312" s="333" t="str">
        <f t="shared" si="6"/>
        <v/>
      </c>
      <c r="B312" s="333"/>
      <c r="C312" s="333"/>
      <c r="D312" s="333"/>
      <c r="E312" s="334"/>
      <c r="F312" s="333"/>
      <c r="G312" s="333"/>
      <c r="H312" s="333"/>
      <c r="I312" s="335"/>
      <c r="J312" s="333"/>
      <c r="K312" s="333"/>
      <c r="L312" s="333"/>
    </row>
    <row r="313" spans="1:12">
      <c r="A313" s="333" t="str">
        <f t="shared" si="6"/>
        <v/>
      </c>
      <c r="B313" s="333"/>
      <c r="C313" s="333"/>
      <c r="D313" s="333"/>
      <c r="E313" s="334"/>
      <c r="F313" s="333"/>
      <c r="G313" s="333"/>
      <c r="H313" s="333"/>
      <c r="I313" s="335"/>
      <c r="J313" s="333"/>
      <c r="K313" s="333"/>
      <c r="L313" s="333"/>
    </row>
    <row r="314" spans="1:12">
      <c r="A314" s="333" t="str">
        <f t="shared" si="6"/>
        <v/>
      </c>
      <c r="B314" s="333"/>
      <c r="C314" s="333"/>
      <c r="D314" s="333"/>
      <c r="E314" s="334"/>
      <c r="F314" s="333"/>
      <c r="G314" s="333"/>
      <c r="H314" s="333"/>
      <c r="I314" s="335"/>
      <c r="J314" s="333"/>
      <c r="K314" s="333"/>
      <c r="L314" s="333"/>
    </row>
    <row r="315" spans="1:12">
      <c r="A315" s="333" t="str">
        <f t="shared" si="6"/>
        <v/>
      </c>
      <c r="B315" s="333"/>
      <c r="C315" s="333"/>
      <c r="D315" s="333"/>
      <c r="E315" s="334"/>
      <c r="F315" s="333"/>
      <c r="G315" s="333"/>
      <c r="H315" s="333"/>
      <c r="I315" s="335"/>
      <c r="J315" s="333"/>
      <c r="K315" s="333"/>
      <c r="L315" s="333"/>
    </row>
    <row r="316" spans="1:12">
      <c r="A316" s="333" t="str">
        <f t="shared" si="6"/>
        <v/>
      </c>
      <c r="B316" s="333"/>
      <c r="C316" s="333"/>
      <c r="D316" s="333"/>
      <c r="E316" s="334"/>
      <c r="F316" s="333"/>
      <c r="G316" s="333"/>
      <c r="H316" s="333"/>
      <c r="I316" s="335"/>
      <c r="J316" s="333"/>
      <c r="K316" s="333"/>
      <c r="L316" s="333"/>
    </row>
    <row r="317" spans="1:12">
      <c r="A317" s="333" t="str">
        <f t="shared" si="6"/>
        <v/>
      </c>
      <c r="B317" s="333"/>
      <c r="C317" s="333"/>
      <c r="D317" s="333"/>
      <c r="E317" s="334"/>
      <c r="F317" s="333"/>
      <c r="G317" s="333"/>
      <c r="H317" s="333"/>
      <c r="I317" s="335"/>
      <c r="J317" s="333"/>
      <c r="K317" s="333"/>
      <c r="L317" s="333"/>
    </row>
    <row r="318" spans="1:12">
      <c r="A318" s="333" t="str">
        <f t="shared" si="6"/>
        <v/>
      </c>
      <c r="B318" s="333"/>
      <c r="C318" s="333"/>
      <c r="D318" s="333"/>
      <c r="E318" s="334"/>
      <c r="F318" s="333"/>
      <c r="G318" s="333"/>
      <c r="H318" s="333"/>
      <c r="I318" s="335"/>
      <c r="J318" s="333"/>
      <c r="K318" s="333"/>
      <c r="L318" s="333"/>
    </row>
    <row r="319" spans="1:12">
      <c r="A319" s="333" t="str">
        <f t="shared" si="6"/>
        <v/>
      </c>
      <c r="B319" s="333"/>
      <c r="C319" s="333"/>
      <c r="D319" s="333"/>
      <c r="E319" s="334"/>
      <c r="F319" s="333"/>
      <c r="G319" s="333"/>
      <c r="H319" s="333"/>
      <c r="I319" s="335"/>
      <c r="J319" s="333"/>
      <c r="K319" s="333"/>
      <c r="L319" s="333"/>
    </row>
    <row r="320" spans="1:12">
      <c r="A320" s="333" t="str">
        <f t="shared" si="6"/>
        <v/>
      </c>
      <c r="B320" s="333"/>
      <c r="C320" s="333"/>
      <c r="D320" s="333"/>
      <c r="E320" s="334"/>
      <c r="F320" s="333"/>
      <c r="G320" s="333"/>
      <c r="H320" s="333"/>
      <c r="I320" s="335"/>
      <c r="J320" s="333"/>
      <c r="K320" s="333"/>
      <c r="L320" s="333"/>
    </row>
    <row r="321" spans="1:12">
      <c r="A321" s="333" t="str">
        <f t="shared" si="6"/>
        <v/>
      </c>
      <c r="B321" s="333"/>
      <c r="C321" s="333"/>
      <c r="D321" s="333"/>
      <c r="E321" s="334"/>
      <c r="F321" s="333"/>
      <c r="G321" s="333"/>
      <c r="H321" s="333"/>
      <c r="I321" s="335"/>
      <c r="J321" s="333"/>
      <c r="K321" s="333"/>
      <c r="L321" s="333"/>
    </row>
    <row r="322" spans="1:12">
      <c r="A322" s="333" t="str">
        <f t="shared" si="6"/>
        <v/>
      </c>
      <c r="B322" s="333"/>
      <c r="C322" s="333"/>
      <c r="D322" s="333"/>
      <c r="E322" s="334"/>
      <c r="F322" s="333"/>
      <c r="G322" s="333"/>
      <c r="H322" s="333"/>
      <c r="I322" s="335"/>
      <c r="J322" s="333"/>
      <c r="K322" s="333"/>
      <c r="L322" s="333"/>
    </row>
    <row r="323" spans="1:12">
      <c r="A323" s="333" t="str">
        <f t="shared" si="6"/>
        <v/>
      </c>
      <c r="B323" s="333"/>
      <c r="C323" s="333"/>
      <c r="D323" s="333"/>
      <c r="E323" s="334"/>
      <c r="F323" s="333"/>
      <c r="G323" s="333"/>
      <c r="H323" s="333"/>
      <c r="I323" s="335"/>
      <c r="J323" s="333"/>
      <c r="K323" s="333"/>
      <c r="L323" s="333"/>
    </row>
    <row r="324" spans="1:12">
      <c r="A324" s="333" t="str">
        <f t="shared" si="6"/>
        <v/>
      </c>
      <c r="B324" s="333"/>
      <c r="C324" s="333"/>
      <c r="D324" s="333"/>
      <c r="E324" s="334"/>
      <c r="F324" s="333"/>
      <c r="G324" s="333"/>
      <c r="H324" s="333"/>
      <c r="I324" s="335"/>
      <c r="J324" s="333"/>
      <c r="K324" s="333"/>
      <c r="L324" s="333"/>
    </row>
    <row r="325" spans="1:12">
      <c r="A325" s="333" t="str">
        <f t="shared" si="6"/>
        <v/>
      </c>
      <c r="B325" s="333"/>
      <c r="C325" s="333"/>
      <c r="D325" s="333"/>
      <c r="E325" s="334"/>
      <c r="F325" s="333"/>
      <c r="G325" s="333"/>
      <c r="H325" s="333"/>
      <c r="I325" s="335"/>
      <c r="J325" s="333"/>
      <c r="K325" s="333"/>
      <c r="L325" s="333"/>
    </row>
    <row r="326" spans="1:12">
      <c r="A326" s="333" t="str">
        <f t="shared" si="6"/>
        <v/>
      </c>
      <c r="B326" s="333"/>
      <c r="C326" s="333"/>
      <c r="D326" s="333"/>
      <c r="E326" s="334"/>
      <c r="F326" s="333"/>
      <c r="G326" s="333"/>
      <c r="H326" s="333"/>
      <c r="I326" s="335"/>
      <c r="J326" s="333"/>
      <c r="K326" s="333"/>
      <c r="L326" s="333"/>
    </row>
    <row r="327" spans="1:12">
      <c r="A327" s="333" t="str">
        <f t="shared" si="6"/>
        <v/>
      </c>
      <c r="B327" s="333"/>
      <c r="C327" s="333"/>
      <c r="D327" s="333"/>
      <c r="E327" s="334"/>
      <c r="F327" s="333"/>
      <c r="G327" s="333"/>
      <c r="H327" s="333"/>
      <c r="I327" s="335"/>
      <c r="J327" s="333"/>
      <c r="K327" s="333"/>
      <c r="L327" s="333"/>
    </row>
    <row r="328" spans="1:12">
      <c r="A328" s="333" t="str">
        <f t="shared" si="6"/>
        <v/>
      </c>
      <c r="B328" s="333"/>
      <c r="C328" s="333"/>
      <c r="D328" s="333"/>
      <c r="E328" s="334"/>
      <c r="F328" s="333"/>
      <c r="G328" s="333"/>
      <c r="H328" s="333"/>
      <c r="I328" s="335"/>
      <c r="J328" s="333"/>
      <c r="K328" s="333"/>
      <c r="L328" s="333"/>
    </row>
    <row r="329" spans="1:12">
      <c r="A329" s="333" t="str">
        <f t="shared" si="6"/>
        <v/>
      </c>
      <c r="B329" s="333"/>
      <c r="C329" s="333"/>
      <c r="D329" s="333"/>
      <c r="E329" s="334"/>
      <c r="F329" s="333"/>
      <c r="G329" s="333"/>
      <c r="H329" s="333"/>
      <c r="I329" s="335"/>
      <c r="J329" s="333"/>
      <c r="K329" s="333"/>
      <c r="L329" s="333"/>
    </row>
    <row r="330" spans="1:12">
      <c r="A330" s="333" t="str">
        <f t="shared" si="6"/>
        <v/>
      </c>
      <c r="B330" s="333"/>
      <c r="C330" s="333"/>
      <c r="D330" s="333"/>
      <c r="E330" s="334"/>
      <c r="F330" s="333"/>
      <c r="G330" s="333"/>
      <c r="H330" s="333"/>
      <c r="I330" s="335"/>
      <c r="J330" s="333"/>
      <c r="K330" s="333"/>
      <c r="L330" s="333"/>
    </row>
    <row r="331" spans="1:12">
      <c r="A331" s="333" t="str">
        <f t="shared" si="6"/>
        <v/>
      </c>
      <c r="B331" s="333"/>
      <c r="C331" s="333"/>
      <c r="D331" s="333"/>
      <c r="E331" s="334"/>
      <c r="F331" s="333"/>
      <c r="G331" s="333"/>
      <c r="H331" s="333"/>
      <c r="I331" s="335"/>
      <c r="J331" s="333"/>
      <c r="K331" s="333"/>
      <c r="L331" s="333"/>
    </row>
    <row r="332" spans="1:12">
      <c r="A332" s="333" t="str">
        <f t="shared" si="6"/>
        <v/>
      </c>
      <c r="B332" s="333"/>
      <c r="C332" s="333"/>
      <c r="D332" s="333"/>
      <c r="E332" s="334"/>
      <c r="F332" s="333"/>
      <c r="G332" s="333"/>
      <c r="H332" s="333"/>
      <c r="I332" s="335"/>
      <c r="J332" s="333"/>
      <c r="K332" s="333"/>
      <c r="L332" s="333"/>
    </row>
    <row r="333" spans="1:12">
      <c r="A333" s="333" t="str">
        <f t="shared" si="6"/>
        <v/>
      </c>
      <c r="B333" s="333"/>
      <c r="C333" s="333"/>
      <c r="D333" s="333"/>
      <c r="E333" s="334"/>
      <c r="F333" s="333"/>
      <c r="G333" s="333"/>
      <c r="H333" s="333"/>
      <c r="I333" s="335"/>
      <c r="J333" s="333"/>
      <c r="K333" s="333"/>
      <c r="L333" s="333"/>
    </row>
    <row r="334" spans="1:12">
      <c r="A334" s="333" t="str">
        <f t="shared" ref="A334:A365" si="7">IF(OR(B334&lt;&gt;"",C334&lt;&gt;""),"MB-"&amp;TEXT(ROW()-269,"0000"),"")</f>
        <v/>
      </c>
      <c r="B334" s="333"/>
      <c r="C334" s="333"/>
      <c r="D334" s="333"/>
      <c r="E334" s="334"/>
      <c r="F334" s="333"/>
      <c r="G334" s="333"/>
      <c r="H334" s="333"/>
      <c r="I334" s="335"/>
      <c r="J334" s="333"/>
      <c r="K334" s="333"/>
      <c r="L334" s="333"/>
    </row>
    <row r="335" spans="1:12">
      <c r="A335" s="333" t="str">
        <f t="shared" si="7"/>
        <v/>
      </c>
      <c r="B335" s="333"/>
      <c r="C335" s="333"/>
      <c r="D335" s="333"/>
      <c r="E335" s="334"/>
      <c r="F335" s="333"/>
      <c r="G335" s="333"/>
      <c r="H335" s="333"/>
      <c r="I335" s="335"/>
      <c r="J335" s="333"/>
      <c r="K335" s="333"/>
      <c r="L335" s="333"/>
    </row>
    <row r="336" spans="1:12">
      <c r="A336" s="333" t="str">
        <f t="shared" si="7"/>
        <v/>
      </c>
      <c r="B336" s="333"/>
      <c r="C336" s="333"/>
      <c r="D336" s="333"/>
      <c r="E336" s="334"/>
      <c r="F336" s="333"/>
      <c r="G336" s="333"/>
      <c r="H336" s="333"/>
      <c r="I336" s="335"/>
      <c r="J336" s="333"/>
      <c r="K336" s="333"/>
      <c r="L336" s="333"/>
    </row>
    <row r="337" spans="1:12">
      <c r="A337" s="333" t="str">
        <f t="shared" si="7"/>
        <v/>
      </c>
      <c r="B337" s="333"/>
      <c r="C337" s="333"/>
      <c r="D337" s="333"/>
      <c r="E337" s="334"/>
      <c r="F337" s="333"/>
      <c r="G337" s="333"/>
      <c r="H337" s="333"/>
      <c r="I337" s="335"/>
      <c r="J337" s="333"/>
      <c r="K337" s="333"/>
      <c r="L337" s="333"/>
    </row>
    <row r="338" spans="1:12">
      <c r="A338" s="333" t="str">
        <f t="shared" si="7"/>
        <v/>
      </c>
      <c r="B338" s="333"/>
      <c r="C338" s="333"/>
      <c r="D338" s="333"/>
      <c r="E338" s="334"/>
      <c r="F338" s="333"/>
      <c r="G338" s="333"/>
      <c r="H338" s="333"/>
      <c r="I338" s="335"/>
      <c r="J338" s="333"/>
      <c r="K338" s="333"/>
      <c r="L338" s="333"/>
    </row>
    <row r="339" spans="1:12">
      <c r="A339" s="333" t="str">
        <f t="shared" si="7"/>
        <v/>
      </c>
      <c r="B339" s="333"/>
      <c r="C339" s="333"/>
      <c r="D339" s="333"/>
      <c r="E339" s="334"/>
      <c r="F339" s="333"/>
      <c r="G339" s="333"/>
      <c r="H339" s="333"/>
      <c r="I339" s="335"/>
      <c r="J339" s="333"/>
      <c r="K339" s="333"/>
      <c r="L339" s="333"/>
    </row>
    <row r="340" spans="1:12">
      <c r="A340" s="333" t="str">
        <f t="shared" si="7"/>
        <v/>
      </c>
      <c r="B340" s="333"/>
      <c r="C340" s="333"/>
      <c r="D340" s="333"/>
      <c r="E340" s="334"/>
      <c r="F340" s="333"/>
      <c r="G340" s="333"/>
      <c r="H340" s="333"/>
      <c r="I340" s="335"/>
      <c r="J340" s="333"/>
      <c r="K340" s="333"/>
      <c r="L340" s="333"/>
    </row>
    <row r="341" spans="1:12">
      <c r="A341" s="333" t="str">
        <f t="shared" si="7"/>
        <v/>
      </c>
      <c r="B341" s="333"/>
      <c r="C341" s="333"/>
      <c r="D341" s="333"/>
      <c r="E341" s="334"/>
      <c r="F341" s="333"/>
      <c r="G341" s="333"/>
      <c r="H341" s="333"/>
      <c r="I341" s="335"/>
      <c r="J341" s="333"/>
      <c r="K341" s="333"/>
      <c r="L341" s="333"/>
    </row>
    <row r="342" spans="1:12">
      <c r="A342" s="333" t="str">
        <f t="shared" si="7"/>
        <v/>
      </c>
      <c r="B342" s="333"/>
      <c r="C342" s="333"/>
      <c r="D342" s="333"/>
      <c r="E342" s="334"/>
      <c r="F342" s="333"/>
      <c r="G342" s="333"/>
      <c r="H342" s="333"/>
      <c r="I342" s="335"/>
      <c r="J342" s="333"/>
      <c r="K342" s="333"/>
      <c r="L342" s="333"/>
    </row>
    <row r="343" spans="1:12">
      <c r="A343" s="333" t="str">
        <f t="shared" si="7"/>
        <v/>
      </c>
      <c r="B343" s="333"/>
      <c r="C343" s="333"/>
      <c r="D343" s="333"/>
      <c r="E343" s="334"/>
      <c r="F343" s="333"/>
      <c r="G343" s="333"/>
      <c r="H343" s="333"/>
      <c r="I343" s="335"/>
      <c r="J343" s="333"/>
      <c r="K343" s="333"/>
      <c r="L343" s="333"/>
    </row>
    <row r="344" spans="1:12">
      <c r="A344" s="333" t="str">
        <f t="shared" si="7"/>
        <v/>
      </c>
      <c r="B344" s="333"/>
      <c r="C344" s="333"/>
      <c r="D344" s="333"/>
      <c r="E344" s="334"/>
      <c r="F344" s="333"/>
      <c r="G344" s="333"/>
      <c r="H344" s="333"/>
      <c r="I344" s="335"/>
      <c r="J344" s="333"/>
      <c r="K344" s="333"/>
      <c r="L344" s="333"/>
    </row>
    <row r="345" spans="1:12">
      <c r="A345" s="333" t="str">
        <f t="shared" si="7"/>
        <v/>
      </c>
      <c r="B345" s="333"/>
      <c r="C345" s="333"/>
      <c r="D345" s="333"/>
      <c r="E345" s="334"/>
      <c r="F345" s="333"/>
      <c r="G345" s="333"/>
      <c r="H345" s="333"/>
      <c r="I345" s="335"/>
      <c r="J345" s="333"/>
      <c r="K345" s="333"/>
      <c r="L345" s="333"/>
    </row>
    <row r="346" spans="1:12">
      <c r="A346" s="333" t="str">
        <f t="shared" si="7"/>
        <v/>
      </c>
      <c r="B346" s="333"/>
      <c r="C346" s="333"/>
      <c r="D346" s="333"/>
      <c r="E346" s="334"/>
      <c r="F346" s="333"/>
      <c r="G346" s="333"/>
      <c r="H346" s="333"/>
      <c r="I346" s="335"/>
      <c r="J346" s="333"/>
      <c r="K346" s="333"/>
      <c r="L346" s="333"/>
    </row>
    <row r="347" spans="1:12">
      <c r="A347" s="333" t="str">
        <f t="shared" si="7"/>
        <v/>
      </c>
      <c r="B347" s="333"/>
      <c r="C347" s="333"/>
      <c r="D347" s="333"/>
      <c r="E347" s="334"/>
      <c r="F347" s="333"/>
      <c r="G347" s="333"/>
      <c r="H347" s="333"/>
      <c r="I347" s="335"/>
      <c r="J347" s="333"/>
      <c r="K347" s="333"/>
      <c r="L347" s="333"/>
    </row>
    <row r="348" spans="1:12">
      <c r="A348" s="333" t="str">
        <f t="shared" si="7"/>
        <v/>
      </c>
      <c r="B348" s="333"/>
      <c r="C348" s="333"/>
      <c r="D348" s="333"/>
      <c r="E348" s="334"/>
      <c r="F348" s="333"/>
      <c r="G348" s="333"/>
      <c r="H348" s="333"/>
      <c r="I348" s="335"/>
      <c r="J348" s="333"/>
      <c r="K348" s="333"/>
      <c r="L348" s="333"/>
    </row>
    <row r="349" spans="1:12">
      <c r="A349" s="333" t="str">
        <f t="shared" si="7"/>
        <v/>
      </c>
      <c r="B349" s="333"/>
      <c r="C349" s="333"/>
      <c r="D349" s="333"/>
      <c r="E349" s="334"/>
      <c r="F349" s="333"/>
      <c r="G349" s="333"/>
      <c r="H349" s="333"/>
      <c r="I349" s="335"/>
      <c r="J349" s="333"/>
      <c r="K349" s="333"/>
      <c r="L349" s="333"/>
    </row>
    <row r="350" spans="1:12">
      <c r="A350" s="333" t="str">
        <f t="shared" si="7"/>
        <v/>
      </c>
      <c r="B350" s="333"/>
      <c r="C350" s="333"/>
      <c r="D350" s="333"/>
      <c r="E350" s="334"/>
      <c r="F350" s="333"/>
      <c r="G350" s="333"/>
      <c r="H350" s="333"/>
      <c r="I350" s="335"/>
      <c r="J350" s="333"/>
      <c r="K350" s="333"/>
      <c r="L350" s="333"/>
    </row>
    <row r="351" spans="1:12">
      <c r="A351" s="333" t="str">
        <f t="shared" si="7"/>
        <v/>
      </c>
      <c r="B351" s="333"/>
      <c r="C351" s="333"/>
      <c r="D351" s="333"/>
      <c r="E351" s="334"/>
      <c r="F351" s="333"/>
      <c r="G351" s="333"/>
      <c r="H351" s="333"/>
      <c r="I351" s="335"/>
      <c r="J351" s="333"/>
      <c r="K351" s="333"/>
      <c r="L351" s="333"/>
    </row>
    <row r="352" spans="1:12">
      <c r="A352" s="333" t="str">
        <f t="shared" si="7"/>
        <v/>
      </c>
      <c r="B352" s="333"/>
      <c r="C352" s="333"/>
      <c r="D352" s="333"/>
      <c r="E352" s="334"/>
      <c r="F352" s="333"/>
      <c r="G352" s="333"/>
      <c r="H352" s="333"/>
      <c r="I352" s="335"/>
      <c r="J352" s="333"/>
      <c r="K352" s="333"/>
      <c r="L352" s="333"/>
    </row>
    <row r="353" spans="1:12">
      <c r="A353" s="333" t="str">
        <f t="shared" si="7"/>
        <v/>
      </c>
      <c r="B353" s="333"/>
      <c r="C353" s="333"/>
      <c r="D353" s="333"/>
      <c r="E353" s="334"/>
      <c r="F353" s="333"/>
      <c r="G353" s="333"/>
      <c r="H353" s="333"/>
      <c r="I353" s="335"/>
      <c r="J353" s="333"/>
      <c r="K353" s="333"/>
      <c r="L353" s="333"/>
    </row>
    <row r="354" spans="1:12">
      <c r="A354" s="333" t="str">
        <f t="shared" si="7"/>
        <v/>
      </c>
      <c r="B354" s="333"/>
      <c r="C354" s="333"/>
      <c r="D354" s="333"/>
      <c r="E354" s="334"/>
      <c r="F354" s="333"/>
      <c r="G354" s="333"/>
      <c r="H354" s="333"/>
      <c r="I354" s="335"/>
      <c r="J354" s="333"/>
      <c r="K354" s="333"/>
      <c r="L354" s="333"/>
    </row>
    <row r="355" spans="1:12">
      <c r="A355" s="333" t="str">
        <f t="shared" si="7"/>
        <v/>
      </c>
      <c r="B355" s="333"/>
      <c r="C355" s="333"/>
      <c r="D355" s="333"/>
      <c r="E355" s="334"/>
      <c r="F355" s="333"/>
      <c r="G355" s="333"/>
      <c r="H355" s="333"/>
      <c r="I355" s="335"/>
      <c r="J355" s="333"/>
      <c r="K355" s="333"/>
      <c r="L355" s="333"/>
    </row>
    <row r="356" spans="1:12">
      <c r="A356" s="333" t="str">
        <f t="shared" si="7"/>
        <v/>
      </c>
      <c r="B356" s="333"/>
      <c r="C356" s="333"/>
      <c r="D356" s="333"/>
      <c r="E356" s="334"/>
      <c r="F356" s="333"/>
      <c r="G356" s="333"/>
      <c r="H356" s="333"/>
      <c r="I356" s="335"/>
      <c r="J356" s="333"/>
      <c r="K356" s="333"/>
      <c r="L356" s="333"/>
    </row>
    <row r="357" spans="1:12">
      <c r="A357" s="333" t="str">
        <f t="shared" si="7"/>
        <v/>
      </c>
      <c r="B357" s="333"/>
      <c r="C357" s="333"/>
      <c r="D357" s="333"/>
      <c r="E357" s="334"/>
      <c r="F357" s="333"/>
      <c r="G357" s="333"/>
      <c r="H357" s="333"/>
      <c r="I357" s="335"/>
      <c r="J357" s="333"/>
      <c r="K357" s="333"/>
      <c r="L357" s="333"/>
    </row>
    <row r="358" spans="1:12">
      <c r="A358" s="333" t="str">
        <f t="shared" si="7"/>
        <v/>
      </c>
      <c r="B358" s="333"/>
      <c r="C358" s="333"/>
      <c r="D358" s="333"/>
      <c r="E358" s="334"/>
      <c r="F358" s="333"/>
      <c r="G358" s="333"/>
      <c r="H358" s="333"/>
      <c r="I358" s="335"/>
      <c r="J358" s="333"/>
      <c r="K358" s="333"/>
      <c r="L358" s="333"/>
    </row>
    <row r="359" spans="1:12">
      <c r="A359" s="333" t="str">
        <f t="shared" si="7"/>
        <v/>
      </c>
      <c r="B359" s="333"/>
      <c r="C359" s="333"/>
      <c r="D359" s="333"/>
      <c r="E359" s="334"/>
      <c r="F359" s="333"/>
      <c r="G359" s="333"/>
      <c r="H359" s="333"/>
      <c r="I359" s="335"/>
      <c r="J359" s="333"/>
      <c r="K359" s="333"/>
      <c r="L359" s="333"/>
    </row>
    <row r="360" spans="1:12">
      <c r="A360" s="333" t="str">
        <f t="shared" si="7"/>
        <v/>
      </c>
      <c r="B360" s="333"/>
      <c r="C360" s="333"/>
      <c r="D360" s="333"/>
      <c r="E360" s="334"/>
      <c r="F360" s="333"/>
      <c r="G360" s="333"/>
      <c r="H360" s="333"/>
      <c r="I360" s="335"/>
      <c r="J360" s="333"/>
      <c r="K360" s="333"/>
      <c r="L360" s="333"/>
    </row>
    <row r="361" spans="1:12">
      <c r="A361" s="333" t="str">
        <f t="shared" si="7"/>
        <v/>
      </c>
      <c r="B361" s="333"/>
      <c r="C361" s="333"/>
      <c r="D361" s="333"/>
      <c r="E361" s="334"/>
      <c r="F361" s="333"/>
      <c r="G361" s="333"/>
      <c r="H361" s="333"/>
      <c r="I361" s="335"/>
      <c r="J361" s="333"/>
      <c r="K361" s="333"/>
      <c r="L361" s="333"/>
    </row>
    <row r="362" spans="1:12">
      <c r="A362" s="333" t="str">
        <f t="shared" si="7"/>
        <v/>
      </c>
      <c r="B362" s="333"/>
      <c r="C362" s="333"/>
      <c r="D362" s="333"/>
      <c r="E362" s="334"/>
      <c r="F362" s="333"/>
      <c r="G362" s="333"/>
      <c r="H362" s="333"/>
      <c r="I362" s="335"/>
      <c r="J362" s="333"/>
      <c r="K362" s="333"/>
      <c r="L362" s="333"/>
    </row>
    <row r="363" spans="1:12">
      <c r="A363" s="333" t="str">
        <f t="shared" si="7"/>
        <v/>
      </c>
      <c r="B363" s="333"/>
      <c r="C363" s="333"/>
      <c r="D363" s="333"/>
      <c r="E363" s="334"/>
      <c r="F363" s="333"/>
      <c r="G363" s="333"/>
      <c r="H363" s="333"/>
      <c r="I363" s="335"/>
      <c r="J363" s="333"/>
      <c r="K363" s="333"/>
      <c r="L363" s="333"/>
    </row>
    <row r="364" spans="1:12">
      <c r="A364" s="333" t="str">
        <f t="shared" si="7"/>
        <v/>
      </c>
      <c r="B364" s="333"/>
      <c r="C364" s="333"/>
      <c r="D364" s="333"/>
      <c r="E364" s="334"/>
      <c r="F364" s="333"/>
      <c r="G364" s="333"/>
      <c r="H364" s="333"/>
      <c r="I364" s="335"/>
      <c r="J364" s="333"/>
      <c r="K364" s="333"/>
      <c r="L364" s="333"/>
    </row>
    <row r="365" spans="1:12">
      <c r="A365" s="333" t="str">
        <f t="shared" si="7"/>
        <v/>
      </c>
      <c r="B365" s="333"/>
      <c r="C365" s="333"/>
      <c r="D365" s="333"/>
      <c r="E365" s="334"/>
      <c r="F365" s="333"/>
      <c r="G365" s="333"/>
      <c r="H365" s="333"/>
      <c r="I365" s="335"/>
      <c r="J365" s="333"/>
      <c r="K365" s="333"/>
      <c r="L365" s="333"/>
    </row>
    <row r="366" spans="1:12">
      <c r="A366" s="333" t="str">
        <f t="shared" ref="A366:A397" si="8">IF(OR(B366&lt;&gt;"",C366&lt;&gt;""),"MB-"&amp;TEXT(ROW()-269,"0000"),"")</f>
        <v/>
      </c>
      <c r="B366" s="333"/>
      <c r="C366" s="333"/>
      <c r="D366" s="333"/>
      <c r="E366" s="334"/>
      <c r="F366" s="333"/>
      <c r="G366" s="333"/>
      <c r="H366" s="333"/>
      <c r="I366" s="335"/>
      <c r="J366" s="333"/>
      <c r="K366" s="333"/>
      <c r="L366" s="333"/>
    </row>
    <row r="367" spans="1:12">
      <c r="A367" s="333" t="str">
        <f t="shared" si="8"/>
        <v/>
      </c>
      <c r="B367" s="333"/>
      <c r="C367" s="333"/>
      <c r="D367" s="333"/>
      <c r="E367" s="334"/>
      <c r="F367" s="333"/>
      <c r="G367" s="333"/>
      <c r="H367" s="333"/>
      <c r="I367" s="335"/>
      <c r="J367" s="333"/>
      <c r="K367" s="333"/>
      <c r="L367" s="333"/>
    </row>
    <row r="368" spans="1:12">
      <c r="A368" s="333" t="str">
        <f t="shared" si="8"/>
        <v/>
      </c>
      <c r="B368" s="333"/>
      <c r="C368" s="333"/>
      <c r="D368" s="333"/>
      <c r="E368" s="334"/>
      <c r="F368" s="333"/>
      <c r="G368" s="333"/>
      <c r="H368" s="333"/>
      <c r="I368" s="335"/>
      <c r="J368" s="333"/>
      <c r="K368" s="333"/>
      <c r="L368" s="333"/>
    </row>
    <row r="369" spans="1:12">
      <c r="A369" s="333" t="str">
        <f t="shared" si="8"/>
        <v/>
      </c>
      <c r="B369" s="333"/>
      <c r="C369" s="333"/>
      <c r="D369" s="333"/>
      <c r="E369" s="334"/>
      <c r="F369" s="333"/>
      <c r="G369" s="333"/>
      <c r="H369" s="333"/>
      <c r="I369" s="335"/>
      <c r="J369" s="333"/>
      <c r="K369" s="333"/>
      <c r="L369" s="333"/>
    </row>
    <row r="370" spans="1:12">
      <c r="A370" s="333" t="str">
        <f t="shared" si="8"/>
        <v/>
      </c>
      <c r="B370" s="333"/>
      <c r="C370" s="333"/>
      <c r="D370" s="333"/>
      <c r="E370" s="334"/>
      <c r="F370" s="333"/>
      <c r="G370" s="333"/>
      <c r="H370" s="333"/>
      <c r="I370" s="335"/>
      <c r="J370" s="333"/>
      <c r="K370" s="333"/>
      <c r="L370" s="333"/>
    </row>
    <row r="371" spans="1:12">
      <c r="A371" s="333" t="str">
        <f t="shared" si="8"/>
        <v/>
      </c>
      <c r="B371" s="333"/>
      <c r="C371" s="333"/>
      <c r="D371" s="333"/>
      <c r="E371" s="334"/>
      <c r="F371" s="333"/>
      <c r="G371" s="333"/>
      <c r="H371" s="333"/>
      <c r="I371" s="335"/>
      <c r="J371" s="333"/>
      <c r="K371" s="333"/>
      <c r="L371" s="333"/>
    </row>
    <row r="372" spans="1:12">
      <c r="A372" s="333" t="str">
        <f t="shared" si="8"/>
        <v/>
      </c>
      <c r="B372" s="333"/>
      <c r="C372" s="333"/>
      <c r="D372" s="333"/>
      <c r="E372" s="334"/>
      <c r="F372" s="333"/>
      <c r="G372" s="333"/>
      <c r="H372" s="333"/>
      <c r="I372" s="335"/>
      <c r="J372" s="333"/>
      <c r="K372" s="333"/>
      <c r="L372" s="333"/>
    </row>
    <row r="373" spans="1:12">
      <c r="A373" s="333" t="str">
        <f t="shared" si="8"/>
        <v/>
      </c>
      <c r="B373" s="333"/>
      <c r="C373" s="333"/>
      <c r="D373" s="333"/>
      <c r="E373" s="334"/>
      <c r="F373" s="333"/>
      <c r="G373" s="333"/>
      <c r="H373" s="333"/>
      <c r="I373" s="335"/>
      <c r="J373" s="333"/>
      <c r="K373" s="333"/>
      <c r="L373" s="333"/>
    </row>
    <row r="374" spans="1:12">
      <c r="A374" s="333" t="str">
        <f t="shared" si="8"/>
        <v/>
      </c>
      <c r="B374" s="333"/>
      <c r="C374" s="333"/>
      <c r="D374" s="333"/>
      <c r="E374" s="334"/>
      <c r="F374" s="333"/>
      <c r="G374" s="333"/>
      <c r="H374" s="333"/>
      <c r="I374" s="335"/>
      <c r="J374" s="333"/>
      <c r="K374" s="333"/>
      <c r="L374" s="333"/>
    </row>
    <row r="375" spans="1:12">
      <c r="A375" s="333" t="str">
        <f t="shared" si="8"/>
        <v/>
      </c>
      <c r="B375" s="333"/>
      <c r="C375" s="333"/>
      <c r="D375" s="333"/>
      <c r="E375" s="334"/>
      <c r="F375" s="333"/>
      <c r="G375" s="333"/>
      <c r="H375" s="333"/>
      <c r="I375" s="335"/>
      <c r="J375" s="333"/>
      <c r="K375" s="333"/>
      <c r="L375" s="333"/>
    </row>
    <row r="376" spans="1:12">
      <c r="A376" s="333" t="str">
        <f t="shared" si="8"/>
        <v/>
      </c>
      <c r="B376" s="333"/>
      <c r="C376" s="333"/>
      <c r="D376" s="333"/>
      <c r="E376" s="334"/>
      <c r="F376" s="333"/>
      <c r="G376" s="333"/>
      <c r="H376" s="333"/>
      <c r="I376" s="335"/>
      <c r="J376" s="333"/>
      <c r="K376" s="333"/>
      <c r="L376" s="333"/>
    </row>
    <row r="377" spans="1:12">
      <c r="A377" s="333" t="str">
        <f t="shared" si="8"/>
        <v/>
      </c>
      <c r="B377" s="333"/>
      <c r="C377" s="333"/>
      <c r="D377" s="333"/>
      <c r="E377" s="334"/>
      <c r="F377" s="333"/>
      <c r="G377" s="333"/>
      <c r="H377" s="333"/>
      <c r="I377" s="335"/>
      <c r="J377" s="333"/>
      <c r="K377" s="333"/>
      <c r="L377" s="333"/>
    </row>
    <row r="378" spans="1:12">
      <c r="A378" s="333" t="str">
        <f t="shared" si="8"/>
        <v/>
      </c>
      <c r="B378" s="333"/>
      <c r="C378" s="333"/>
      <c r="D378" s="333"/>
      <c r="E378" s="334"/>
      <c r="F378" s="333"/>
      <c r="G378" s="333"/>
      <c r="H378" s="333"/>
      <c r="I378" s="335"/>
      <c r="J378" s="333"/>
      <c r="K378" s="333"/>
      <c r="L378" s="333"/>
    </row>
    <row r="379" spans="1:12">
      <c r="A379" s="333" t="str">
        <f t="shared" si="8"/>
        <v/>
      </c>
      <c r="B379" s="333"/>
      <c r="C379" s="333"/>
      <c r="D379" s="333"/>
      <c r="E379" s="334"/>
      <c r="F379" s="333"/>
      <c r="G379" s="333"/>
      <c r="H379" s="333"/>
      <c r="I379" s="335"/>
      <c r="J379" s="333"/>
      <c r="K379" s="333"/>
      <c r="L379" s="333"/>
    </row>
    <row r="380" spans="1:12">
      <c r="A380" s="333" t="str">
        <f t="shared" si="8"/>
        <v/>
      </c>
      <c r="B380" s="333"/>
      <c r="C380" s="333"/>
      <c r="D380" s="333"/>
      <c r="E380" s="334"/>
      <c r="F380" s="333"/>
      <c r="G380" s="333"/>
      <c r="H380" s="333"/>
      <c r="I380" s="335"/>
      <c r="J380" s="333"/>
      <c r="K380" s="333"/>
      <c r="L380" s="333"/>
    </row>
    <row r="381" spans="1:12">
      <c r="A381" s="333" t="str">
        <f t="shared" si="8"/>
        <v/>
      </c>
      <c r="B381" s="333"/>
      <c r="C381" s="333"/>
      <c r="D381" s="333"/>
      <c r="E381" s="334"/>
      <c r="F381" s="333"/>
      <c r="G381" s="333"/>
      <c r="H381" s="333"/>
      <c r="I381" s="335"/>
      <c r="J381" s="333"/>
      <c r="K381" s="333"/>
      <c r="L381" s="333"/>
    </row>
    <row r="382" spans="1:12">
      <c r="A382" s="333" t="str">
        <f t="shared" si="8"/>
        <v/>
      </c>
      <c r="B382" s="333"/>
      <c r="C382" s="333"/>
      <c r="D382" s="333"/>
      <c r="E382" s="334"/>
      <c r="F382" s="333"/>
      <c r="G382" s="333"/>
      <c r="H382" s="333"/>
      <c r="I382" s="335"/>
      <c r="J382" s="333"/>
      <c r="K382" s="333"/>
      <c r="L382" s="333"/>
    </row>
    <row r="383" spans="1:12">
      <c r="A383" s="333" t="str">
        <f t="shared" si="8"/>
        <v/>
      </c>
      <c r="B383" s="333"/>
      <c r="C383" s="333"/>
      <c r="D383" s="333"/>
      <c r="E383" s="334"/>
      <c r="F383" s="333"/>
      <c r="G383" s="333"/>
      <c r="H383" s="333"/>
      <c r="I383" s="335"/>
      <c r="J383" s="333"/>
      <c r="K383" s="333"/>
      <c r="L383" s="333"/>
    </row>
    <row r="384" spans="1:12">
      <c r="A384" s="333" t="str">
        <f t="shared" si="8"/>
        <v/>
      </c>
      <c r="B384" s="333"/>
      <c r="C384" s="333"/>
      <c r="D384" s="333"/>
      <c r="E384" s="334"/>
      <c r="F384" s="333"/>
      <c r="G384" s="333"/>
      <c r="H384" s="333"/>
      <c r="I384" s="335"/>
      <c r="J384" s="333"/>
      <c r="K384" s="333"/>
      <c r="L384" s="333"/>
    </row>
    <row r="385" spans="1:12">
      <c r="A385" s="333" t="str">
        <f t="shared" si="8"/>
        <v/>
      </c>
      <c r="B385" s="333"/>
      <c r="C385" s="333"/>
      <c r="D385" s="333"/>
      <c r="E385" s="334"/>
      <c r="F385" s="333"/>
      <c r="G385" s="333"/>
      <c r="H385" s="333"/>
      <c r="I385" s="335"/>
      <c r="J385" s="333"/>
      <c r="K385" s="333"/>
      <c r="L385" s="333"/>
    </row>
    <row r="386" spans="1:12">
      <c r="A386" s="333" t="str">
        <f t="shared" si="8"/>
        <v/>
      </c>
      <c r="B386" s="333"/>
      <c r="C386" s="333"/>
      <c r="D386" s="333"/>
      <c r="E386" s="334"/>
      <c r="F386" s="333"/>
      <c r="G386" s="333"/>
      <c r="H386" s="333"/>
      <c r="I386" s="335"/>
      <c r="J386" s="333"/>
      <c r="K386" s="333"/>
      <c r="L386" s="333"/>
    </row>
    <row r="387" spans="1:12">
      <c r="A387" s="333" t="str">
        <f t="shared" si="8"/>
        <v/>
      </c>
      <c r="B387" s="333"/>
      <c r="C387" s="333"/>
      <c r="D387" s="333"/>
      <c r="E387" s="334"/>
      <c r="F387" s="333"/>
      <c r="G387" s="333"/>
      <c r="H387" s="333"/>
      <c r="I387" s="335"/>
      <c r="J387" s="333"/>
      <c r="K387" s="333"/>
      <c r="L387" s="333"/>
    </row>
    <row r="388" spans="1:12">
      <c r="A388" s="333" t="str">
        <f t="shared" si="8"/>
        <v/>
      </c>
      <c r="B388" s="333"/>
      <c r="C388" s="333"/>
      <c r="D388" s="333"/>
      <c r="E388" s="334"/>
      <c r="F388" s="333"/>
      <c r="G388" s="333"/>
      <c r="H388" s="333"/>
      <c r="I388" s="335"/>
      <c r="J388" s="333"/>
      <c r="K388" s="333"/>
      <c r="L388" s="333"/>
    </row>
    <row r="389" spans="1:12">
      <c r="A389" s="333" t="str">
        <f t="shared" si="8"/>
        <v/>
      </c>
      <c r="B389" s="333"/>
      <c r="C389" s="333"/>
      <c r="D389" s="333"/>
      <c r="E389" s="334"/>
      <c r="F389" s="333"/>
      <c r="G389" s="333"/>
      <c r="H389" s="333"/>
      <c r="I389" s="335"/>
      <c r="J389" s="333"/>
      <c r="K389" s="333"/>
      <c r="L389" s="333"/>
    </row>
    <row r="390" spans="1:12">
      <c r="A390" s="333" t="str">
        <f t="shared" si="8"/>
        <v/>
      </c>
      <c r="B390" s="333"/>
      <c r="C390" s="333"/>
      <c r="D390" s="333"/>
      <c r="E390" s="334"/>
      <c r="F390" s="333"/>
      <c r="G390" s="333"/>
      <c r="H390" s="333"/>
      <c r="I390" s="335"/>
      <c r="J390" s="333"/>
      <c r="K390" s="333"/>
      <c r="L390" s="333"/>
    </row>
    <row r="391" spans="1:12">
      <c r="A391" s="333" t="str">
        <f t="shared" si="8"/>
        <v/>
      </c>
      <c r="B391" s="333"/>
      <c r="C391" s="333"/>
      <c r="D391" s="333"/>
      <c r="E391" s="334"/>
      <c r="F391" s="333"/>
      <c r="G391" s="333"/>
      <c r="H391" s="333"/>
      <c r="I391" s="335"/>
      <c r="J391" s="333"/>
      <c r="K391" s="333"/>
      <c r="L391" s="333"/>
    </row>
    <row r="392" spans="1:12">
      <c r="A392" s="333" t="str">
        <f t="shared" si="8"/>
        <v/>
      </c>
      <c r="B392" s="333"/>
      <c r="C392" s="333"/>
      <c r="D392" s="333"/>
      <c r="E392" s="334"/>
      <c r="F392" s="333"/>
      <c r="G392" s="333"/>
      <c r="H392" s="333"/>
      <c r="I392" s="335"/>
      <c r="J392" s="333"/>
      <c r="K392" s="333"/>
      <c r="L392" s="333"/>
    </row>
    <row r="393" spans="1:12">
      <c r="A393" s="333" t="str">
        <f t="shared" si="8"/>
        <v/>
      </c>
      <c r="B393" s="333"/>
      <c r="C393" s="333"/>
      <c r="D393" s="333"/>
      <c r="E393" s="334"/>
      <c r="F393" s="333"/>
      <c r="G393" s="333"/>
      <c r="H393" s="333"/>
      <c r="I393" s="335"/>
      <c r="J393" s="333"/>
      <c r="K393" s="333"/>
      <c r="L393" s="333"/>
    </row>
    <row r="394" spans="1:12">
      <c r="A394" s="333" t="str">
        <f t="shared" si="8"/>
        <v/>
      </c>
      <c r="B394" s="333"/>
      <c r="C394" s="333"/>
      <c r="D394" s="333"/>
      <c r="E394" s="334"/>
      <c r="F394" s="333"/>
      <c r="G394" s="333"/>
      <c r="H394" s="333"/>
      <c r="I394" s="335"/>
      <c r="J394" s="333"/>
      <c r="K394" s="333"/>
      <c r="L394" s="333"/>
    </row>
    <row r="395" spans="1:12">
      <c r="A395" s="333" t="str">
        <f t="shared" si="8"/>
        <v/>
      </c>
      <c r="B395" s="333"/>
      <c r="C395" s="333"/>
      <c r="D395" s="333"/>
      <c r="E395" s="334"/>
      <c r="F395" s="333"/>
      <c r="G395" s="333"/>
      <c r="H395" s="333"/>
      <c r="I395" s="335"/>
      <c r="J395" s="333"/>
      <c r="K395" s="333"/>
      <c r="L395" s="333"/>
    </row>
    <row r="396" spans="1:12">
      <c r="A396" s="333" t="str">
        <f t="shared" si="8"/>
        <v/>
      </c>
      <c r="B396" s="333"/>
      <c r="C396" s="333"/>
      <c r="D396" s="333"/>
      <c r="E396" s="334"/>
      <c r="F396" s="333"/>
      <c r="G396" s="333"/>
      <c r="H396" s="333"/>
      <c r="I396" s="335"/>
      <c r="J396" s="333"/>
      <c r="K396" s="333"/>
      <c r="L396" s="333"/>
    </row>
    <row r="397" spans="1:12">
      <c r="A397" s="333" t="str">
        <f t="shared" si="8"/>
        <v/>
      </c>
      <c r="B397" s="333"/>
      <c r="C397" s="333"/>
      <c r="D397" s="333"/>
      <c r="E397" s="334"/>
      <c r="F397" s="333"/>
      <c r="G397" s="333"/>
      <c r="H397" s="333"/>
      <c r="I397" s="335"/>
      <c r="J397" s="333"/>
      <c r="K397" s="333"/>
      <c r="L397" s="333"/>
    </row>
    <row r="398" spans="1:12">
      <c r="A398" s="333" t="str">
        <f t="shared" ref="A398:A429" si="9">IF(OR(B398&lt;&gt;"",C398&lt;&gt;""),"MB-"&amp;TEXT(ROW()-269,"0000"),"")</f>
        <v/>
      </c>
      <c r="B398" s="333"/>
      <c r="C398" s="333"/>
      <c r="D398" s="333"/>
      <c r="E398" s="334"/>
      <c r="F398" s="333"/>
      <c r="G398" s="333"/>
      <c r="H398" s="333"/>
      <c r="I398" s="335"/>
      <c r="J398" s="333"/>
      <c r="K398" s="333"/>
      <c r="L398" s="333"/>
    </row>
    <row r="399" spans="1:12">
      <c r="A399" s="333" t="str">
        <f t="shared" si="9"/>
        <v/>
      </c>
      <c r="B399" s="333"/>
      <c r="C399" s="333"/>
      <c r="D399" s="333"/>
      <c r="E399" s="334"/>
      <c r="F399" s="333"/>
      <c r="G399" s="333"/>
      <c r="H399" s="333"/>
      <c r="I399" s="335"/>
      <c r="J399" s="333"/>
      <c r="K399" s="333"/>
      <c r="L399" s="333"/>
    </row>
    <row r="400" spans="1:12">
      <c r="A400" s="333" t="str">
        <f t="shared" si="9"/>
        <v/>
      </c>
      <c r="B400" s="333"/>
      <c r="C400" s="333"/>
      <c r="D400" s="333"/>
      <c r="E400" s="334"/>
      <c r="F400" s="333"/>
      <c r="G400" s="333"/>
      <c r="H400" s="333"/>
      <c r="I400" s="335"/>
      <c r="J400" s="333"/>
      <c r="K400" s="333"/>
      <c r="L400" s="333"/>
    </row>
    <row r="401" spans="1:12">
      <c r="A401" s="333" t="str">
        <f t="shared" si="9"/>
        <v/>
      </c>
      <c r="B401" s="333"/>
      <c r="C401" s="333"/>
      <c r="D401" s="333"/>
      <c r="E401" s="334"/>
      <c r="F401" s="333"/>
      <c r="G401" s="333"/>
      <c r="H401" s="333"/>
      <c r="I401" s="335"/>
      <c r="J401" s="333"/>
      <c r="K401" s="333"/>
      <c r="L401" s="333"/>
    </row>
    <row r="402" spans="1:12">
      <c r="A402" s="333" t="str">
        <f t="shared" si="9"/>
        <v/>
      </c>
      <c r="B402" s="333"/>
      <c r="C402" s="333"/>
      <c r="D402" s="333"/>
      <c r="E402" s="334"/>
      <c r="F402" s="333"/>
      <c r="G402" s="333"/>
      <c r="H402" s="333"/>
      <c r="I402" s="335"/>
      <c r="J402" s="333"/>
      <c r="K402" s="333"/>
      <c r="L402" s="333"/>
    </row>
    <row r="403" spans="1:12">
      <c r="A403" s="333" t="str">
        <f t="shared" si="9"/>
        <v/>
      </c>
      <c r="B403" s="333"/>
      <c r="C403" s="333"/>
      <c r="D403" s="333"/>
      <c r="E403" s="334"/>
      <c r="F403" s="333"/>
      <c r="G403" s="333"/>
      <c r="H403" s="333"/>
      <c r="I403" s="335"/>
      <c r="J403" s="333"/>
      <c r="K403" s="333"/>
      <c r="L403" s="333"/>
    </row>
    <row r="404" spans="1:12">
      <c r="A404" s="333" t="str">
        <f t="shared" si="9"/>
        <v/>
      </c>
      <c r="B404" s="333"/>
      <c r="C404" s="333"/>
      <c r="D404" s="333"/>
      <c r="E404" s="334"/>
      <c r="F404" s="333"/>
      <c r="G404" s="333"/>
      <c r="H404" s="333"/>
      <c r="I404" s="335"/>
      <c r="J404" s="333"/>
      <c r="K404" s="333"/>
      <c r="L404" s="333"/>
    </row>
    <row r="405" spans="1:12">
      <c r="A405" s="333" t="str">
        <f t="shared" si="9"/>
        <v/>
      </c>
      <c r="B405" s="333"/>
      <c r="C405" s="333"/>
      <c r="D405" s="333"/>
      <c r="E405" s="334"/>
      <c r="F405" s="333"/>
      <c r="G405" s="333"/>
      <c r="H405" s="333"/>
      <c r="I405" s="335"/>
      <c r="J405" s="333"/>
      <c r="K405" s="333"/>
      <c r="L405" s="333"/>
    </row>
    <row r="406" spans="1:12">
      <c r="A406" s="333" t="str">
        <f t="shared" si="9"/>
        <v/>
      </c>
      <c r="B406" s="333"/>
      <c r="C406" s="333"/>
      <c r="D406" s="333"/>
      <c r="E406" s="334"/>
      <c r="F406" s="333"/>
      <c r="G406" s="333"/>
      <c r="H406" s="333"/>
      <c r="I406" s="335"/>
      <c r="J406" s="333"/>
      <c r="K406" s="333"/>
      <c r="L406" s="333"/>
    </row>
    <row r="407" spans="1:12">
      <c r="A407" s="333" t="str">
        <f t="shared" si="9"/>
        <v/>
      </c>
      <c r="B407" s="333"/>
      <c r="C407" s="333"/>
      <c r="D407" s="333"/>
      <c r="E407" s="334"/>
      <c r="F407" s="333"/>
      <c r="G407" s="333"/>
      <c r="H407" s="333"/>
      <c r="I407" s="335"/>
      <c r="J407" s="333"/>
      <c r="K407" s="333"/>
      <c r="L407" s="333"/>
    </row>
    <row r="408" spans="1:12">
      <c r="A408" s="333" t="str">
        <f t="shared" si="9"/>
        <v/>
      </c>
      <c r="B408" s="333"/>
      <c r="C408" s="333"/>
      <c r="D408" s="333"/>
      <c r="E408" s="334"/>
      <c r="F408" s="333"/>
      <c r="G408" s="333"/>
      <c r="H408" s="333"/>
      <c r="I408" s="335"/>
      <c r="J408" s="333"/>
      <c r="K408" s="333"/>
      <c r="L408" s="333"/>
    </row>
    <row r="409" spans="1:12">
      <c r="A409" s="333" t="str">
        <f t="shared" si="9"/>
        <v/>
      </c>
      <c r="B409" s="333"/>
      <c r="C409" s="333"/>
      <c r="D409" s="333"/>
      <c r="E409" s="334"/>
      <c r="F409" s="333"/>
      <c r="G409" s="333"/>
      <c r="H409" s="333"/>
      <c r="I409" s="335"/>
      <c r="J409" s="333"/>
      <c r="K409" s="333"/>
      <c r="L409" s="333"/>
    </row>
    <row r="410" spans="1:12">
      <c r="A410" s="333" t="str">
        <f t="shared" si="9"/>
        <v/>
      </c>
      <c r="B410" s="333"/>
      <c r="C410" s="333"/>
      <c r="D410" s="333"/>
      <c r="E410" s="334"/>
      <c r="F410" s="333"/>
      <c r="G410" s="333"/>
      <c r="H410" s="333"/>
      <c r="I410" s="335"/>
      <c r="J410" s="333"/>
      <c r="K410" s="333"/>
      <c r="L410" s="333"/>
    </row>
    <row r="411" spans="1:12">
      <c r="A411" s="333" t="str">
        <f t="shared" si="9"/>
        <v/>
      </c>
      <c r="B411" s="333"/>
      <c r="C411" s="333"/>
      <c r="D411" s="333"/>
      <c r="E411" s="334"/>
      <c r="F411" s="333"/>
      <c r="G411" s="333"/>
      <c r="H411" s="333"/>
      <c r="I411" s="335"/>
      <c r="J411" s="333"/>
      <c r="K411" s="333"/>
      <c r="L411" s="333"/>
    </row>
    <row r="412" spans="1:12">
      <c r="A412" s="333" t="str">
        <f t="shared" si="9"/>
        <v/>
      </c>
      <c r="B412" s="333"/>
      <c r="C412" s="333"/>
      <c r="D412" s="333"/>
      <c r="E412" s="334"/>
      <c r="F412" s="333"/>
      <c r="G412" s="333"/>
      <c r="H412" s="333"/>
      <c r="I412" s="335"/>
      <c r="J412" s="333"/>
      <c r="K412" s="333"/>
      <c r="L412" s="333"/>
    </row>
    <row r="413" spans="1:12">
      <c r="A413" s="333" t="str">
        <f t="shared" si="9"/>
        <v/>
      </c>
      <c r="B413" s="333"/>
      <c r="C413" s="333"/>
      <c r="D413" s="333"/>
      <c r="E413" s="334"/>
      <c r="F413" s="333"/>
      <c r="G413" s="333"/>
      <c r="H413" s="333"/>
      <c r="I413" s="335"/>
      <c r="J413" s="333"/>
      <c r="K413" s="333"/>
      <c r="L413" s="333"/>
    </row>
    <row r="414" spans="1:12">
      <c r="A414" s="333" t="str">
        <f t="shared" si="9"/>
        <v/>
      </c>
      <c r="B414" s="333"/>
      <c r="C414" s="333"/>
      <c r="D414" s="333"/>
      <c r="E414" s="334"/>
      <c r="F414" s="333"/>
      <c r="G414" s="333"/>
      <c r="H414" s="333"/>
      <c r="I414" s="335"/>
      <c r="J414" s="333"/>
      <c r="K414" s="333"/>
      <c r="L414" s="333"/>
    </row>
    <row r="415" spans="1:12">
      <c r="A415" s="333" t="str">
        <f t="shared" si="9"/>
        <v/>
      </c>
      <c r="B415" s="333"/>
      <c r="C415" s="333"/>
      <c r="D415" s="333"/>
      <c r="E415" s="334"/>
      <c r="F415" s="333"/>
      <c r="G415" s="333"/>
      <c r="H415" s="333"/>
      <c r="I415" s="335"/>
      <c r="J415" s="333"/>
      <c r="K415" s="333"/>
      <c r="L415" s="333"/>
    </row>
    <row r="416" spans="1:12">
      <c r="A416" s="333" t="str">
        <f t="shared" si="9"/>
        <v/>
      </c>
      <c r="B416" s="333"/>
      <c r="C416" s="333"/>
      <c r="D416" s="333"/>
      <c r="E416" s="334"/>
      <c r="F416" s="333"/>
      <c r="G416" s="333"/>
      <c r="H416" s="333"/>
      <c r="I416" s="335"/>
      <c r="J416" s="333"/>
      <c r="K416" s="333"/>
      <c r="L416" s="333"/>
    </row>
    <row r="417" spans="1:12">
      <c r="A417" s="333" t="str">
        <f t="shared" si="9"/>
        <v/>
      </c>
      <c r="B417" s="333"/>
      <c r="C417" s="333"/>
      <c r="D417" s="333"/>
      <c r="E417" s="334"/>
      <c r="F417" s="333"/>
      <c r="G417" s="333"/>
      <c r="H417" s="333"/>
      <c r="I417" s="335"/>
      <c r="J417" s="333"/>
      <c r="K417" s="333"/>
      <c r="L417" s="333"/>
    </row>
    <row r="418" spans="1:12">
      <c r="A418" s="333" t="str">
        <f t="shared" si="9"/>
        <v/>
      </c>
      <c r="B418" s="333"/>
      <c r="C418" s="333"/>
      <c r="D418" s="333"/>
      <c r="E418" s="334"/>
      <c r="F418" s="333"/>
      <c r="G418" s="333"/>
      <c r="H418" s="333"/>
      <c r="I418" s="335"/>
      <c r="J418" s="333"/>
      <c r="K418" s="333"/>
      <c r="L418" s="333"/>
    </row>
    <row r="419" spans="1:12">
      <c r="A419" s="333" t="str">
        <f t="shared" si="9"/>
        <v/>
      </c>
      <c r="B419" s="333"/>
      <c r="C419" s="333"/>
      <c r="D419" s="333"/>
      <c r="E419" s="334"/>
      <c r="F419" s="333"/>
      <c r="G419" s="333"/>
      <c r="H419" s="333"/>
      <c r="I419" s="335"/>
      <c r="J419" s="333"/>
      <c r="K419" s="333"/>
      <c r="L419" s="333"/>
    </row>
    <row r="420" spans="1:12">
      <c r="A420" s="333" t="str">
        <f t="shared" si="9"/>
        <v/>
      </c>
      <c r="B420" s="333"/>
      <c r="C420" s="333"/>
      <c r="D420" s="333"/>
      <c r="E420" s="334"/>
      <c r="F420" s="333"/>
      <c r="G420" s="333"/>
      <c r="H420" s="333"/>
      <c r="I420" s="335"/>
      <c r="J420" s="333"/>
      <c r="K420" s="333"/>
      <c r="L420" s="333"/>
    </row>
    <row r="421" spans="1:12">
      <c r="A421" s="333" t="str">
        <f t="shared" si="9"/>
        <v/>
      </c>
      <c r="B421" s="333"/>
      <c r="C421" s="333"/>
      <c r="D421" s="333"/>
      <c r="E421" s="334"/>
      <c r="F421" s="333"/>
      <c r="G421" s="333"/>
      <c r="H421" s="333"/>
      <c r="I421" s="335"/>
      <c r="J421" s="333"/>
      <c r="K421" s="333"/>
      <c r="L421" s="333"/>
    </row>
    <row r="422" spans="1:12">
      <c r="A422" s="333" t="str">
        <f t="shared" si="9"/>
        <v/>
      </c>
      <c r="B422" s="333"/>
      <c r="C422" s="333"/>
      <c r="D422" s="333"/>
      <c r="E422" s="334"/>
      <c r="F422" s="333"/>
      <c r="G422" s="333"/>
      <c r="H422" s="333"/>
      <c r="I422" s="335"/>
      <c r="J422" s="333"/>
      <c r="K422" s="333"/>
      <c r="L422" s="333"/>
    </row>
    <row r="423" spans="1:12">
      <c r="A423" s="333" t="str">
        <f t="shared" si="9"/>
        <v/>
      </c>
      <c r="B423" s="333"/>
      <c r="C423" s="333"/>
      <c r="D423" s="333"/>
      <c r="E423" s="334"/>
      <c r="F423" s="333"/>
      <c r="G423" s="333"/>
      <c r="H423" s="333"/>
      <c r="I423" s="335"/>
      <c r="J423" s="333"/>
      <c r="K423" s="333"/>
      <c r="L423" s="333"/>
    </row>
    <row r="424" spans="1:12">
      <c r="A424" s="333" t="str">
        <f t="shared" si="9"/>
        <v/>
      </c>
      <c r="B424" s="333"/>
      <c r="C424" s="333"/>
      <c r="D424" s="333"/>
      <c r="E424" s="334"/>
      <c r="F424" s="333"/>
      <c r="G424" s="333"/>
      <c r="H424" s="333"/>
      <c r="I424" s="335"/>
      <c r="J424" s="333"/>
      <c r="K424" s="333"/>
      <c r="L424" s="333"/>
    </row>
    <row r="425" spans="1:12">
      <c r="A425" s="333" t="str">
        <f t="shared" si="9"/>
        <v/>
      </c>
      <c r="B425" s="333"/>
      <c r="C425" s="333"/>
      <c r="D425" s="333"/>
      <c r="E425" s="334"/>
      <c r="F425" s="333"/>
      <c r="G425" s="333"/>
      <c r="H425" s="333"/>
      <c r="I425" s="335"/>
      <c r="J425" s="333"/>
      <c r="K425" s="333"/>
      <c r="L425" s="333"/>
    </row>
    <row r="426" spans="1:12">
      <c r="A426" s="333" t="str">
        <f t="shared" si="9"/>
        <v/>
      </c>
      <c r="B426" s="333"/>
      <c r="C426" s="333"/>
      <c r="D426" s="333"/>
      <c r="E426" s="334"/>
      <c r="F426" s="333"/>
      <c r="G426" s="333"/>
      <c r="H426" s="333"/>
      <c r="I426" s="335"/>
      <c r="J426" s="333"/>
      <c r="K426" s="333"/>
      <c r="L426" s="333"/>
    </row>
    <row r="427" spans="1:12">
      <c r="A427" s="333" t="str">
        <f t="shared" si="9"/>
        <v/>
      </c>
      <c r="B427" s="333"/>
      <c r="C427" s="333"/>
      <c r="D427" s="333"/>
      <c r="E427" s="334"/>
      <c r="F427" s="333"/>
      <c r="G427" s="333"/>
      <c r="H427" s="333"/>
      <c r="I427" s="335"/>
      <c r="J427" s="333"/>
      <c r="K427" s="333"/>
      <c r="L427" s="333"/>
    </row>
    <row r="428" spans="1:12">
      <c r="A428" s="333" t="str">
        <f t="shared" si="9"/>
        <v/>
      </c>
      <c r="B428" s="333"/>
      <c r="C428" s="333"/>
      <c r="D428" s="333"/>
      <c r="E428" s="334"/>
      <c r="F428" s="333"/>
      <c r="G428" s="333"/>
      <c r="H428" s="333"/>
      <c r="I428" s="335"/>
      <c r="J428" s="333"/>
      <c r="K428" s="333"/>
      <c r="L428" s="333"/>
    </row>
    <row r="429" spans="1:12">
      <c r="A429" s="333" t="str">
        <f t="shared" si="9"/>
        <v/>
      </c>
      <c r="B429" s="333"/>
      <c r="C429" s="333"/>
      <c r="D429" s="333"/>
      <c r="E429" s="334"/>
      <c r="F429" s="333"/>
      <c r="G429" s="333"/>
      <c r="H429" s="333"/>
      <c r="I429" s="335"/>
      <c r="J429" s="333"/>
      <c r="K429" s="333"/>
      <c r="L429" s="333"/>
    </row>
    <row r="430" spans="1:12">
      <c r="A430" s="333" t="str">
        <f t="shared" ref="A430:A461" si="10">IF(OR(B430&lt;&gt;"",C430&lt;&gt;""),"MB-"&amp;TEXT(ROW()-269,"0000"),"")</f>
        <v/>
      </c>
      <c r="B430" s="333"/>
      <c r="C430" s="333"/>
      <c r="D430" s="333"/>
      <c r="E430" s="334"/>
      <c r="F430" s="333"/>
      <c r="G430" s="333"/>
      <c r="H430" s="333"/>
      <c r="I430" s="335"/>
      <c r="J430" s="333"/>
      <c r="K430" s="333"/>
      <c r="L430" s="333"/>
    </row>
    <row r="431" spans="1:12">
      <c r="A431" s="333" t="str">
        <f t="shared" si="10"/>
        <v/>
      </c>
      <c r="B431" s="333"/>
      <c r="C431" s="333"/>
      <c r="D431" s="333"/>
      <c r="E431" s="334"/>
      <c r="F431" s="333"/>
      <c r="G431" s="333"/>
      <c r="H431" s="333"/>
      <c r="I431" s="335"/>
      <c r="J431" s="333"/>
      <c r="K431" s="333"/>
      <c r="L431" s="333"/>
    </row>
    <row r="432" spans="1:12">
      <c r="A432" s="333" t="str">
        <f t="shared" si="10"/>
        <v/>
      </c>
      <c r="B432" s="333"/>
      <c r="C432" s="333"/>
      <c r="D432" s="333"/>
      <c r="E432" s="334"/>
      <c r="F432" s="333"/>
      <c r="G432" s="333"/>
      <c r="H432" s="333"/>
      <c r="I432" s="335"/>
      <c r="J432" s="333"/>
      <c r="K432" s="333"/>
      <c r="L432" s="333"/>
    </row>
    <row r="433" spans="1:12">
      <c r="A433" s="333" t="str">
        <f t="shared" si="10"/>
        <v/>
      </c>
      <c r="B433" s="333"/>
      <c r="C433" s="333"/>
      <c r="D433" s="333"/>
      <c r="E433" s="334"/>
      <c r="F433" s="333"/>
      <c r="G433" s="333"/>
      <c r="H433" s="333"/>
      <c r="I433" s="335"/>
      <c r="J433" s="333"/>
      <c r="K433" s="333"/>
      <c r="L433" s="333"/>
    </row>
    <row r="434" spans="1:12">
      <c r="A434" s="333" t="str">
        <f t="shared" si="10"/>
        <v/>
      </c>
      <c r="B434" s="333"/>
      <c r="C434" s="333"/>
      <c r="D434" s="333"/>
      <c r="E434" s="334"/>
      <c r="F434" s="333"/>
      <c r="G434" s="333"/>
      <c r="H434" s="333"/>
      <c r="I434" s="335"/>
      <c r="J434" s="333"/>
      <c r="K434" s="333"/>
      <c r="L434" s="333"/>
    </row>
    <row r="435" spans="1:12">
      <c r="A435" s="333" t="str">
        <f t="shared" si="10"/>
        <v/>
      </c>
      <c r="B435" s="333"/>
      <c r="C435" s="333"/>
      <c r="D435" s="333"/>
      <c r="E435" s="334"/>
      <c r="F435" s="333"/>
      <c r="G435" s="333"/>
      <c r="H435" s="333"/>
      <c r="I435" s="335"/>
      <c r="J435" s="333"/>
      <c r="K435" s="333"/>
      <c r="L435" s="333"/>
    </row>
    <row r="436" spans="1:12">
      <c r="A436" s="333" t="str">
        <f t="shared" si="10"/>
        <v/>
      </c>
      <c r="B436" s="333"/>
      <c r="C436" s="333"/>
      <c r="D436" s="333"/>
      <c r="E436" s="334"/>
      <c r="F436" s="333"/>
      <c r="G436" s="333"/>
      <c r="H436" s="333"/>
      <c r="I436" s="335"/>
      <c r="J436" s="333"/>
      <c r="K436" s="333"/>
      <c r="L436" s="333"/>
    </row>
    <row r="437" spans="1:12">
      <c r="A437" s="333" t="str">
        <f t="shared" si="10"/>
        <v/>
      </c>
      <c r="B437" s="333"/>
      <c r="C437" s="333"/>
      <c r="D437" s="333"/>
      <c r="E437" s="334"/>
      <c r="F437" s="333"/>
      <c r="G437" s="333"/>
      <c r="H437" s="333"/>
      <c r="I437" s="335"/>
      <c r="J437" s="333"/>
      <c r="K437" s="333"/>
      <c r="L437" s="333"/>
    </row>
    <row r="438" spans="1:12">
      <c r="A438" s="333" t="str">
        <f t="shared" si="10"/>
        <v/>
      </c>
      <c r="B438" s="333"/>
      <c r="C438" s="333"/>
      <c r="D438" s="333"/>
      <c r="E438" s="334"/>
      <c r="F438" s="333"/>
      <c r="G438" s="333"/>
      <c r="H438" s="333"/>
      <c r="I438" s="335"/>
      <c r="J438" s="333"/>
      <c r="K438" s="333"/>
      <c r="L438" s="333"/>
    </row>
    <row r="439" spans="1:12">
      <c r="A439" s="333" t="str">
        <f t="shared" si="10"/>
        <v/>
      </c>
      <c r="B439" s="333"/>
      <c r="C439" s="333"/>
      <c r="D439" s="333"/>
      <c r="E439" s="334"/>
      <c r="F439" s="333"/>
      <c r="G439" s="333"/>
      <c r="H439" s="333"/>
      <c r="I439" s="335"/>
      <c r="J439" s="333"/>
      <c r="K439" s="333"/>
      <c r="L439" s="333"/>
    </row>
    <row r="440" spans="1:12">
      <c r="A440" s="333" t="str">
        <f t="shared" si="10"/>
        <v/>
      </c>
      <c r="B440" s="333"/>
      <c r="C440" s="333"/>
      <c r="D440" s="333"/>
      <c r="E440" s="334"/>
      <c r="F440" s="333"/>
      <c r="G440" s="333"/>
      <c r="H440" s="333"/>
      <c r="I440" s="335"/>
      <c r="J440" s="333"/>
      <c r="K440" s="333"/>
      <c r="L440" s="333"/>
    </row>
    <row r="441" spans="1:12">
      <c r="A441" s="333" t="str">
        <f t="shared" si="10"/>
        <v/>
      </c>
      <c r="B441" s="333"/>
      <c r="C441" s="333"/>
      <c r="D441" s="333"/>
      <c r="E441" s="334"/>
      <c r="F441" s="333"/>
      <c r="G441" s="333"/>
      <c r="H441" s="333"/>
      <c r="I441" s="335"/>
      <c r="J441" s="333"/>
      <c r="K441" s="333"/>
      <c r="L441" s="333"/>
    </row>
    <row r="442" spans="1:12">
      <c r="A442" s="333" t="str">
        <f t="shared" si="10"/>
        <v/>
      </c>
      <c r="B442" s="333"/>
      <c r="C442" s="333"/>
      <c r="D442" s="333"/>
      <c r="E442" s="334"/>
      <c r="F442" s="333"/>
      <c r="G442" s="333"/>
      <c r="H442" s="333"/>
      <c r="I442" s="335"/>
      <c r="J442" s="333"/>
      <c r="K442" s="333"/>
      <c r="L442" s="333"/>
    </row>
    <row r="443" spans="1:12">
      <c r="A443" s="333" t="str">
        <f t="shared" si="10"/>
        <v/>
      </c>
      <c r="B443" s="333"/>
      <c r="C443" s="333"/>
      <c r="D443" s="333"/>
      <c r="E443" s="334"/>
      <c r="F443" s="333"/>
      <c r="G443" s="333"/>
      <c r="H443" s="333"/>
      <c r="I443" s="335"/>
      <c r="J443" s="333"/>
      <c r="K443" s="333"/>
      <c r="L443" s="333"/>
    </row>
    <row r="444" spans="1:12">
      <c r="A444" s="333" t="str">
        <f t="shared" si="10"/>
        <v/>
      </c>
      <c r="B444" s="333"/>
      <c r="C444" s="333"/>
      <c r="D444" s="333"/>
      <c r="E444" s="334"/>
      <c r="F444" s="333"/>
      <c r="G444" s="333"/>
      <c r="H444" s="333"/>
      <c r="I444" s="335"/>
      <c r="J444" s="333"/>
      <c r="K444" s="333"/>
      <c r="L444" s="333"/>
    </row>
    <row r="445" spans="1:12">
      <c r="A445" s="333" t="str">
        <f t="shared" si="10"/>
        <v/>
      </c>
      <c r="B445" s="333"/>
      <c r="C445" s="333"/>
      <c r="D445" s="333"/>
      <c r="E445" s="334"/>
      <c r="F445" s="333"/>
      <c r="G445" s="333"/>
      <c r="H445" s="333"/>
      <c r="I445" s="335"/>
      <c r="J445" s="333"/>
      <c r="K445" s="333"/>
      <c r="L445" s="333"/>
    </row>
    <row r="446" spans="1:12">
      <c r="A446" s="333" t="str">
        <f t="shared" si="10"/>
        <v/>
      </c>
      <c r="B446" s="333"/>
      <c r="C446" s="333"/>
      <c r="D446" s="333"/>
      <c r="E446" s="334"/>
      <c r="F446" s="333"/>
      <c r="G446" s="333"/>
      <c r="H446" s="333"/>
      <c r="I446" s="335"/>
      <c r="J446" s="333"/>
      <c r="K446" s="333"/>
      <c r="L446" s="333"/>
    </row>
    <row r="447" spans="1:12">
      <c r="A447" s="333" t="str">
        <f t="shared" si="10"/>
        <v/>
      </c>
      <c r="B447" s="333"/>
      <c r="C447" s="333"/>
      <c r="D447" s="333"/>
      <c r="E447" s="334"/>
      <c r="F447" s="333"/>
      <c r="G447" s="333"/>
      <c r="H447" s="333"/>
      <c r="I447" s="335"/>
      <c r="J447" s="333"/>
      <c r="K447" s="333"/>
      <c r="L447" s="333"/>
    </row>
    <row r="448" spans="1:12">
      <c r="A448" s="333" t="str">
        <f t="shared" si="10"/>
        <v/>
      </c>
      <c r="B448" s="333"/>
      <c r="C448" s="333"/>
      <c r="D448" s="333"/>
      <c r="E448" s="334"/>
      <c r="F448" s="333"/>
      <c r="G448" s="333"/>
      <c r="H448" s="333"/>
      <c r="I448" s="335"/>
      <c r="J448" s="333"/>
      <c r="K448" s="333"/>
      <c r="L448" s="333"/>
    </row>
    <row r="449" spans="1:12">
      <c r="A449" s="333" t="str">
        <f t="shared" si="10"/>
        <v/>
      </c>
      <c r="B449" s="333"/>
      <c r="C449" s="333"/>
      <c r="D449" s="333"/>
      <c r="E449" s="334"/>
      <c r="F449" s="333"/>
      <c r="G449" s="333"/>
      <c r="H449" s="333"/>
      <c r="I449" s="335"/>
      <c r="J449" s="333"/>
      <c r="K449" s="333"/>
      <c r="L449" s="333"/>
    </row>
    <row r="450" spans="1:12">
      <c r="A450" s="333" t="str">
        <f t="shared" si="10"/>
        <v/>
      </c>
      <c r="B450" s="333"/>
      <c r="C450" s="333"/>
      <c r="D450" s="333"/>
      <c r="E450" s="334"/>
      <c r="F450" s="333"/>
      <c r="G450" s="333"/>
      <c r="H450" s="333"/>
      <c r="I450" s="335"/>
      <c r="J450" s="333"/>
      <c r="K450" s="333"/>
      <c r="L450" s="333"/>
    </row>
    <row r="451" spans="1:12">
      <c r="A451" s="333" t="str">
        <f t="shared" si="10"/>
        <v/>
      </c>
      <c r="B451" s="333"/>
      <c r="C451" s="333"/>
      <c r="D451" s="333"/>
      <c r="E451" s="334"/>
      <c r="F451" s="333"/>
      <c r="G451" s="333"/>
      <c r="H451" s="333"/>
      <c r="I451" s="335"/>
      <c r="J451" s="333"/>
      <c r="K451" s="333"/>
      <c r="L451" s="333"/>
    </row>
    <row r="452" spans="1:12">
      <c r="A452" s="333" t="str">
        <f t="shared" si="10"/>
        <v/>
      </c>
      <c r="B452" s="333"/>
      <c r="C452" s="333"/>
      <c r="D452" s="333"/>
      <c r="E452" s="334"/>
      <c r="F452" s="333"/>
      <c r="G452" s="333"/>
      <c r="H452" s="333"/>
      <c r="I452" s="335"/>
      <c r="J452" s="333"/>
      <c r="K452" s="333"/>
      <c r="L452" s="333"/>
    </row>
    <row r="453" spans="1:12">
      <c r="A453" s="333" t="str">
        <f t="shared" si="10"/>
        <v/>
      </c>
      <c r="B453" s="333"/>
      <c r="C453" s="333"/>
      <c r="D453" s="333"/>
      <c r="E453" s="334"/>
      <c r="F453" s="333"/>
      <c r="G453" s="333"/>
      <c r="H453" s="333"/>
      <c r="I453" s="335"/>
      <c r="J453" s="333"/>
      <c r="K453" s="333"/>
      <c r="L453" s="333"/>
    </row>
    <row r="454" spans="1:12">
      <c r="A454" s="333" t="str">
        <f t="shared" si="10"/>
        <v/>
      </c>
      <c r="B454" s="333"/>
      <c r="C454" s="333"/>
      <c r="D454" s="333"/>
      <c r="E454" s="334"/>
      <c r="F454" s="333"/>
      <c r="G454" s="333"/>
      <c r="H454" s="333"/>
      <c r="I454" s="335"/>
      <c r="J454" s="333"/>
      <c r="K454" s="333"/>
      <c r="L454" s="333"/>
    </row>
    <row r="455" spans="1:12">
      <c r="A455" s="333" t="str">
        <f t="shared" si="10"/>
        <v/>
      </c>
      <c r="B455" s="333"/>
      <c r="C455" s="333"/>
      <c r="D455" s="333"/>
      <c r="E455" s="334"/>
      <c r="F455" s="333"/>
      <c r="G455" s="333"/>
      <c r="H455" s="333"/>
      <c r="I455" s="335"/>
      <c r="J455" s="333"/>
      <c r="K455" s="333"/>
      <c r="L455" s="333"/>
    </row>
    <row r="456" spans="1:12">
      <c r="A456" s="333" t="str">
        <f t="shared" si="10"/>
        <v/>
      </c>
      <c r="B456" s="333"/>
      <c r="C456" s="333"/>
      <c r="D456" s="333"/>
      <c r="E456" s="334"/>
      <c r="F456" s="333"/>
      <c r="G456" s="333"/>
      <c r="H456" s="333"/>
      <c r="I456" s="335"/>
      <c r="J456" s="333"/>
      <c r="K456" s="333"/>
      <c r="L456" s="333"/>
    </row>
    <row r="457" spans="1:12">
      <c r="A457" s="333" t="str">
        <f t="shared" si="10"/>
        <v/>
      </c>
      <c r="B457" s="333"/>
      <c r="C457" s="333"/>
      <c r="D457" s="333"/>
      <c r="E457" s="334"/>
      <c r="F457" s="333"/>
      <c r="G457" s="333"/>
      <c r="H457" s="333"/>
      <c r="I457" s="335"/>
      <c r="J457" s="333"/>
      <c r="K457" s="333"/>
      <c r="L457" s="333"/>
    </row>
    <row r="458" spans="1:12">
      <c r="A458" s="333" t="str">
        <f t="shared" si="10"/>
        <v/>
      </c>
      <c r="B458" s="333"/>
      <c r="C458" s="333"/>
      <c r="D458" s="333"/>
      <c r="E458" s="334"/>
      <c r="F458" s="333"/>
      <c r="G458" s="333"/>
      <c r="H458" s="333"/>
      <c r="I458" s="335"/>
      <c r="J458" s="333"/>
      <c r="K458" s="333"/>
      <c r="L458" s="333"/>
    </row>
    <row r="459" spans="1:12">
      <c r="A459" s="333" t="str">
        <f t="shared" si="10"/>
        <v/>
      </c>
      <c r="B459" s="333"/>
      <c r="C459" s="333"/>
      <c r="D459" s="333"/>
      <c r="E459" s="334"/>
      <c r="F459" s="333"/>
      <c r="G459" s="333"/>
      <c r="H459" s="333"/>
      <c r="I459" s="335"/>
      <c r="J459" s="333"/>
      <c r="K459" s="333"/>
      <c r="L459" s="333"/>
    </row>
    <row r="460" spans="1:12">
      <c r="A460" s="333" t="str">
        <f t="shared" si="10"/>
        <v/>
      </c>
      <c r="B460" s="333"/>
      <c r="C460" s="333"/>
      <c r="D460" s="333"/>
      <c r="E460" s="334"/>
      <c r="F460" s="333"/>
      <c r="G460" s="333"/>
      <c r="H460" s="333"/>
      <c r="I460" s="335"/>
      <c r="J460" s="333"/>
      <c r="K460" s="333"/>
      <c r="L460" s="333"/>
    </row>
    <row r="461" spans="1:12">
      <c r="A461" s="333" t="str">
        <f t="shared" si="10"/>
        <v/>
      </c>
      <c r="B461" s="333"/>
      <c r="C461" s="333"/>
      <c r="D461" s="333"/>
      <c r="E461" s="334"/>
      <c r="F461" s="333"/>
      <c r="G461" s="333"/>
      <c r="H461" s="333"/>
      <c r="I461" s="335"/>
      <c r="J461" s="333"/>
      <c r="K461" s="333"/>
      <c r="L461" s="333"/>
    </row>
    <row r="462" spans="1:12">
      <c r="A462" s="333" t="str">
        <f t="shared" ref="A462:A469" si="11">IF(OR(B462&lt;&gt;"",C462&lt;&gt;""),"MB-"&amp;TEXT(ROW()-269,"0000"),"")</f>
        <v/>
      </c>
      <c r="B462" s="333"/>
      <c r="C462" s="333"/>
      <c r="D462" s="333"/>
      <c r="E462" s="334"/>
      <c r="F462" s="333"/>
      <c r="G462" s="333"/>
      <c r="H462" s="333"/>
      <c r="I462" s="335"/>
      <c r="J462" s="333"/>
      <c r="K462" s="333"/>
      <c r="L462" s="333"/>
    </row>
    <row r="463" spans="1:12">
      <c r="A463" s="333" t="str">
        <f t="shared" si="11"/>
        <v/>
      </c>
      <c r="B463" s="333"/>
      <c r="C463" s="333"/>
      <c r="D463" s="333"/>
      <c r="E463" s="334"/>
      <c r="F463" s="333"/>
      <c r="G463" s="333"/>
      <c r="H463" s="333"/>
      <c r="I463" s="335"/>
      <c r="J463" s="333"/>
      <c r="K463" s="333"/>
      <c r="L463" s="333"/>
    </row>
    <row r="464" spans="1:12">
      <c r="A464" s="333" t="str">
        <f t="shared" si="11"/>
        <v/>
      </c>
      <c r="B464" s="333"/>
      <c r="C464" s="333"/>
      <c r="D464" s="333"/>
      <c r="E464" s="334"/>
      <c r="F464" s="333"/>
      <c r="G464" s="333"/>
      <c r="H464" s="333"/>
      <c r="I464" s="335"/>
      <c r="J464" s="333"/>
      <c r="K464" s="333"/>
      <c r="L464" s="333"/>
    </row>
    <row r="465" spans="1:12">
      <c r="A465" s="333" t="str">
        <f t="shared" si="11"/>
        <v/>
      </c>
      <c r="B465" s="333"/>
      <c r="C465" s="333"/>
      <c r="D465" s="333"/>
      <c r="E465" s="334"/>
      <c r="F465" s="333"/>
      <c r="G465" s="333"/>
      <c r="H465" s="333"/>
      <c r="I465" s="335"/>
      <c r="J465" s="333"/>
      <c r="K465" s="333"/>
      <c r="L465" s="333"/>
    </row>
    <row r="466" spans="1:12">
      <c r="A466" s="333" t="str">
        <f t="shared" si="11"/>
        <v/>
      </c>
      <c r="B466" s="333"/>
      <c r="C466" s="333"/>
      <c r="D466" s="333"/>
      <c r="E466" s="334"/>
      <c r="F466" s="333"/>
      <c r="G466" s="333"/>
      <c r="H466" s="333"/>
      <c r="I466" s="335"/>
      <c r="J466" s="333"/>
      <c r="K466" s="333"/>
      <c r="L466" s="333"/>
    </row>
    <row r="467" spans="1:12">
      <c r="A467" s="333" t="str">
        <f t="shared" si="11"/>
        <v/>
      </c>
      <c r="B467" s="333"/>
      <c r="C467" s="333"/>
      <c r="D467" s="333"/>
      <c r="E467" s="334"/>
      <c r="F467" s="333"/>
      <c r="G467" s="333"/>
      <c r="H467" s="333"/>
      <c r="I467" s="335"/>
      <c r="J467" s="333"/>
      <c r="K467" s="333"/>
      <c r="L467" s="333"/>
    </row>
    <row r="468" spans="1:12">
      <c r="A468" s="333" t="str">
        <f t="shared" si="11"/>
        <v/>
      </c>
      <c r="B468" s="333"/>
      <c r="C468" s="333"/>
      <c r="D468" s="333"/>
      <c r="E468" s="334"/>
      <c r="F468" s="333"/>
      <c r="G468" s="333"/>
      <c r="H468" s="333"/>
      <c r="I468" s="335"/>
      <c r="J468" s="333"/>
      <c r="K468" s="333"/>
      <c r="L468" s="333"/>
    </row>
    <row r="469" spans="1:12">
      <c r="A469" s="333" t="str">
        <f t="shared" si="11"/>
        <v/>
      </c>
      <c r="B469" s="333"/>
      <c r="C469" s="333"/>
      <c r="D469" s="333"/>
      <c r="E469" s="334"/>
      <c r="F469" s="333"/>
      <c r="G469" s="333"/>
      <c r="H469" s="333"/>
      <c r="I469" s="335"/>
      <c r="J469" s="333"/>
      <c r="K469" s="333"/>
      <c r="L469" s="333"/>
    </row>
    <row r="472" spans="1:12" ht="19.5">
      <c r="A472" s="263" t="s">
        <v>1518</v>
      </c>
      <c r="B472" s="262"/>
      <c r="C472" s="262"/>
      <c r="D472" s="262"/>
      <c r="E472" s="262"/>
      <c r="F472" s="262"/>
    </row>
    <row r="473" spans="1:12" ht="17.25">
      <c r="A473" s="206" t="s">
        <v>1297</v>
      </c>
      <c r="B473" s="207">
        <f>COUNTA(B270:B469)</f>
        <v>14</v>
      </c>
    </row>
    <row r="474" spans="1:12" ht="17.25">
      <c r="A474" s="206" t="s">
        <v>117</v>
      </c>
      <c r="B474" s="207">
        <f>COUNTIF(D270:D469,"Femme")</f>
        <v>6</v>
      </c>
    </row>
    <row r="475" spans="1:12" ht="17.25">
      <c r="A475" s="206" t="s">
        <v>118</v>
      </c>
      <c r="B475" s="207">
        <f>COUNTIF(D270:D469,"Homme")</f>
        <v>8</v>
      </c>
    </row>
    <row r="476" spans="1:12" ht="17.25">
      <c r="A476" s="206" t="s">
        <v>119</v>
      </c>
      <c r="B476" s="207">
        <f>COUNTIF(H270:H469,"BE")</f>
        <v>7</v>
      </c>
    </row>
    <row r="477" spans="1:12" ht="17.25">
      <c r="A477" s="206" t="s">
        <v>1303</v>
      </c>
      <c r="B477" s="207">
        <f>COUNTIF(H270:H469,"CCE")</f>
        <v>2</v>
      </c>
    </row>
    <row r="478" spans="1:12" ht="17.25">
      <c r="A478" s="206" t="s">
        <v>1308</v>
      </c>
      <c r="B478" s="207">
        <f>COUNTIF(H270:H469,"Membre")</f>
        <v>5</v>
      </c>
    </row>
    <row r="480" spans="1:12">
      <c r="A480" s="204" t="s">
        <v>1519</v>
      </c>
      <c r="B480" t="s">
        <v>1520</v>
      </c>
    </row>
    <row r="482" spans="1:6">
      <c r="A482" s="205" t="s">
        <v>5</v>
      </c>
      <c r="B482" s="205" t="s">
        <v>1521</v>
      </c>
      <c r="C482" s="205" t="s">
        <v>117</v>
      </c>
      <c r="D482" s="205" t="s">
        <v>118</v>
      </c>
      <c r="E482" s="205" t="s">
        <v>119</v>
      </c>
      <c r="F482" s="205" t="s">
        <v>115</v>
      </c>
    </row>
    <row r="483" spans="1:6">
      <c r="A483">
        <v>2020</v>
      </c>
      <c r="B483">
        <f t="shared" ref="B483:B498" si="12">COUNTIF($I$270:$I$469,A483)</f>
        <v>0</v>
      </c>
      <c r="C483">
        <f t="shared" ref="C483:C498" si="13">COUNTIFS($I$270:$I$469,A483,$D$270:$D$469,"Femme")</f>
        <v>0</v>
      </c>
      <c r="D483">
        <f t="shared" ref="D483:D498" si="14">COUNTIFS($I$270:$I$469,A483,$D$270:$D$469,"Homme")</f>
        <v>0</v>
      </c>
      <c r="E483">
        <f t="shared" ref="E483:E498" si="15">COUNTIFS($I$270:$I$469,A483,$H$270:$H$469,"BE")</f>
        <v>0</v>
      </c>
      <c r="F483">
        <f t="shared" ref="F483:F498" si="16">COUNTIFS($I$270:$I$469,A483,$H$270:$H$469,"CCE")</f>
        <v>0</v>
      </c>
    </row>
    <row r="484" spans="1:6">
      <c r="A484">
        <v>2021</v>
      </c>
      <c r="B484">
        <f t="shared" si="12"/>
        <v>0</v>
      </c>
      <c r="C484">
        <f t="shared" si="13"/>
        <v>0</v>
      </c>
      <c r="D484">
        <f t="shared" si="14"/>
        <v>0</v>
      </c>
      <c r="E484">
        <f t="shared" si="15"/>
        <v>0</v>
      </c>
      <c r="F484">
        <f t="shared" si="16"/>
        <v>0</v>
      </c>
    </row>
    <row r="485" spans="1:6">
      <c r="A485">
        <v>2022</v>
      </c>
      <c r="B485">
        <f t="shared" si="12"/>
        <v>0</v>
      </c>
      <c r="C485">
        <f t="shared" si="13"/>
        <v>0</v>
      </c>
      <c r="D485">
        <f t="shared" si="14"/>
        <v>0</v>
      </c>
      <c r="E485">
        <f t="shared" si="15"/>
        <v>0</v>
      </c>
      <c r="F485">
        <f t="shared" si="16"/>
        <v>0</v>
      </c>
    </row>
    <row r="486" spans="1:6">
      <c r="A486">
        <v>2023</v>
      </c>
      <c r="B486">
        <f t="shared" si="12"/>
        <v>0</v>
      </c>
      <c r="C486">
        <f t="shared" si="13"/>
        <v>0</v>
      </c>
      <c r="D486">
        <f t="shared" si="14"/>
        <v>0</v>
      </c>
      <c r="E486">
        <f t="shared" si="15"/>
        <v>0</v>
      </c>
      <c r="F486">
        <f t="shared" si="16"/>
        <v>0</v>
      </c>
    </row>
    <row r="487" spans="1:6">
      <c r="A487">
        <v>2024</v>
      </c>
      <c r="B487">
        <f t="shared" si="12"/>
        <v>14</v>
      </c>
      <c r="C487">
        <f t="shared" si="13"/>
        <v>6</v>
      </c>
      <c r="D487">
        <f t="shared" si="14"/>
        <v>8</v>
      </c>
      <c r="E487">
        <f t="shared" si="15"/>
        <v>7</v>
      </c>
      <c r="F487">
        <f t="shared" si="16"/>
        <v>2</v>
      </c>
    </row>
    <row r="488" spans="1:6">
      <c r="A488">
        <v>2025</v>
      </c>
      <c r="B488">
        <f t="shared" si="12"/>
        <v>0</v>
      </c>
      <c r="C488">
        <f t="shared" si="13"/>
        <v>0</v>
      </c>
      <c r="D488">
        <f t="shared" si="14"/>
        <v>0</v>
      </c>
      <c r="E488">
        <f t="shared" si="15"/>
        <v>0</v>
      </c>
      <c r="F488">
        <f t="shared" si="16"/>
        <v>0</v>
      </c>
    </row>
    <row r="489" spans="1:6">
      <c r="A489">
        <v>2026</v>
      </c>
      <c r="B489">
        <f t="shared" si="12"/>
        <v>0</v>
      </c>
      <c r="C489">
        <f t="shared" si="13"/>
        <v>0</v>
      </c>
      <c r="D489">
        <f t="shared" si="14"/>
        <v>0</v>
      </c>
      <c r="E489">
        <f t="shared" si="15"/>
        <v>0</v>
      </c>
      <c r="F489">
        <f t="shared" si="16"/>
        <v>0</v>
      </c>
    </row>
    <row r="490" spans="1:6">
      <c r="A490">
        <v>2027</v>
      </c>
      <c r="B490">
        <f t="shared" si="12"/>
        <v>0</v>
      </c>
      <c r="C490">
        <f t="shared" si="13"/>
        <v>0</v>
      </c>
      <c r="D490">
        <f t="shared" si="14"/>
        <v>0</v>
      </c>
      <c r="E490">
        <f t="shared" si="15"/>
        <v>0</v>
      </c>
      <c r="F490">
        <f t="shared" si="16"/>
        <v>0</v>
      </c>
    </row>
    <row r="491" spans="1:6">
      <c r="A491">
        <v>2028</v>
      </c>
      <c r="B491">
        <f t="shared" si="12"/>
        <v>0</v>
      </c>
      <c r="C491">
        <f t="shared" si="13"/>
        <v>0</v>
      </c>
      <c r="D491">
        <f t="shared" si="14"/>
        <v>0</v>
      </c>
      <c r="E491">
        <f t="shared" si="15"/>
        <v>0</v>
      </c>
      <c r="F491">
        <f t="shared" si="16"/>
        <v>0</v>
      </c>
    </row>
    <row r="492" spans="1:6">
      <c r="A492">
        <v>2029</v>
      </c>
      <c r="B492">
        <f t="shared" si="12"/>
        <v>0</v>
      </c>
      <c r="C492">
        <f t="shared" si="13"/>
        <v>0</v>
      </c>
      <c r="D492">
        <f t="shared" si="14"/>
        <v>0</v>
      </c>
      <c r="E492">
        <f t="shared" si="15"/>
        <v>0</v>
      </c>
      <c r="F492">
        <f t="shared" si="16"/>
        <v>0</v>
      </c>
    </row>
    <row r="493" spans="1:6">
      <c r="A493">
        <v>2030</v>
      </c>
      <c r="B493">
        <f t="shared" si="12"/>
        <v>0</v>
      </c>
      <c r="C493">
        <f t="shared" si="13"/>
        <v>0</v>
      </c>
      <c r="D493">
        <f t="shared" si="14"/>
        <v>0</v>
      </c>
      <c r="E493">
        <f t="shared" si="15"/>
        <v>0</v>
      </c>
      <c r="F493">
        <f t="shared" si="16"/>
        <v>0</v>
      </c>
    </row>
    <row r="494" spans="1:6">
      <c r="A494">
        <v>2031</v>
      </c>
      <c r="B494">
        <f t="shared" si="12"/>
        <v>0</v>
      </c>
      <c r="C494">
        <f t="shared" si="13"/>
        <v>0</v>
      </c>
      <c r="D494">
        <f t="shared" si="14"/>
        <v>0</v>
      </c>
      <c r="E494">
        <f t="shared" si="15"/>
        <v>0</v>
      </c>
      <c r="F494">
        <f t="shared" si="16"/>
        <v>0</v>
      </c>
    </row>
    <row r="495" spans="1:6">
      <c r="A495">
        <v>2032</v>
      </c>
      <c r="B495">
        <f t="shared" si="12"/>
        <v>0</v>
      </c>
      <c r="C495">
        <f t="shared" si="13"/>
        <v>0</v>
      </c>
      <c r="D495">
        <f t="shared" si="14"/>
        <v>0</v>
      </c>
      <c r="E495">
        <f t="shared" si="15"/>
        <v>0</v>
      </c>
      <c r="F495">
        <f t="shared" si="16"/>
        <v>0</v>
      </c>
    </row>
    <row r="496" spans="1:6">
      <c r="A496">
        <v>2033</v>
      </c>
      <c r="B496">
        <f t="shared" si="12"/>
        <v>0</v>
      </c>
      <c r="C496">
        <f t="shared" si="13"/>
        <v>0</v>
      </c>
      <c r="D496">
        <f t="shared" si="14"/>
        <v>0</v>
      </c>
      <c r="E496">
        <f t="shared" si="15"/>
        <v>0</v>
      </c>
      <c r="F496">
        <f t="shared" si="16"/>
        <v>0</v>
      </c>
    </row>
    <row r="497" spans="1:6">
      <c r="A497">
        <v>2034</v>
      </c>
      <c r="B497">
        <f t="shared" si="12"/>
        <v>0</v>
      </c>
      <c r="C497">
        <f t="shared" si="13"/>
        <v>0</v>
      </c>
      <c r="D497">
        <f t="shared" si="14"/>
        <v>0</v>
      </c>
      <c r="E497">
        <f t="shared" si="15"/>
        <v>0</v>
      </c>
      <c r="F497">
        <f t="shared" si="16"/>
        <v>0</v>
      </c>
    </row>
    <row r="498" spans="1:6">
      <c r="A498">
        <v>2035</v>
      </c>
      <c r="B498">
        <f t="shared" si="12"/>
        <v>0</v>
      </c>
      <c r="C498">
        <f t="shared" si="13"/>
        <v>0</v>
      </c>
      <c r="D498">
        <f t="shared" si="14"/>
        <v>0</v>
      </c>
      <c r="E498">
        <f t="shared" si="15"/>
        <v>0</v>
      </c>
      <c r="F498">
        <f t="shared" si="16"/>
        <v>0</v>
      </c>
    </row>
  </sheetData>
  <mergeCells count="214">
    <mergeCell ref="F252:H252"/>
    <mergeCell ref="A160:D160"/>
    <mergeCell ref="A58:B58"/>
    <mergeCell ref="A254:D254"/>
    <mergeCell ref="A215:B215"/>
    <mergeCell ref="C77:H77"/>
    <mergeCell ref="G29:H29"/>
    <mergeCell ref="C33:H33"/>
    <mergeCell ref="A224:B224"/>
    <mergeCell ref="C42:H42"/>
    <mergeCell ref="A72:B72"/>
    <mergeCell ref="A158:D158"/>
    <mergeCell ref="C74:H74"/>
    <mergeCell ref="C35:H35"/>
    <mergeCell ref="A44:B44"/>
    <mergeCell ref="A75:B75"/>
    <mergeCell ref="F254:H254"/>
    <mergeCell ref="A177:D177"/>
    <mergeCell ref="A201:C201"/>
    <mergeCell ref="C216:H216"/>
    <mergeCell ref="C225:H225"/>
    <mergeCell ref="C218:H218"/>
    <mergeCell ref="C217:H217"/>
    <mergeCell ref="A76:B76"/>
    <mergeCell ref="A1:H1"/>
    <mergeCell ref="G8:H8"/>
    <mergeCell ref="A21:F21"/>
    <mergeCell ref="G17:H17"/>
    <mergeCell ref="C60:H60"/>
    <mergeCell ref="A14:F14"/>
    <mergeCell ref="G10:H10"/>
    <mergeCell ref="A23:F23"/>
    <mergeCell ref="C70:H70"/>
    <mergeCell ref="G19:H19"/>
    <mergeCell ref="G28:H28"/>
    <mergeCell ref="G3:H3"/>
    <mergeCell ref="A50:B50"/>
    <mergeCell ref="G30:H30"/>
    <mergeCell ref="A47:B47"/>
    <mergeCell ref="G14:H14"/>
    <mergeCell ref="C49:H49"/>
    <mergeCell ref="A8:F8"/>
    <mergeCell ref="A17:F17"/>
    <mergeCell ref="G13:H13"/>
    <mergeCell ref="A3:B3"/>
    <mergeCell ref="A55:B55"/>
    <mergeCell ref="A10:F10"/>
    <mergeCell ref="C57:H57"/>
    <mergeCell ref="A256:D256"/>
    <mergeCell ref="F250:H250"/>
    <mergeCell ref="A219:B219"/>
    <mergeCell ref="C34:H34"/>
    <mergeCell ref="E265:H265"/>
    <mergeCell ref="A268:J268"/>
    <mergeCell ref="A255:D255"/>
    <mergeCell ref="A100:H100"/>
    <mergeCell ref="A38:B38"/>
    <mergeCell ref="A53:H53"/>
    <mergeCell ref="C58:H58"/>
    <mergeCell ref="A107:C107"/>
    <mergeCell ref="A43:B43"/>
    <mergeCell ref="C45:H45"/>
    <mergeCell ref="A168:F168"/>
    <mergeCell ref="C215:H215"/>
    <mergeCell ref="A68:H68"/>
    <mergeCell ref="A40:B40"/>
    <mergeCell ref="C65:H65"/>
    <mergeCell ref="A141:G141"/>
    <mergeCell ref="C47:H47"/>
    <mergeCell ref="C44:H44"/>
    <mergeCell ref="A60:B60"/>
    <mergeCell ref="C219:H219"/>
    <mergeCell ref="A12:F12"/>
    <mergeCell ref="A2:H2"/>
    <mergeCell ref="C37:H37"/>
    <mergeCell ref="A9:F9"/>
    <mergeCell ref="A162:D162"/>
    <mergeCell ref="C69:H69"/>
    <mergeCell ref="A30:F30"/>
    <mergeCell ref="G26:H26"/>
    <mergeCell ref="A11:F11"/>
    <mergeCell ref="C62:H62"/>
    <mergeCell ref="A81:E81"/>
    <mergeCell ref="G16:H16"/>
    <mergeCell ref="A63:B63"/>
    <mergeCell ref="G25:H25"/>
    <mergeCell ref="F158:H158"/>
    <mergeCell ref="C64:H64"/>
    <mergeCell ref="G9:H9"/>
    <mergeCell ref="A77:B77"/>
    <mergeCell ref="A34:B34"/>
    <mergeCell ref="A13:F13"/>
    <mergeCell ref="A5:H5"/>
    <mergeCell ref="G12:H12"/>
    <mergeCell ref="A7:H7"/>
    <mergeCell ref="A259:F259"/>
    <mergeCell ref="A37:B37"/>
    <mergeCell ref="A46:B46"/>
    <mergeCell ref="A22:F22"/>
    <mergeCell ref="A217:B217"/>
    <mergeCell ref="A25:F25"/>
    <mergeCell ref="A240:F240"/>
    <mergeCell ref="A120:E120"/>
    <mergeCell ref="A214:H214"/>
    <mergeCell ref="A28:F28"/>
    <mergeCell ref="A230:F230"/>
    <mergeCell ref="G24:H24"/>
    <mergeCell ref="A71:B71"/>
    <mergeCell ref="F256:H256"/>
    <mergeCell ref="C227:H227"/>
    <mergeCell ref="C54:H54"/>
    <mergeCell ref="F160:H160"/>
    <mergeCell ref="C40:H40"/>
    <mergeCell ref="A49:B49"/>
    <mergeCell ref="C226:H226"/>
    <mergeCell ref="A165:D165"/>
    <mergeCell ref="A36:B36"/>
    <mergeCell ref="F159:H159"/>
    <mergeCell ref="A26:F26"/>
    <mergeCell ref="F255:H255"/>
    <mergeCell ref="A251:D251"/>
    <mergeCell ref="C73:H73"/>
    <mergeCell ref="G22:H22"/>
    <mergeCell ref="A39:B39"/>
    <mergeCell ref="F164:H164"/>
    <mergeCell ref="A16:F16"/>
    <mergeCell ref="A48:B48"/>
    <mergeCell ref="C41:H41"/>
    <mergeCell ref="A148:E148"/>
    <mergeCell ref="C63:H63"/>
    <mergeCell ref="C50:H50"/>
    <mergeCell ref="A59:B59"/>
    <mergeCell ref="A253:D253"/>
    <mergeCell ref="A27:F27"/>
    <mergeCell ref="A45:B45"/>
    <mergeCell ref="F163:H163"/>
    <mergeCell ref="A216:B216"/>
    <mergeCell ref="A225:B225"/>
    <mergeCell ref="A18:F18"/>
    <mergeCell ref="A125:D125"/>
    <mergeCell ref="C43:H43"/>
    <mergeCell ref="A61:B61"/>
    <mergeCell ref="C223:H223"/>
    <mergeCell ref="F165:H165"/>
    <mergeCell ref="C36:H36"/>
    <mergeCell ref="A227:B227"/>
    <mergeCell ref="A250:D250"/>
    <mergeCell ref="F249:H249"/>
    <mergeCell ref="A248:H248"/>
    <mergeCell ref="F162:H162"/>
    <mergeCell ref="A33:B33"/>
    <mergeCell ref="A42:B42"/>
    <mergeCell ref="C78:H78"/>
    <mergeCell ref="C46:H46"/>
    <mergeCell ref="A32:H32"/>
    <mergeCell ref="A164:D164"/>
    <mergeCell ref="A15:F15"/>
    <mergeCell ref="A35:B35"/>
    <mergeCell ref="A24:F24"/>
    <mergeCell ref="A62:B62"/>
    <mergeCell ref="A94:H97"/>
    <mergeCell ref="G20:H20"/>
    <mergeCell ref="A163:D163"/>
    <mergeCell ref="G21:H21"/>
    <mergeCell ref="G23:H23"/>
    <mergeCell ref="G27:H27"/>
    <mergeCell ref="G11:H11"/>
    <mergeCell ref="A74:B74"/>
    <mergeCell ref="A20:F20"/>
    <mergeCell ref="G18:H18"/>
    <mergeCell ref="A19:F19"/>
    <mergeCell ref="A57:B57"/>
    <mergeCell ref="G15:H15"/>
    <mergeCell ref="A56:B56"/>
    <mergeCell ref="C224:H224"/>
    <mergeCell ref="A29:F29"/>
    <mergeCell ref="C72:H72"/>
    <mergeCell ref="C38:H38"/>
    <mergeCell ref="C56:H56"/>
    <mergeCell ref="A101:H104"/>
    <mergeCell ref="A69:B69"/>
    <mergeCell ref="A78:B78"/>
    <mergeCell ref="C71:H71"/>
    <mergeCell ref="A65:B65"/>
    <mergeCell ref="C76:H76"/>
    <mergeCell ref="A186:G186"/>
    <mergeCell ref="A93:H93"/>
    <mergeCell ref="F161:H161"/>
    <mergeCell ref="A223:B223"/>
    <mergeCell ref="A194:H194"/>
    <mergeCell ref="A54:B54"/>
    <mergeCell ref="A41:B41"/>
    <mergeCell ref="C61:H61"/>
    <mergeCell ref="C39:H39"/>
    <mergeCell ref="C48:H48"/>
    <mergeCell ref="K268:T268"/>
    <mergeCell ref="A472:F472"/>
    <mergeCell ref="A159:D159"/>
    <mergeCell ref="A64:B64"/>
    <mergeCell ref="F251:H251"/>
    <mergeCell ref="C55:H55"/>
    <mergeCell ref="A73:B73"/>
    <mergeCell ref="A157:H157"/>
    <mergeCell ref="A226:B226"/>
    <mergeCell ref="C75:H75"/>
    <mergeCell ref="A222:H222"/>
    <mergeCell ref="A265:D265"/>
    <mergeCell ref="A70:B70"/>
    <mergeCell ref="F253:H253"/>
    <mergeCell ref="A161:D161"/>
    <mergeCell ref="C59:H59"/>
    <mergeCell ref="A249:D249"/>
    <mergeCell ref="A252:D252"/>
    <mergeCell ref="A218:B218"/>
  </mergeCells>
  <dataValidations count="4">
    <dataValidation type="list" allowBlank="1" sqref="D270:D469">
      <formula1>"Femme,Homme"</formula1>
    </dataValidation>
    <dataValidation type="list" allowBlank="1" sqref="H270:H469">
      <formula1>"Membre,BE,CCE"</formula1>
    </dataValidation>
    <dataValidation type="list" sqref="B480">
      <formula1>"Toutes,2020,2021,2022,2023,2024,2025,2026,2027,2028,2029,2030,2031,2032,2033,2034,2035"</formula1>
    </dataValidation>
    <dataValidation type="whole" allowBlank="1" sqref="I270:I469">
      <formula1>2000</formula1>
      <formula2>2100</formula2>
    </dataValidation>
  </dataValidations>
  <hyperlinks>
    <hyperlink ref="A8" location="ONG!A32" display="1. IDENTITE DE L'ONG"/>
    <hyperlink ref="A9" location="ONG!A53" display="2. INFORMATIONS JURIDIQUES"/>
    <hyperlink ref="A10" location="ONG!A68" display="3. SIEGE ET LOCALISATION"/>
    <hyperlink ref="A11" location="ONG!A81" display="4. CONTACTS OFFICIELS"/>
    <hyperlink ref="A12" location="ONG!A93" display="5. VISION"/>
    <hyperlink ref="A13" location="ONG!A100" display="6. MISSION"/>
    <hyperlink ref="A14" location="ONG!A107" display="7. VALEURS"/>
    <hyperlink ref="A15" location="ONG!A120" display="8. OBJECTIFS STRATEGIQUES"/>
    <hyperlink ref="A16" location="ONG!A125" display="9. DOMAINES D'INTERVENTION"/>
    <hyperlink ref="A17" location="ONG!A141" display="10. ZONES D'INTERVENTION"/>
    <hyperlink ref="A18" location="ONG!A148" display="11. ORGANISATION INTERNE"/>
    <hyperlink ref="A19" location="ONG!A157" display="12. EFFECTIF GLOBAL"/>
    <hyperlink ref="A20" location="ONG!A168" display="13. PARTENARIATS INSTITUTIONNELS"/>
    <hyperlink ref="A21" location="ONG!A177" display="14. SOURCES DE FINANCEMENT"/>
    <hyperlink ref="A22" location="ONG!A186" display="15. DOCUMENTS OFFICIELS"/>
    <hyperlink ref="A23" location="ONG!A194" display="16. INFORMATIONS BANCAIRES"/>
    <hyperlink ref="A24" location="ONG!A201" display="17. MOYENS DE COMMUNICATION"/>
    <hyperlink ref="A25" location="ONG!A214" display="18. IDENTITE VISUELLE"/>
    <hyperlink ref="A26" location="ONG!A222" display="19. PERIODE STRATEGIQUE"/>
    <hyperlink ref="A27" location="ONG!A230" display="20. GOUVERNANCE - ORGANES"/>
    <hyperlink ref="A28" location="ONG!A240" display="21. REUNIONS ET GOUVERNANCE"/>
    <hyperlink ref="A29" location="ONG!A248" display="22. INDICATEURS INSTITUTIONNELS"/>
    <hyperlink ref="A30" location="ONG!A259" display="23. HISTORIQUE DES MODIFICATIONS"/>
    <hyperlink ref="A51" location="ONG!A7" display="↑ Retour au sommaire"/>
    <hyperlink ref="A66" location="ONG!A7" display="↑ Retour au sommaire"/>
    <hyperlink ref="A79" location="ONG!A7" display="↑ Retour au sommaire"/>
    <hyperlink ref="A91" location="ONG!A7" display="↑ Retour au sommaire"/>
    <hyperlink ref="A98" location="ONG!A7" display="↑ Retour au sommaire"/>
    <hyperlink ref="A105" location="ONG!A7" display="↑ Retour au sommaire"/>
    <hyperlink ref="A118" location="ONG!A7" display="↑ Retour au sommaire"/>
    <hyperlink ref="A123" location="ONG!A7" display="↑ Retour au sommaire"/>
    <hyperlink ref="A139" location="ONG!A7" display="↑ Retour au sommaire"/>
    <hyperlink ref="A146" location="ONG!A7" display="↑ Retour au sommaire"/>
    <hyperlink ref="A155" location="ONG!A7" display="↑ Retour au sommaire"/>
    <hyperlink ref="A166" location="ONG!A7" display="↑ Retour au sommaire"/>
    <hyperlink ref="A175" location="ONG!A7" display="↑ Retour au sommaire"/>
    <hyperlink ref="A184" location="ONG!A7" display="↑ Retour au sommaire"/>
    <hyperlink ref="A192" location="ONG!A7" display="↑ Retour au sommaire"/>
    <hyperlink ref="A199" location="ONG!A7" display="↑ Retour au sommaire"/>
    <hyperlink ref="A212" location="ONG!A7" display="↑ Retour au sommaire"/>
    <hyperlink ref="A220" location="ONG!A7" display="↑ Retour au sommaire"/>
    <hyperlink ref="A228" location="ONG!A7" display="↑ Retour au sommaire"/>
    <hyperlink ref="A238" location="ONG!A7" display="↑ Retour au sommaire"/>
    <hyperlink ref="A246" location="ONG!A7" display="↑ Retour au sommaire"/>
    <hyperlink ref="A257" location="ONG!A7" display="↑ Retour au sommaire"/>
    <hyperlink ref="A262" location="ONG!A7" display="↑ Retour au sommaire"/>
    <hyperlink ref="A265" location="PARAMETRES!A1" display="← Retour a PARAMETRES"/>
    <hyperlink ref="G273" r:id="rId1"/>
  </hyperlinks>
  <pageMargins left="0.4" right="0.4" top="0.5" bottom="0.5" header="0.511811023622047" footer="0.511811023622047"/>
  <pageSetup fitToHeight="0" orientation="landscape" horizontalDpi="300" verticalDpi="300" r:id="rId2"/>
  <drawing r:id="rId3"/>
  <tableParts count="15">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Z206"/>
  <sheetViews>
    <sheetView showGridLines="0" topLeftCell="E1" zoomScaleNormal="100" workbookViewId="0">
      <pane ySplit="2" topLeftCell="A3" activePane="bottomLeft" state="frozen"/>
      <selection activeCell="E1" sqref="E1"/>
      <selection pane="bottomLeft" activeCell="N7" sqref="N7"/>
    </sheetView>
  </sheetViews>
  <sheetFormatPr baseColWidth="10" defaultColWidth="8.7109375" defaultRowHeight="15" customHeight="1"/>
  <cols>
    <col min="1" max="1" width="14" customWidth="1"/>
    <col min="2" max="2" width="16" customWidth="1"/>
    <col min="3" max="3" width="20" customWidth="1"/>
    <col min="4" max="6" width="16" customWidth="1"/>
    <col min="7" max="7" width="26" customWidth="1"/>
    <col min="8" max="8" width="12" customWidth="1"/>
    <col min="9" max="9" width="14" customWidth="1"/>
    <col min="10" max="10" width="8" customWidth="1"/>
    <col min="11" max="11" width="14" customWidth="1"/>
    <col min="12" max="12" width="18" customWidth="1"/>
    <col min="13" max="13" width="14" customWidth="1"/>
    <col min="14" max="14" width="12" customWidth="1"/>
    <col min="15" max="15" width="18" customWidth="1"/>
    <col min="16" max="16" width="12" customWidth="1"/>
    <col min="17" max="17" width="14" customWidth="1"/>
    <col min="18" max="20" width="12" customWidth="1"/>
    <col min="21" max="21" width="14" customWidth="1"/>
    <col min="22" max="27" width="12" customWidth="1"/>
    <col min="28" max="29" width="16" customWidth="1"/>
    <col min="30" max="30" width="18" customWidth="1"/>
    <col min="31" max="33" width="16" customWidth="1"/>
    <col min="34" max="35" width="14" customWidth="1"/>
    <col min="36" max="36" width="18" customWidth="1"/>
    <col min="37" max="37" width="16" customWidth="1"/>
    <col min="38" max="38" width="20" customWidth="1"/>
    <col min="39" max="39" width="12" customWidth="1"/>
    <col min="40" max="40" width="14" customWidth="1"/>
    <col min="41" max="43" width="16" customWidth="1"/>
    <col min="44" max="44" width="18" customWidth="1"/>
    <col min="45" max="45" width="16" customWidth="1"/>
    <col min="46" max="47" width="14" customWidth="1"/>
    <col min="48" max="48" width="20" customWidth="1"/>
    <col min="49" max="49" width="18" customWidth="1"/>
    <col min="50" max="50" width="16" customWidth="1"/>
    <col min="51" max="51" width="12" customWidth="1"/>
    <col min="52" max="52" width="20" customWidth="1"/>
    <col min="53" max="53" width="22" customWidth="1"/>
    <col min="54" max="55" width="14" customWidth="1"/>
    <col min="56" max="56" width="16" customWidth="1"/>
    <col min="57" max="58" width="14" customWidth="1"/>
    <col min="59" max="59" width="18" customWidth="1"/>
    <col min="60" max="63" width="14" customWidth="1"/>
    <col min="64" max="64" width="16" customWidth="1"/>
    <col min="65" max="65" width="14" customWidth="1"/>
    <col min="66" max="66" width="12" customWidth="1"/>
    <col min="67" max="68" width="18" customWidth="1"/>
    <col min="69" max="69" width="16" customWidth="1"/>
    <col min="70" max="71" width="18" customWidth="1"/>
    <col min="72" max="73" width="14" customWidth="1"/>
    <col min="74" max="76" width="12" customWidth="1"/>
    <col min="77" max="77" width="16" customWidth="1"/>
    <col min="78" max="78" width="28" customWidth="1"/>
  </cols>
  <sheetData>
    <row r="1" spans="1:18" ht="25.5" customHeight="1">
      <c r="A1" s="292" t="s">
        <v>1522</v>
      </c>
      <c r="B1" s="262"/>
      <c r="C1" s="262"/>
      <c r="D1" s="262"/>
      <c r="E1" s="262"/>
      <c r="F1" s="262"/>
      <c r="G1" s="262"/>
      <c r="H1" s="262"/>
      <c r="I1" s="262"/>
      <c r="J1" s="262"/>
      <c r="K1" s="262"/>
      <c r="L1" s="262"/>
      <c r="M1" s="262"/>
      <c r="N1" s="262"/>
      <c r="O1" s="262"/>
      <c r="P1" s="262"/>
      <c r="Q1" s="290" t="s">
        <v>1523</v>
      </c>
      <c r="R1" s="262"/>
    </row>
    <row r="2" spans="1:18" ht="18" customHeight="1">
      <c r="A2" s="294" t="s">
        <v>1300</v>
      </c>
      <c r="B2" s="262"/>
      <c r="C2" s="262"/>
      <c r="D2" s="291">
        <v>2026</v>
      </c>
      <c r="E2" s="262"/>
      <c r="F2" s="294" t="s">
        <v>1524</v>
      </c>
      <c r="G2" s="262"/>
      <c r="H2" s="262"/>
      <c r="I2" s="293">
        <f ca="1">TODAY()</f>
        <v>46305</v>
      </c>
      <c r="J2" s="262"/>
      <c r="K2" s="294" t="s">
        <v>1525</v>
      </c>
      <c r="L2" s="262"/>
      <c r="M2" s="262"/>
      <c r="N2" s="262"/>
      <c r="O2" s="288">
        <f>COUNTIF(tbl_Beneficiaires[ID Beneficiaire],"BEN*")</f>
        <v>1</v>
      </c>
      <c r="P2" s="262"/>
      <c r="Q2" s="27" t="s">
        <v>1526</v>
      </c>
    </row>
    <row r="4" spans="1:18" ht="15" customHeight="1">
      <c r="A4" s="297" t="s">
        <v>1527</v>
      </c>
      <c r="B4" s="262"/>
      <c r="C4" s="262"/>
      <c r="D4" s="262"/>
      <c r="E4" s="262"/>
      <c r="F4" s="262"/>
      <c r="G4" s="262"/>
      <c r="H4" s="262"/>
      <c r="I4" s="262"/>
      <c r="J4" s="262"/>
      <c r="K4" s="262"/>
      <c r="L4" s="262"/>
      <c r="M4" s="262"/>
      <c r="N4" s="262"/>
      <c r="O4" s="262"/>
      <c r="P4" s="262"/>
      <c r="Q4" s="262"/>
      <c r="R4" s="262"/>
    </row>
    <row r="6" spans="1:18" ht="19.5" customHeight="1">
      <c r="A6" s="296" t="s">
        <v>1528</v>
      </c>
      <c r="B6" s="262"/>
      <c r="C6" s="262"/>
      <c r="D6" s="262"/>
      <c r="E6" s="262"/>
      <c r="F6" s="262"/>
      <c r="G6" s="262"/>
      <c r="H6" s="262"/>
      <c r="I6" s="262"/>
      <c r="J6" s="262"/>
      <c r="K6" s="262"/>
      <c r="L6" s="262"/>
      <c r="M6" s="262"/>
      <c r="N6" s="262"/>
      <c r="O6" s="262"/>
      <c r="P6" s="262"/>
      <c r="Q6" s="262"/>
      <c r="R6" s="262"/>
    </row>
    <row r="7" spans="1:18" ht="30" customHeight="1">
      <c r="A7" s="29" t="s">
        <v>1529</v>
      </c>
      <c r="B7" s="29" t="s">
        <v>118</v>
      </c>
      <c r="C7" s="29" t="s">
        <v>117</v>
      </c>
      <c r="D7" s="29" t="s">
        <v>1530</v>
      </c>
      <c r="E7" s="29" t="s">
        <v>1531</v>
      </c>
      <c r="F7" s="29" t="s">
        <v>1532</v>
      </c>
      <c r="G7" s="29" t="s">
        <v>1533</v>
      </c>
      <c r="H7" s="29" t="s">
        <v>1534</v>
      </c>
      <c r="I7" s="29" t="s">
        <v>1535</v>
      </c>
      <c r="J7" s="29" t="s">
        <v>1536</v>
      </c>
      <c r="K7" s="29" t="s">
        <v>1537</v>
      </c>
      <c r="L7" s="29" t="s">
        <v>1538</v>
      </c>
      <c r="M7" s="29" t="s">
        <v>1519</v>
      </c>
      <c r="N7" s="30" t="s">
        <v>1282</v>
      </c>
    </row>
    <row r="8" spans="1:18" ht="21.75" customHeight="1">
      <c r="A8" s="31">
        <f>IF($N$7="Total",COUNTIF(A56:A115,"BEN*"),COUNTIFS(A56:A115,"BEN*",BB56:BB115,"&gt;="&amp;DATE(VALUE($N$7),1,1),BB56:BB115,"&lt;"&amp;DATE(VALUE($N$7)+1,1,1)))</f>
        <v>1</v>
      </c>
      <c r="B8" s="31">
        <f>IF($N$7="Total",COUNTIFS(A56:A115,"BEN*",H56:H115,"Masculin"),COUNTIFS(A56:A115,"BEN*",H56:H115,"Masculin",BB56:BB115,"&gt;="&amp;DATE(VALUE($N$7),1,1),BB56:BB115,"&lt;"&amp;DATE(VALUE($N$7)+1,1,1)))</f>
        <v>0</v>
      </c>
      <c r="C8" s="31">
        <f>IF($N$7="Total",COUNTIFS(A56:A115,"BEN*",H56:H115,"Feminin"),COUNTIFS(A56:A115,"BEN*",H56:H115,"Feminin",BB56:BB115,"&gt;="&amp;DATE(VALUE($N$7),1,1),BB56:BB115,"&lt;"&amp;DATE(VALUE($N$7)+1,1,1)))</f>
        <v>1</v>
      </c>
      <c r="D8" s="31">
        <f>IF($N$7="Total",COUNTIFS(A56:A115,"BEN*",H56:H115,"Non precise"),COUNTIFS(A56:A115,"BEN*",H56:H115,"Non precise",BB56:BB115,"&gt;="&amp;DATE(VALUE($N$7),1,1),BB56:BB115,"&lt;"&amp;DATE(VALUE($N$7)+1,1,1)))</f>
        <v>0</v>
      </c>
      <c r="E8" s="31">
        <f ca="1">IF($N$7="Total",COUNTIFS(A56:A115,"BEN*",J56:J115,"&lt;18"),COUNTIFS(A56:A115,"BEN*",J56:J115,"&lt;18",BB56:BB115,"&gt;="&amp;DATE(VALUE($N$7),1,1),BB56:BB115,"&lt;"&amp;DATE(VALUE($N$7)+1,1,1)))</f>
        <v>0</v>
      </c>
      <c r="F8" s="31">
        <f ca="1">IF($N$7="Total",COUNTIFS(A56:A115,"BEN*",J56:J115,"&gt;=18",J56:J115,"&lt;=24"),COUNTIFS(A56:A115,"BEN*",J56:J115,"&gt;=18",J56:J115,"&lt;=24",BB56:BB115,"&gt;="&amp;DATE(VALUE($N$7),1,1),BB56:BB115,"&lt;"&amp;DATE(VALUE($N$7)+1,1,1)))</f>
        <v>1</v>
      </c>
      <c r="G8" s="31">
        <f ca="1">IF($N$7="Total",COUNTIFS(A56:A115,"BEN*",J56:J115,"&gt;=25",J56:J115,"&lt;=64"),COUNTIFS(A56:A115,"BEN*",J56:J115,"&gt;=25",J56:J115,"&lt;=64",BB56:BB115,"&gt;="&amp;DATE(VALUE($N$7),1,1),BB56:BB115,"&lt;"&amp;DATE(VALUE($N$7)+1,1,1)))</f>
        <v>0</v>
      </c>
      <c r="H8" s="31">
        <f ca="1">IF($N$7="Total",COUNTIFS(A56:A115,"BEN*",J56:J115,"&gt;=65"),COUNTIFS(A56:A115,"BEN*",J56:J115,"&gt;=65",BB56:BB115,"&gt;="&amp;DATE(VALUE($N$7),1,1),BB56:BB115,"&lt;"&amp;DATE(VALUE($N$7)+1,1,1)))</f>
        <v>0</v>
      </c>
      <c r="I8" s="31">
        <f>IF($N$7="Total",COUNTIFS(A56:A115,"BEN*",V56:V115,"Oui"),COUNTIFS(A56:A115,"BEN*",V56:V115,"Oui",BB56:BB115,"&gt;="&amp;DATE(VALUE($N$7),1,1),BB56:BB115,"&lt;"&amp;DATE(VALUE($N$7)+1,1,1)))</f>
        <v>0</v>
      </c>
      <c r="J8" s="31">
        <f>IF($N$7="Total",SUMPRODUCT((N56:N115&lt;&gt;"")/COUNTIF(N56:N115,N56:N115&amp;"")),SUMPRODUCT((N56:N115&lt;&gt;"")*(BB56:BB115&gt;=DATE(VALUE($N$7),1,1))*(BB56:BB115&lt;DATE(VALUE($N$7)+1,1,1))/COUNTIFS(N56:N115,N56:N115,BB56:BB115,"&gt;="&amp;DATE(VALUE($N$7),1,1),BB56:BB115,"&lt;"&amp;DATE(VALUE($N$7)+1,1,1))))</f>
        <v>0</v>
      </c>
      <c r="K8" s="31">
        <f>IF($N$7="Total",COUNTIFS(A56:A115,"BEN*",BD56:BD115,"Actif"),COUNTIFS(A56:A115,"BEN*",BD56:BD115,"Actif",BB56:BB115,"&gt;="&amp;DATE(VALUE($N$7),1,1),BB56:BB115,"&lt;"&amp;DATE(VALUE($N$7)+1,1,1)))</f>
        <v>1</v>
      </c>
      <c r="L8" s="31">
        <f>IF($N$7="Total",COUNTIFS(A56:A115,"BEN*",BD56:BD115,"Sorti du programme"),COUNTIFS(A56:A115,"BEN*",BD56:BD115,"Sorti du programme",BB56:BB115,"&gt;="&amp;DATE(VALUE($N$7),1,1),BB56:BB115,"&lt;"&amp;DATE(VALUE($N$7)+1,1,1)))</f>
        <v>0</v>
      </c>
    </row>
    <row r="10" spans="1:18" ht="19.5" customHeight="1">
      <c r="A10" s="289" t="s">
        <v>1539</v>
      </c>
      <c r="B10" s="262"/>
      <c r="C10" s="262"/>
      <c r="D10" s="262"/>
      <c r="E10" s="262"/>
      <c r="F10" s="262"/>
      <c r="G10" s="262"/>
      <c r="H10" s="262"/>
      <c r="I10" s="262"/>
      <c r="J10" s="262"/>
      <c r="K10" s="262"/>
      <c r="L10" s="262"/>
      <c r="M10" s="262"/>
      <c r="N10" s="262"/>
      <c r="O10" s="262"/>
      <c r="P10" s="262"/>
      <c r="Q10" s="262"/>
      <c r="R10" s="262"/>
    </row>
    <row r="11" spans="1:18" ht="23.25" customHeight="1">
      <c r="A11" s="32" t="s">
        <v>1540</v>
      </c>
      <c r="B11" s="32" t="s">
        <v>1541</v>
      </c>
      <c r="D11" s="32" t="s">
        <v>943</v>
      </c>
      <c r="E11" s="32" t="s">
        <v>1541</v>
      </c>
      <c r="G11" s="32" t="s">
        <v>1542</v>
      </c>
      <c r="H11" s="32" t="s">
        <v>1541</v>
      </c>
    </row>
    <row r="12" spans="1:18" ht="15" customHeight="1">
      <c r="A12" s="33" t="s">
        <v>11</v>
      </c>
      <c r="B12" s="34">
        <f>COUNTIFS(tbl_Beneficiaires[Domaine d''intervention],A12)</f>
        <v>1</v>
      </c>
      <c r="D12" s="33" t="s">
        <v>954</v>
      </c>
      <c r="E12" s="34">
        <f>COUNTIFS(tbl_Beneficiaires[Departement],D12)</f>
        <v>1</v>
      </c>
      <c r="G12" s="35"/>
      <c r="H12" s="34" t="str">
        <f>IF(G12="","",COUNTIFS(tbl_Beneficiaires[Nom du projet],G12))</f>
        <v/>
      </c>
    </row>
    <row r="13" spans="1:18" ht="15" customHeight="1">
      <c r="A13" s="33" t="s">
        <v>15</v>
      </c>
      <c r="B13" s="34">
        <f>COUNTIFS(tbl_Beneficiaires[Domaine d''intervention],A13)</f>
        <v>0</v>
      </c>
      <c r="D13" s="33" t="s">
        <v>984</v>
      </c>
      <c r="E13" s="34">
        <f>COUNTIFS(tbl_Beneficiaires[Departement],D13)</f>
        <v>0</v>
      </c>
      <c r="G13" s="35"/>
      <c r="H13" s="34" t="str">
        <f>IF(G13="","",COUNTIFS(tbl_Beneficiaires[Nom du projet],G13))</f>
        <v/>
      </c>
    </row>
    <row r="14" spans="1:18" ht="15" customHeight="1">
      <c r="A14" s="33" t="s">
        <v>19</v>
      </c>
      <c r="B14" s="34">
        <f>COUNTIFS(tbl_Beneficiaires[Domaine d''intervention],A14)</f>
        <v>0</v>
      </c>
      <c r="D14" s="35"/>
      <c r="E14" s="34" t="str">
        <f>IF(D14="","",COUNTIFS(tbl_Beneficiaires[Departement],D14))</f>
        <v/>
      </c>
      <c r="G14" s="35"/>
      <c r="H14" s="34" t="str">
        <f>IF(G14="","",COUNTIFS(tbl_Beneficiaires[Nom du projet],G14))</f>
        <v/>
      </c>
    </row>
    <row r="15" spans="1:18" ht="15" customHeight="1">
      <c r="A15" s="33" t="s">
        <v>24</v>
      </c>
      <c r="B15" s="34">
        <f>COUNTIFS(tbl_Beneficiaires[Domaine d''intervention],A15)</f>
        <v>0</v>
      </c>
      <c r="D15" s="35"/>
      <c r="E15" s="34" t="str">
        <f>IF(D15="","",COUNTIFS(tbl_Beneficiaires[Departement],D15))</f>
        <v/>
      </c>
      <c r="G15" s="35"/>
      <c r="H15" s="34" t="str">
        <f>IF(G15="","",COUNTIFS(tbl_Beneficiaires[Nom du projet],G15))</f>
        <v/>
      </c>
    </row>
    <row r="16" spans="1:18" ht="15" customHeight="1">
      <c r="A16" s="33" t="s">
        <v>32</v>
      </c>
      <c r="B16" s="34">
        <f>COUNTIFS(tbl_Beneficiaires[Domaine d''intervention],A16)</f>
        <v>0</v>
      </c>
      <c r="D16" s="35"/>
      <c r="E16" s="34" t="str">
        <f>IF(D16="","",COUNTIFS(tbl_Beneficiaires[Departement],D16))</f>
        <v/>
      </c>
      <c r="G16" s="35"/>
      <c r="H16" s="34" t="str">
        <f>IF(G16="","",COUNTIFS(tbl_Beneficiaires[Nom du projet],G16))</f>
        <v/>
      </c>
    </row>
    <row r="17" spans="1:8" ht="15" customHeight="1">
      <c r="A17" s="33" t="s">
        <v>34</v>
      </c>
      <c r="B17" s="34">
        <f>COUNTIFS(tbl_Beneficiaires[Domaine d''intervention],A17)</f>
        <v>0</v>
      </c>
      <c r="D17" s="35"/>
      <c r="E17" s="34" t="str">
        <f>IF(D17="","",COUNTIFS(tbl_Beneficiaires[Departement],D17))</f>
        <v/>
      </c>
      <c r="G17" s="35"/>
      <c r="H17" s="34" t="str">
        <f>IF(G17="","",COUNTIFS(tbl_Beneficiaires[Nom du projet],G17))</f>
        <v/>
      </c>
    </row>
    <row r="18" spans="1:8" ht="15" customHeight="1">
      <c r="A18" s="33" t="s">
        <v>36</v>
      </c>
      <c r="B18" s="34">
        <f>COUNTIFS(tbl_Beneficiaires[Domaine d''intervention],A18)</f>
        <v>0</v>
      </c>
      <c r="D18" s="35"/>
      <c r="E18" s="34" t="str">
        <f>IF(D18="","",COUNTIFS(tbl_Beneficiaires[Departement],D18))</f>
        <v/>
      </c>
      <c r="G18" s="35"/>
      <c r="H18" s="34" t="str">
        <f>IF(G18="","",COUNTIFS(tbl_Beneficiaires[Nom du projet],G18))</f>
        <v/>
      </c>
    </row>
    <row r="19" spans="1:8" ht="15" customHeight="1">
      <c r="A19" s="33" t="s">
        <v>38</v>
      </c>
      <c r="B19" s="34">
        <f>COUNTIFS(tbl_Beneficiaires[Domaine d''intervention],A19)</f>
        <v>0</v>
      </c>
      <c r="D19" s="35"/>
      <c r="E19" s="34" t="str">
        <f>IF(D19="","",COUNTIFS(tbl_Beneficiaires[Departement],D19))</f>
        <v/>
      </c>
      <c r="G19" s="35"/>
      <c r="H19" s="34" t="str">
        <f>IF(G19="","",COUNTIFS(tbl_Beneficiaires[Nom du projet],G19))</f>
        <v/>
      </c>
    </row>
    <row r="20" spans="1:8" ht="15" customHeight="1">
      <c r="A20" s="33" t="s">
        <v>46</v>
      </c>
      <c r="B20" s="34">
        <f>COUNTIFS(tbl_Beneficiaires[Domaine d''intervention],A20)</f>
        <v>0</v>
      </c>
      <c r="D20" s="35"/>
      <c r="E20" s="34" t="str">
        <f>IF(D20="","",COUNTIFS(tbl_Beneficiaires[Departement],D20))</f>
        <v/>
      </c>
      <c r="G20" s="35"/>
      <c r="H20" s="34" t="str">
        <f>IF(G20="","",COUNTIFS(tbl_Beneficiaires[Nom du projet],G20))</f>
        <v/>
      </c>
    </row>
    <row r="21" spans="1:8" ht="15" customHeight="1">
      <c r="A21" s="33" t="s">
        <v>48</v>
      </c>
      <c r="B21" s="34">
        <f>COUNTIFS(tbl_Beneficiaires[Domaine d''intervention],A21)</f>
        <v>0</v>
      </c>
      <c r="D21" s="35"/>
      <c r="E21" s="34" t="str">
        <f>IF(D21="","",COUNTIFS(tbl_Beneficiaires[Departement],D21))</f>
        <v/>
      </c>
      <c r="G21" s="35"/>
      <c r="H21" s="34" t="str">
        <f>IF(G21="","",COUNTIFS(tbl_Beneficiaires[Nom du projet],G21))</f>
        <v/>
      </c>
    </row>
    <row r="22" spans="1:8" ht="15" customHeight="1">
      <c r="A22" s="33" t="s">
        <v>50</v>
      </c>
      <c r="B22" s="34">
        <f>COUNTIFS(tbl_Beneficiaires[Domaine d''intervention],A22)</f>
        <v>0</v>
      </c>
    </row>
    <row r="23" spans="1:8" ht="27.75" customHeight="1">
      <c r="A23" s="33" t="s">
        <v>52</v>
      </c>
      <c r="B23" s="34">
        <f>COUNTIFS(tbl_Beneficiaires[Domaine d''intervention],A23)</f>
        <v>0</v>
      </c>
      <c r="G23" s="295" t="s">
        <v>1543</v>
      </c>
      <c r="H23" s="262"/>
    </row>
    <row r="24" spans="1:8" ht="15" customHeight="1">
      <c r="A24" s="33" t="s">
        <v>53</v>
      </c>
      <c r="B24" s="34">
        <f>COUNTIFS(tbl_Beneficiaires[Domaine d''intervention],A24)</f>
        <v>0</v>
      </c>
    </row>
    <row r="25" spans="1:8" ht="15" customHeight="1">
      <c r="A25" s="33" t="s">
        <v>60</v>
      </c>
      <c r="B25" s="34">
        <f>COUNTIFS(tbl_Beneficiaires[Domaine d''intervention],A25)</f>
        <v>0</v>
      </c>
    </row>
    <row r="26" spans="1:8" ht="15" customHeight="1">
      <c r="A26" s="33" t="s">
        <v>61</v>
      </c>
      <c r="B26" s="34">
        <f>COUNTIFS(tbl_Beneficiaires[Domaine d''intervention],A26)</f>
        <v>0</v>
      </c>
    </row>
    <row r="27" spans="1:8" ht="15" customHeight="1">
      <c r="A27" s="33" t="s">
        <v>62</v>
      </c>
      <c r="B27" s="34">
        <f>COUNTIFS(tbl_Beneficiaires[Domaine d''intervention],A27)</f>
        <v>0</v>
      </c>
    </row>
    <row r="28" spans="1:8" ht="15" customHeight="1">
      <c r="A28" s="33" t="s">
        <v>63</v>
      </c>
      <c r="B28" s="34">
        <f>COUNTIFS(tbl_Beneficiaires[Domaine d''intervention],A28)</f>
        <v>0</v>
      </c>
    </row>
    <row r="29" spans="1:8" ht="15" customHeight="1">
      <c r="A29" s="33" t="s">
        <v>64</v>
      </c>
      <c r="B29" s="34">
        <f>COUNTIFS(tbl_Beneficiaires[Domaine d''intervention],A29)</f>
        <v>0</v>
      </c>
    </row>
    <row r="30" spans="1:8" ht="15" customHeight="1">
      <c r="A30" s="33" t="s">
        <v>67</v>
      </c>
      <c r="B30" s="34">
        <f>COUNTIFS(tbl_Beneficiaires[Domaine d''intervention],A30)</f>
        <v>0</v>
      </c>
    </row>
    <row r="31" spans="1:8" ht="15" customHeight="1">
      <c r="A31" s="33" t="s">
        <v>68</v>
      </c>
      <c r="B31" s="34">
        <f>COUNTIFS(tbl_Beneficiaires[Domaine d''intervention],A31)</f>
        <v>0</v>
      </c>
    </row>
    <row r="32" spans="1:8" ht="15" customHeight="1">
      <c r="A32" s="33" t="s">
        <v>69</v>
      </c>
      <c r="B32" s="34">
        <f>COUNTIFS(tbl_Beneficiaires[Domaine d''intervention],A32)</f>
        <v>0</v>
      </c>
    </row>
    <row r="33" spans="1:2" ht="15" customHeight="1">
      <c r="A33" s="33" t="s">
        <v>70</v>
      </c>
      <c r="B33" s="34">
        <f>COUNTIFS(tbl_Beneficiaires[Domaine d''intervention],A33)</f>
        <v>0</v>
      </c>
    </row>
    <row r="34" spans="1:2" ht="15" customHeight="1">
      <c r="A34" s="33" t="s">
        <v>71</v>
      </c>
      <c r="B34" s="34">
        <f>COUNTIFS(tbl_Beneficiaires[Domaine d''intervention],A34)</f>
        <v>0</v>
      </c>
    </row>
    <row r="35" spans="1:2" ht="15" customHeight="1">
      <c r="A35" s="33" t="s">
        <v>72</v>
      </c>
      <c r="B35" s="34">
        <f>COUNTIFS(tbl_Beneficiaires[Domaine d''intervention],A35)</f>
        <v>0</v>
      </c>
    </row>
    <row r="36" spans="1:2" ht="15" customHeight="1">
      <c r="A36" s="33" t="s">
        <v>73</v>
      </c>
      <c r="B36" s="34">
        <f>COUNTIFS(tbl_Beneficiaires[Domaine d''intervention],A36)</f>
        <v>0</v>
      </c>
    </row>
    <row r="37" spans="1:2" ht="15" customHeight="1">
      <c r="A37" s="33" t="s">
        <v>74</v>
      </c>
      <c r="B37" s="34">
        <f>COUNTIFS(tbl_Beneficiaires[Domaine d''intervention],A37)</f>
        <v>0</v>
      </c>
    </row>
    <row r="38" spans="1:2" ht="15" customHeight="1">
      <c r="A38" s="33" t="s">
        <v>75</v>
      </c>
      <c r="B38" s="34">
        <f>COUNTIFS(tbl_Beneficiaires[Domaine d''intervention],A38)</f>
        <v>0</v>
      </c>
    </row>
    <row r="39" spans="1:2" ht="15" customHeight="1">
      <c r="A39" s="33" t="s">
        <v>76</v>
      </c>
      <c r="B39" s="34">
        <f>COUNTIFS(tbl_Beneficiaires[Domaine d''intervention],A39)</f>
        <v>0</v>
      </c>
    </row>
    <row r="40" spans="1:2" ht="15" customHeight="1">
      <c r="A40" s="33" t="s">
        <v>77</v>
      </c>
      <c r="B40" s="34">
        <f>COUNTIFS(tbl_Beneficiaires[Domaine d''intervention],A40)</f>
        <v>0</v>
      </c>
    </row>
    <row r="41" spans="1:2" ht="15" customHeight="1">
      <c r="A41" s="33" t="s">
        <v>78</v>
      </c>
      <c r="B41" s="34">
        <f>COUNTIFS(tbl_Beneficiaires[Domaine d''intervention],A41)</f>
        <v>0</v>
      </c>
    </row>
    <row r="42" spans="1:2" ht="15" customHeight="1">
      <c r="A42" s="33" t="s">
        <v>79</v>
      </c>
      <c r="B42" s="34">
        <f>COUNTIFS(tbl_Beneficiaires[Domaine d''intervention],A42)</f>
        <v>0</v>
      </c>
    </row>
    <row r="43" spans="1:2" ht="15" customHeight="1">
      <c r="A43" s="33" t="s">
        <v>80</v>
      </c>
      <c r="B43" s="34">
        <f>COUNTIFS(tbl_Beneficiaires[Domaine d''intervention],A43)</f>
        <v>0</v>
      </c>
    </row>
    <row r="44" spans="1:2" ht="15" customHeight="1">
      <c r="A44" s="33" t="s">
        <v>81</v>
      </c>
      <c r="B44" s="34">
        <f>COUNTIFS(tbl_Beneficiaires[Domaine d''intervention],A44)</f>
        <v>0</v>
      </c>
    </row>
    <row r="45" spans="1:2" ht="15" customHeight="1">
      <c r="A45" s="33" t="s">
        <v>83</v>
      </c>
      <c r="B45" s="34">
        <f>COUNTIFS(tbl_Beneficiaires[Domaine d''intervention],A45)</f>
        <v>0</v>
      </c>
    </row>
    <row r="46" spans="1:2" ht="15" customHeight="1">
      <c r="A46" s="33" t="s">
        <v>88</v>
      </c>
      <c r="B46" s="34">
        <f>COUNTIFS(tbl_Beneficiaires[Domaine d''intervention],A46)</f>
        <v>0</v>
      </c>
    </row>
    <row r="47" spans="1:2" ht="15" customHeight="1">
      <c r="A47" s="33" t="s">
        <v>91</v>
      </c>
      <c r="B47" s="34">
        <f>COUNTIFS(tbl_Beneficiaires[Domaine d''intervention],A47)</f>
        <v>0</v>
      </c>
    </row>
    <row r="48" spans="1:2" ht="15" customHeight="1">
      <c r="A48" s="33" t="s">
        <v>94</v>
      </c>
      <c r="B48" s="34">
        <f>COUNTIFS(tbl_Beneficiaires[Domaine d''intervention],A48)</f>
        <v>0</v>
      </c>
    </row>
    <row r="49" spans="1:78" ht="15" customHeight="1">
      <c r="A49" s="33" t="s">
        <v>96</v>
      </c>
      <c r="B49" s="34">
        <f>COUNTIFS(tbl_Beneficiaires[Domaine d''intervention],A49)</f>
        <v>0</v>
      </c>
    </row>
    <row r="50" spans="1:78" ht="15" customHeight="1">
      <c r="A50" s="33" t="s">
        <v>98</v>
      </c>
      <c r="B50" s="34">
        <f>COUNTIFS(tbl_Beneficiaires[Domaine d''intervention],A50)</f>
        <v>0</v>
      </c>
    </row>
    <row r="51" spans="1:78" ht="15" customHeight="1">
      <c r="A51" s="33" t="s">
        <v>100</v>
      </c>
      <c r="B51" s="34">
        <f>COUNTIFS(tbl_Beneficiaires[Domaine d''intervention],A51)</f>
        <v>0</v>
      </c>
    </row>
    <row r="54" spans="1:78" ht="19.5" customHeight="1">
      <c r="A54" s="289" t="s">
        <v>1544</v>
      </c>
      <c r="B54" s="262"/>
      <c r="C54" s="262"/>
      <c r="D54" s="262"/>
      <c r="E54" s="262"/>
      <c r="F54" s="262"/>
      <c r="G54" s="262"/>
      <c r="H54" s="262"/>
      <c r="I54" s="262"/>
      <c r="J54" s="262"/>
      <c r="K54" s="262"/>
      <c r="L54" s="262"/>
      <c r="M54" s="262"/>
      <c r="N54" s="262"/>
      <c r="O54" s="262"/>
      <c r="P54" s="262"/>
      <c r="Q54" s="262"/>
      <c r="R54" s="262"/>
      <c r="S54" s="262"/>
      <c r="T54" s="262"/>
      <c r="U54" s="262"/>
      <c r="V54" s="262"/>
      <c r="W54" s="262"/>
      <c r="X54" s="262"/>
      <c r="Y54" s="262"/>
      <c r="Z54" s="262"/>
      <c r="AA54" s="262"/>
      <c r="AB54" s="262"/>
      <c r="AC54" s="262"/>
      <c r="AD54" s="262"/>
      <c r="AE54" s="262"/>
      <c r="AF54" s="262"/>
      <c r="AG54" s="262"/>
      <c r="AH54" s="262"/>
      <c r="AI54" s="262"/>
      <c r="AJ54" s="262"/>
      <c r="AK54" s="262"/>
      <c r="AL54" s="262"/>
      <c r="AM54" s="262"/>
      <c r="AN54" s="262"/>
      <c r="AO54" s="262"/>
      <c r="AP54" s="262"/>
      <c r="AQ54" s="262"/>
      <c r="AR54" s="262"/>
      <c r="AS54" s="262"/>
      <c r="AT54" s="262"/>
      <c r="AU54" s="262"/>
      <c r="AV54" s="262"/>
      <c r="AW54" s="262"/>
      <c r="AX54" s="262"/>
      <c r="AY54" s="262"/>
      <c r="AZ54" s="262"/>
      <c r="BA54" s="262"/>
      <c r="BB54" s="262"/>
      <c r="BC54" s="262"/>
      <c r="BD54" s="262"/>
      <c r="BE54" s="262"/>
      <c r="BF54" s="262"/>
      <c r="BG54" s="262"/>
      <c r="BH54" s="262"/>
      <c r="BI54" s="262"/>
      <c r="BJ54" s="262"/>
      <c r="BK54" s="262"/>
      <c r="BL54" s="262"/>
      <c r="BM54" s="262"/>
      <c r="BN54" s="262"/>
      <c r="BO54" s="262"/>
      <c r="BP54" s="262"/>
      <c r="BQ54" s="262"/>
      <c r="BR54" s="262"/>
      <c r="BS54" s="262"/>
      <c r="BT54" s="262"/>
      <c r="BU54" s="262"/>
      <c r="BV54" s="262"/>
      <c r="BW54" s="262"/>
      <c r="BX54" s="262"/>
      <c r="BY54" s="262"/>
      <c r="BZ54" s="262"/>
    </row>
    <row r="55" spans="1:78" ht="31.5" customHeight="1">
      <c r="A55" s="32" t="s">
        <v>1545</v>
      </c>
      <c r="B55" s="32" t="s">
        <v>1546</v>
      </c>
      <c r="C55" s="32" t="s">
        <v>1547</v>
      </c>
      <c r="D55" s="32" t="s">
        <v>1512</v>
      </c>
      <c r="E55" s="32" t="s">
        <v>1548</v>
      </c>
      <c r="F55" s="32" t="s">
        <v>1549</v>
      </c>
      <c r="G55" s="32" t="s">
        <v>1372</v>
      </c>
      <c r="H55" s="32" t="s">
        <v>10</v>
      </c>
      <c r="I55" s="32" t="s">
        <v>1514</v>
      </c>
      <c r="J55" s="32" t="s">
        <v>1550</v>
      </c>
      <c r="K55" s="32" t="s">
        <v>1551</v>
      </c>
      <c r="L55" s="32" t="s">
        <v>1552</v>
      </c>
      <c r="M55" s="32" t="s">
        <v>1553</v>
      </c>
      <c r="N55" s="32" t="s">
        <v>1554</v>
      </c>
      <c r="O55" s="32" t="s">
        <v>1555</v>
      </c>
      <c r="P55" s="32" t="s">
        <v>1556</v>
      </c>
      <c r="Q55" s="32" t="s">
        <v>1557</v>
      </c>
      <c r="R55" s="32" t="s">
        <v>1558</v>
      </c>
      <c r="S55" s="32" t="s">
        <v>1559</v>
      </c>
      <c r="T55" s="32" t="s">
        <v>1560</v>
      </c>
      <c r="U55" s="32" t="s">
        <v>1561</v>
      </c>
      <c r="V55" s="32" t="s">
        <v>1562</v>
      </c>
      <c r="W55" s="32" t="s">
        <v>1563</v>
      </c>
      <c r="X55" s="32" t="s">
        <v>1564</v>
      </c>
      <c r="Y55" s="32" t="s">
        <v>1565</v>
      </c>
      <c r="Z55" s="32" t="s">
        <v>1566</v>
      </c>
      <c r="AA55" s="32" t="s">
        <v>1567</v>
      </c>
      <c r="AB55" s="32" t="s">
        <v>1568</v>
      </c>
      <c r="AC55" s="32" t="s">
        <v>1569</v>
      </c>
      <c r="AD55" s="32" t="s">
        <v>1570</v>
      </c>
      <c r="AE55" s="32" t="s">
        <v>1571</v>
      </c>
      <c r="AF55" s="32" t="s">
        <v>1572</v>
      </c>
      <c r="AG55" s="32" t="s">
        <v>1573</v>
      </c>
      <c r="AH55" s="32" t="s">
        <v>1574</v>
      </c>
      <c r="AI55" s="32" t="s">
        <v>1575</v>
      </c>
      <c r="AJ55" s="32" t="s">
        <v>1576</v>
      </c>
      <c r="AK55" s="32" t="s">
        <v>1577</v>
      </c>
      <c r="AL55" s="32" t="s">
        <v>949</v>
      </c>
      <c r="AM55" s="32" t="s">
        <v>941</v>
      </c>
      <c r="AN55" s="32" t="s">
        <v>943</v>
      </c>
      <c r="AO55" s="32" t="s">
        <v>945</v>
      </c>
      <c r="AP55" s="32" t="s">
        <v>947</v>
      </c>
      <c r="AQ55" s="32" t="s">
        <v>1578</v>
      </c>
      <c r="AR55" s="32" t="s">
        <v>1579</v>
      </c>
      <c r="AS55" s="32" t="s">
        <v>1580</v>
      </c>
      <c r="AT55" s="32" t="s">
        <v>1581</v>
      </c>
      <c r="AU55" s="32" t="s">
        <v>1582</v>
      </c>
      <c r="AV55" s="32" t="s">
        <v>1369</v>
      </c>
      <c r="AW55" s="32" t="s">
        <v>1583</v>
      </c>
      <c r="AX55" s="32" t="s">
        <v>1584</v>
      </c>
      <c r="AY55" s="32" t="s">
        <v>1585</v>
      </c>
      <c r="AZ55" s="32" t="s">
        <v>1586</v>
      </c>
      <c r="BA55" s="32" t="s">
        <v>1540</v>
      </c>
      <c r="BB55" s="32" t="s">
        <v>1587</v>
      </c>
      <c r="BC55" s="32" t="s">
        <v>1588</v>
      </c>
      <c r="BD55" s="32" t="s">
        <v>1589</v>
      </c>
      <c r="BE55" s="32" t="s">
        <v>1590</v>
      </c>
      <c r="BF55" s="32" t="s">
        <v>1591</v>
      </c>
      <c r="BG55" s="32" t="s">
        <v>1592</v>
      </c>
      <c r="BH55" s="32" t="s">
        <v>1593</v>
      </c>
      <c r="BI55" s="32" t="s">
        <v>1594</v>
      </c>
      <c r="BJ55" s="32" t="s">
        <v>1595</v>
      </c>
      <c r="BK55" s="32" t="s">
        <v>1596</v>
      </c>
      <c r="BL55" s="32" t="s">
        <v>1597</v>
      </c>
      <c r="BM55" s="32" t="s">
        <v>1598</v>
      </c>
      <c r="BN55" s="32" t="s">
        <v>1599</v>
      </c>
      <c r="BO55" s="32" t="s">
        <v>1600</v>
      </c>
      <c r="BP55" s="32" t="s">
        <v>1601</v>
      </c>
      <c r="BQ55" s="32" t="s">
        <v>1602</v>
      </c>
      <c r="BR55" s="32" t="s">
        <v>1603</v>
      </c>
      <c r="BS55" s="32" t="s">
        <v>1604</v>
      </c>
      <c r="BT55" s="32" t="s">
        <v>1605</v>
      </c>
      <c r="BU55" s="32" t="s">
        <v>1606</v>
      </c>
      <c r="BV55" s="32" t="s">
        <v>1607</v>
      </c>
      <c r="BW55" s="32" t="s">
        <v>1608</v>
      </c>
      <c r="BX55" s="32" t="s">
        <v>1609</v>
      </c>
      <c r="BY55" s="32" t="s">
        <v>1610</v>
      </c>
      <c r="BZ55" s="32" t="s">
        <v>1611</v>
      </c>
    </row>
    <row r="56" spans="1:78" ht="15" customHeight="1">
      <c r="A56" s="36" t="str">
        <f t="shared" ref="A56:A87" si="0">IF(D56="","","BEN"&amp;TEXT(ROW()-55,"00000"))</f>
        <v>BEN00001</v>
      </c>
      <c r="B56" s="37" t="s">
        <v>1612</v>
      </c>
      <c r="C56" s="37"/>
      <c r="D56" s="37" t="s">
        <v>1613</v>
      </c>
      <c r="E56" s="37" t="s">
        <v>1614</v>
      </c>
      <c r="F56" s="37" t="s">
        <v>1615</v>
      </c>
      <c r="G56" s="36" t="str">
        <f t="shared" ref="G56:G87" si="1">TRIM(D56&amp;" "&amp;E56&amp;" "&amp;F56)</f>
        <v>MABIALA Nzoussi Christel</v>
      </c>
      <c r="H56" s="37" t="s">
        <v>14</v>
      </c>
      <c r="I56" s="38">
        <v>37330</v>
      </c>
      <c r="J56" s="36">
        <f t="shared" ref="J56:J87" ca="1" si="2">IF(I56="","",DATEDIF(I56,TODAY(),"y"))</f>
        <v>24</v>
      </c>
      <c r="K56" s="36" t="str">
        <f t="shared" ref="K56:K87" ca="1" si="3">IF(J56="","",IF(J56&lt;5,"0-4 ans",IF(J56&lt;10,"5-9 ans",IF(J56&lt;15,"10-14 ans",IF(J56&lt;18,"15-17 ans",IF(J56&lt;25,"18-24 ans",IF(J56&lt;35,"25-34 ans",IF(J56&lt;45,"35-44 ans",IF(J56&lt;55,"45-54 ans",IF(J56&lt;65,"55-64 ans","65 ans et plus"))))))))))</f>
        <v>18-24 ans</v>
      </c>
      <c r="L56" s="37" t="s">
        <v>1616</v>
      </c>
      <c r="M56" s="37"/>
      <c r="N56" s="37"/>
      <c r="O56" s="37"/>
      <c r="P56" s="39"/>
      <c r="Q56" s="37"/>
      <c r="R56" s="39"/>
      <c r="S56" s="39"/>
      <c r="T56" s="39"/>
      <c r="U56" s="39"/>
      <c r="V56" s="37" t="s">
        <v>275</v>
      </c>
      <c r="W56" s="37"/>
      <c r="X56" s="37"/>
      <c r="Y56" s="37"/>
      <c r="Z56" s="37"/>
      <c r="AA56" s="37"/>
      <c r="AB56" s="37"/>
      <c r="AC56" s="37"/>
      <c r="AD56" s="37"/>
      <c r="AE56" s="37"/>
      <c r="AF56" s="37"/>
      <c r="AG56" s="37"/>
      <c r="AH56" s="37"/>
      <c r="AI56" s="37"/>
      <c r="AJ56" s="37"/>
      <c r="AK56" s="37"/>
      <c r="AL56" s="37" t="s">
        <v>957</v>
      </c>
      <c r="AM56" s="36" t="str">
        <f>IFERROR(INDEX(PARAMETRES!$B$536:$B$586,MATCH(AL56,PARAMETRES!$J$536:$J$586,0)),"")</f>
        <v>Congo</v>
      </c>
      <c r="AN56" s="36" t="str">
        <f>IFERROR(INDEX(PARAMETRES!$D$536:$D$586,MATCH(AL56,PARAMETRES!$J$536:$J$586,0)),"")</f>
        <v>Brazzaville</v>
      </c>
      <c r="AO56" s="36" t="str">
        <f>IFERROR(INDEX(PARAMETRES!$F$536:$F$586,MATCH(AL56,PARAMETRES!$J$536:$J$586,0)),"")</f>
        <v>Brazzaville</v>
      </c>
      <c r="AP56" s="36" t="str">
        <f>IFERROR(INDEX(PARAMETRES!$G$536:$G$586,MATCH(AL56,PARAMETRES!$J$536:$J$586,0)),"")</f>
        <v>ARR01</v>
      </c>
      <c r="AQ56" s="37"/>
      <c r="AR56" s="37"/>
      <c r="AS56" s="37"/>
      <c r="AT56" s="37"/>
      <c r="AU56" s="37"/>
      <c r="AV56" s="37"/>
      <c r="AW56" s="37"/>
      <c r="AX56" s="37"/>
      <c r="AY56" s="37" t="s">
        <v>1617</v>
      </c>
      <c r="AZ56" s="37" t="s">
        <v>1618</v>
      </c>
      <c r="BA56" s="37" t="s">
        <v>11</v>
      </c>
      <c r="BB56" s="38"/>
      <c r="BC56" s="37" t="s">
        <v>177</v>
      </c>
      <c r="BD56" s="37" t="s">
        <v>177</v>
      </c>
      <c r="BE56" s="38">
        <v>45323</v>
      </c>
      <c r="BF56" s="38"/>
      <c r="BG56" s="37"/>
      <c r="BH56" s="37" t="s">
        <v>256</v>
      </c>
      <c r="BI56" s="37"/>
      <c r="BJ56" s="37"/>
      <c r="BK56" s="37"/>
      <c r="BL56" s="37"/>
      <c r="BM56" s="38"/>
      <c r="BN56" s="37"/>
      <c r="BO56" s="37"/>
      <c r="BP56" s="37"/>
      <c r="BQ56" s="37"/>
      <c r="BR56" s="37"/>
      <c r="BS56" s="37"/>
      <c r="BT56" s="37"/>
      <c r="BU56" s="38"/>
      <c r="BV56" s="36">
        <f t="shared" ref="BV56:BV87" ca="1" si="4">IF(BE56="","",DATEDIF(BE56,TODAY(),"y"))</f>
        <v>2</v>
      </c>
      <c r="BW56" s="36">
        <f>COUNTIF(tbl_Beneficiaires_Activites[ID Beneficiaire],A56)</f>
        <v>0</v>
      </c>
      <c r="BX56" s="36">
        <f>COUNTIF(tbl_Beneficiaires_Appuis[ID Beneficiaire],A56)</f>
        <v>0</v>
      </c>
      <c r="BY56" s="36" t="str">
        <f t="shared" ref="BY56:BY87" si="5">IF(D56="","",IF(COUNTIFS($D$56:$D$115,D56,$F$56:$F$115,F56,$I$56:$I$115,I56)&gt;1,"DOUBLON POSSIBLE","OK"))</f>
        <v>OK</v>
      </c>
      <c r="BZ56" s="37"/>
    </row>
    <row r="57" spans="1:78" ht="15" customHeight="1">
      <c r="A57" s="36" t="str">
        <f t="shared" si="0"/>
        <v/>
      </c>
      <c r="B57" s="37"/>
      <c r="C57" s="37"/>
      <c r="D57" s="37"/>
      <c r="E57" s="37"/>
      <c r="F57" s="37"/>
      <c r="G57" s="36" t="str">
        <f t="shared" si="1"/>
        <v/>
      </c>
      <c r="H57" s="37"/>
      <c r="I57" s="38"/>
      <c r="J57" s="36" t="str">
        <f t="shared" ca="1" si="2"/>
        <v/>
      </c>
      <c r="K57" s="36" t="str">
        <f t="shared" ca="1" si="3"/>
        <v/>
      </c>
      <c r="L57" s="37"/>
      <c r="M57" s="37"/>
      <c r="N57" s="37"/>
      <c r="O57" s="37"/>
      <c r="P57" s="39"/>
      <c r="Q57" s="37"/>
      <c r="R57" s="39"/>
      <c r="S57" s="39"/>
      <c r="T57" s="39"/>
      <c r="U57" s="39"/>
      <c r="V57" s="37"/>
      <c r="W57" s="37"/>
      <c r="X57" s="37"/>
      <c r="Y57" s="37"/>
      <c r="Z57" s="37"/>
      <c r="AA57" s="37"/>
      <c r="AB57" s="37"/>
      <c r="AC57" s="37"/>
      <c r="AD57" s="37"/>
      <c r="AE57" s="37"/>
      <c r="AF57" s="37"/>
      <c r="AG57" s="37"/>
      <c r="AH57" s="37"/>
      <c r="AI57" s="37"/>
      <c r="AJ57" s="37"/>
      <c r="AK57" s="37"/>
      <c r="AL57" s="37"/>
      <c r="AM57" s="36" t="str">
        <f>IFERROR(INDEX(PARAMETRES!$B$536:$B$586,MATCH(AL57,PARAMETRES!$J$536:$J$586,0)),"")</f>
        <v/>
      </c>
      <c r="AN57" s="36" t="str">
        <f>IFERROR(INDEX(PARAMETRES!$D$536:$D$586,MATCH(AL57,PARAMETRES!$J$536:$J$586,0)),"")</f>
        <v/>
      </c>
      <c r="AO57" s="36" t="str">
        <f>IFERROR(INDEX(PARAMETRES!$F$536:$F$586,MATCH(AL57,PARAMETRES!$J$536:$J$586,0)),"")</f>
        <v/>
      </c>
      <c r="AP57" s="36" t="str">
        <f>IFERROR(INDEX(PARAMETRES!$G$536:$G$586,MATCH(AL57,PARAMETRES!$J$536:$J$586,0)),"")</f>
        <v/>
      </c>
      <c r="AQ57" s="37"/>
      <c r="AR57" s="37"/>
      <c r="AS57" s="37"/>
      <c r="AT57" s="37"/>
      <c r="AU57" s="37"/>
      <c r="AV57" s="37"/>
      <c r="AW57" s="37"/>
      <c r="AX57" s="37"/>
      <c r="AY57" s="37"/>
      <c r="AZ57" s="37"/>
      <c r="BA57" s="37"/>
      <c r="BB57" s="38"/>
      <c r="BC57" s="37"/>
      <c r="BD57" s="37"/>
      <c r="BE57" s="38"/>
      <c r="BF57" s="38"/>
      <c r="BG57" s="37"/>
      <c r="BH57" s="37"/>
      <c r="BI57" s="37"/>
      <c r="BJ57" s="37"/>
      <c r="BK57" s="37"/>
      <c r="BL57" s="37"/>
      <c r="BM57" s="38"/>
      <c r="BN57" s="37"/>
      <c r="BO57" s="37"/>
      <c r="BP57" s="37"/>
      <c r="BQ57" s="37"/>
      <c r="BR57" s="37"/>
      <c r="BS57" s="37"/>
      <c r="BT57" s="37"/>
      <c r="BU57" s="38"/>
      <c r="BV57" s="36" t="str">
        <f t="shared" ca="1" si="4"/>
        <v/>
      </c>
      <c r="BW57" s="36">
        <f>COUNTIF(tbl_Beneficiaires_Activites[ID Beneficiaire],A57)</f>
        <v>40</v>
      </c>
      <c r="BX57" s="36">
        <f>COUNTIF(tbl_Beneficiaires_Appuis[ID Beneficiaire],A57)</f>
        <v>40</v>
      </c>
      <c r="BY57" s="36" t="str">
        <f t="shared" si="5"/>
        <v/>
      </c>
      <c r="BZ57" s="37"/>
    </row>
    <row r="58" spans="1:78" ht="15" customHeight="1">
      <c r="A58" s="36" t="str">
        <f t="shared" si="0"/>
        <v/>
      </c>
      <c r="B58" s="37"/>
      <c r="C58" s="37"/>
      <c r="D58" s="37"/>
      <c r="E58" s="37"/>
      <c r="F58" s="37"/>
      <c r="G58" s="36" t="str">
        <f t="shared" si="1"/>
        <v/>
      </c>
      <c r="H58" s="37"/>
      <c r="I58" s="38"/>
      <c r="J58" s="36" t="str">
        <f t="shared" ca="1" si="2"/>
        <v/>
      </c>
      <c r="K58" s="36" t="str">
        <f t="shared" ca="1" si="3"/>
        <v/>
      </c>
      <c r="L58" s="37"/>
      <c r="M58" s="37"/>
      <c r="N58" s="37"/>
      <c r="O58" s="37"/>
      <c r="P58" s="39"/>
      <c r="Q58" s="37"/>
      <c r="R58" s="39"/>
      <c r="S58" s="39"/>
      <c r="T58" s="39"/>
      <c r="U58" s="39"/>
      <c r="V58" s="37"/>
      <c r="W58" s="37"/>
      <c r="X58" s="37"/>
      <c r="Y58" s="37"/>
      <c r="Z58" s="37"/>
      <c r="AA58" s="37"/>
      <c r="AB58" s="37"/>
      <c r="AC58" s="37"/>
      <c r="AD58" s="37"/>
      <c r="AE58" s="37"/>
      <c r="AF58" s="37"/>
      <c r="AG58" s="37"/>
      <c r="AH58" s="37"/>
      <c r="AI58" s="37"/>
      <c r="AJ58" s="37"/>
      <c r="AK58" s="37"/>
      <c r="AL58" s="37"/>
      <c r="AM58" s="36" t="str">
        <f>IFERROR(INDEX(PARAMETRES!$B$536:$B$586,MATCH(AL58,PARAMETRES!$J$536:$J$586,0)),"")</f>
        <v/>
      </c>
      <c r="AN58" s="36" t="str">
        <f>IFERROR(INDEX(PARAMETRES!$D$536:$D$586,MATCH(AL58,PARAMETRES!$J$536:$J$586,0)),"")</f>
        <v/>
      </c>
      <c r="AO58" s="36" t="str">
        <f>IFERROR(INDEX(PARAMETRES!$F$536:$F$586,MATCH(AL58,PARAMETRES!$J$536:$J$586,0)),"")</f>
        <v/>
      </c>
      <c r="AP58" s="36" t="str">
        <f>IFERROR(INDEX(PARAMETRES!$G$536:$G$586,MATCH(AL58,PARAMETRES!$J$536:$J$586,0)),"")</f>
        <v/>
      </c>
      <c r="AQ58" s="37"/>
      <c r="AR58" s="37"/>
      <c r="AS58" s="37"/>
      <c r="AT58" s="37"/>
      <c r="AU58" s="37"/>
      <c r="AV58" s="37"/>
      <c r="AW58" s="37"/>
      <c r="AX58" s="37"/>
      <c r="AY58" s="37"/>
      <c r="AZ58" s="37"/>
      <c r="BA58" s="37"/>
      <c r="BB58" s="38"/>
      <c r="BC58" s="37"/>
      <c r="BD58" s="37"/>
      <c r="BE58" s="38"/>
      <c r="BF58" s="38"/>
      <c r="BG58" s="37"/>
      <c r="BH58" s="37"/>
      <c r="BI58" s="37"/>
      <c r="BJ58" s="37"/>
      <c r="BK58" s="37"/>
      <c r="BL58" s="37"/>
      <c r="BM58" s="38"/>
      <c r="BN58" s="37"/>
      <c r="BO58" s="37"/>
      <c r="BP58" s="37"/>
      <c r="BQ58" s="37"/>
      <c r="BR58" s="37"/>
      <c r="BS58" s="37"/>
      <c r="BT58" s="37"/>
      <c r="BU58" s="38"/>
      <c r="BV58" s="36" t="str">
        <f t="shared" ca="1" si="4"/>
        <v/>
      </c>
      <c r="BW58" s="36">
        <f>COUNTIF(tbl_Beneficiaires_Activites[ID Beneficiaire],A58)</f>
        <v>40</v>
      </c>
      <c r="BX58" s="36">
        <f>COUNTIF(tbl_Beneficiaires_Appuis[ID Beneficiaire],A58)</f>
        <v>40</v>
      </c>
      <c r="BY58" s="36" t="str">
        <f t="shared" si="5"/>
        <v/>
      </c>
      <c r="BZ58" s="37"/>
    </row>
    <row r="59" spans="1:78" ht="15" customHeight="1">
      <c r="A59" s="36" t="str">
        <f t="shared" si="0"/>
        <v/>
      </c>
      <c r="B59" s="37"/>
      <c r="C59" s="37"/>
      <c r="D59" s="37"/>
      <c r="E59" s="37"/>
      <c r="F59" s="37"/>
      <c r="G59" s="36" t="str">
        <f t="shared" si="1"/>
        <v/>
      </c>
      <c r="H59" s="37"/>
      <c r="I59" s="38"/>
      <c r="J59" s="36" t="str">
        <f t="shared" ca="1" si="2"/>
        <v/>
      </c>
      <c r="K59" s="36" t="str">
        <f t="shared" ca="1" si="3"/>
        <v/>
      </c>
      <c r="L59" s="37"/>
      <c r="M59" s="37"/>
      <c r="N59" s="37"/>
      <c r="O59" s="37"/>
      <c r="P59" s="39"/>
      <c r="Q59" s="37"/>
      <c r="R59" s="39"/>
      <c r="S59" s="39"/>
      <c r="T59" s="39"/>
      <c r="U59" s="39"/>
      <c r="V59" s="37"/>
      <c r="W59" s="37"/>
      <c r="X59" s="37"/>
      <c r="Y59" s="37"/>
      <c r="Z59" s="37"/>
      <c r="AA59" s="37"/>
      <c r="AB59" s="37"/>
      <c r="AC59" s="37"/>
      <c r="AD59" s="37"/>
      <c r="AE59" s="37"/>
      <c r="AF59" s="37"/>
      <c r="AG59" s="37"/>
      <c r="AH59" s="37"/>
      <c r="AI59" s="37"/>
      <c r="AJ59" s="37"/>
      <c r="AK59" s="37"/>
      <c r="AL59" s="37"/>
      <c r="AM59" s="36" t="str">
        <f>IFERROR(INDEX(PARAMETRES!$B$536:$B$586,MATCH(AL59,PARAMETRES!$J$536:$J$586,0)),"")</f>
        <v/>
      </c>
      <c r="AN59" s="36" t="str">
        <f>IFERROR(INDEX(PARAMETRES!$D$536:$D$586,MATCH(AL59,PARAMETRES!$J$536:$J$586,0)),"")</f>
        <v/>
      </c>
      <c r="AO59" s="36" t="str">
        <f>IFERROR(INDEX(PARAMETRES!$F$536:$F$586,MATCH(AL59,PARAMETRES!$J$536:$J$586,0)),"")</f>
        <v/>
      </c>
      <c r="AP59" s="36" t="str">
        <f>IFERROR(INDEX(PARAMETRES!$G$536:$G$586,MATCH(AL59,PARAMETRES!$J$536:$J$586,0)),"")</f>
        <v/>
      </c>
      <c r="AQ59" s="37"/>
      <c r="AR59" s="37"/>
      <c r="AS59" s="37"/>
      <c r="AT59" s="37"/>
      <c r="AU59" s="37"/>
      <c r="AV59" s="37"/>
      <c r="AW59" s="37"/>
      <c r="AX59" s="37"/>
      <c r="AY59" s="37"/>
      <c r="AZ59" s="37"/>
      <c r="BA59" s="37"/>
      <c r="BB59" s="38"/>
      <c r="BC59" s="37"/>
      <c r="BD59" s="37"/>
      <c r="BE59" s="38"/>
      <c r="BF59" s="38"/>
      <c r="BG59" s="37"/>
      <c r="BH59" s="37"/>
      <c r="BI59" s="37"/>
      <c r="BJ59" s="37"/>
      <c r="BK59" s="37"/>
      <c r="BL59" s="37"/>
      <c r="BM59" s="38"/>
      <c r="BN59" s="37"/>
      <c r="BO59" s="37"/>
      <c r="BP59" s="37"/>
      <c r="BQ59" s="37"/>
      <c r="BR59" s="37"/>
      <c r="BS59" s="37"/>
      <c r="BT59" s="37"/>
      <c r="BU59" s="38"/>
      <c r="BV59" s="36" t="str">
        <f t="shared" ca="1" si="4"/>
        <v/>
      </c>
      <c r="BW59" s="36">
        <f>COUNTIF(tbl_Beneficiaires_Activites[ID Beneficiaire],A59)</f>
        <v>40</v>
      </c>
      <c r="BX59" s="36">
        <f>COUNTIF(tbl_Beneficiaires_Appuis[ID Beneficiaire],A59)</f>
        <v>40</v>
      </c>
      <c r="BY59" s="36" t="str">
        <f t="shared" si="5"/>
        <v/>
      </c>
      <c r="BZ59" s="37"/>
    </row>
    <row r="60" spans="1:78" ht="15" customHeight="1">
      <c r="A60" s="36" t="str">
        <f t="shared" si="0"/>
        <v/>
      </c>
      <c r="B60" s="37"/>
      <c r="C60" s="37"/>
      <c r="D60" s="37"/>
      <c r="E60" s="37"/>
      <c r="F60" s="37"/>
      <c r="G60" s="36" t="str">
        <f t="shared" si="1"/>
        <v/>
      </c>
      <c r="H60" s="37"/>
      <c r="I60" s="38"/>
      <c r="J60" s="36" t="str">
        <f t="shared" ca="1" si="2"/>
        <v/>
      </c>
      <c r="K60" s="36" t="str">
        <f t="shared" ca="1" si="3"/>
        <v/>
      </c>
      <c r="L60" s="37"/>
      <c r="M60" s="37"/>
      <c r="N60" s="37"/>
      <c r="O60" s="37"/>
      <c r="P60" s="39"/>
      <c r="Q60" s="37"/>
      <c r="R60" s="39"/>
      <c r="S60" s="39"/>
      <c r="T60" s="39"/>
      <c r="U60" s="39"/>
      <c r="V60" s="37"/>
      <c r="W60" s="37"/>
      <c r="X60" s="37"/>
      <c r="Y60" s="37"/>
      <c r="Z60" s="37"/>
      <c r="AA60" s="37"/>
      <c r="AB60" s="37"/>
      <c r="AC60" s="37"/>
      <c r="AD60" s="37"/>
      <c r="AE60" s="37"/>
      <c r="AF60" s="37"/>
      <c r="AG60" s="37"/>
      <c r="AH60" s="37"/>
      <c r="AI60" s="37"/>
      <c r="AJ60" s="37"/>
      <c r="AK60" s="37"/>
      <c r="AL60" s="37"/>
      <c r="AM60" s="36" t="str">
        <f>IFERROR(INDEX(PARAMETRES!$B$536:$B$586,MATCH(AL60,PARAMETRES!$J$536:$J$586,0)),"")</f>
        <v/>
      </c>
      <c r="AN60" s="36" t="str">
        <f>IFERROR(INDEX(PARAMETRES!$D$536:$D$586,MATCH(AL60,PARAMETRES!$J$536:$J$586,0)),"")</f>
        <v/>
      </c>
      <c r="AO60" s="36" t="str">
        <f>IFERROR(INDEX(PARAMETRES!$F$536:$F$586,MATCH(AL60,PARAMETRES!$J$536:$J$586,0)),"")</f>
        <v/>
      </c>
      <c r="AP60" s="36" t="str">
        <f>IFERROR(INDEX(PARAMETRES!$G$536:$G$586,MATCH(AL60,PARAMETRES!$J$536:$J$586,0)),"")</f>
        <v/>
      </c>
      <c r="AQ60" s="37"/>
      <c r="AR60" s="37"/>
      <c r="AS60" s="37"/>
      <c r="AT60" s="37"/>
      <c r="AU60" s="37"/>
      <c r="AV60" s="37"/>
      <c r="AW60" s="37"/>
      <c r="AX60" s="37"/>
      <c r="AY60" s="37"/>
      <c r="AZ60" s="37"/>
      <c r="BA60" s="37"/>
      <c r="BB60" s="38"/>
      <c r="BC60" s="37"/>
      <c r="BD60" s="37"/>
      <c r="BE60" s="38"/>
      <c r="BF60" s="38"/>
      <c r="BG60" s="37"/>
      <c r="BH60" s="37"/>
      <c r="BI60" s="37"/>
      <c r="BJ60" s="37"/>
      <c r="BK60" s="37"/>
      <c r="BL60" s="37"/>
      <c r="BM60" s="38"/>
      <c r="BN60" s="37"/>
      <c r="BO60" s="37"/>
      <c r="BP60" s="37"/>
      <c r="BQ60" s="37"/>
      <c r="BR60" s="37"/>
      <c r="BS60" s="37"/>
      <c r="BT60" s="37"/>
      <c r="BU60" s="38"/>
      <c r="BV60" s="36" t="str">
        <f t="shared" ca="1" si="4"/>
        <v/>
      </c>
      <c r="BW60" s="36">
        <f>COUNTIF(tbl_Beneficiaires_Activites[ID Beneficiaire],A60)</f>
        <v>40</v>
      </c>
      <c r="BX60" s="36">
        <f>COUNTIF(tbl_Beneficiaires_Appuis[ID Beneficiaire],A60)</f>
        <v>40</v>
      </c>
      <c r="BY60" s="36" t="str">
        <f t="shared" si="5"/>
        <v/>
      </c>
      <c r="BZ60" s="37"/>
    </row>
    <row r="61" spans="1:78" ht="15" customHeight="1">
      <c r="A61" s="36" t="str">
        <f t="shared" si="0"/>
        <v/>
      </c>
      <c r="B61" s="37"/>
      <c r="C61" s="37"/>
      <c r="D61" s="37"/>
      <c r="E61" s="37"/>
      <c r="F61" s="37"/>
      <c r="G61" s="36" t="str">
        <f t="shared" si="1"/>
        <v/>
      </c>
      <c r="H61" s="37"/>
      <c r="I61" s="38"/>
      <c r="J61" s="36" t="str">
        <f t="shared" ca="1" si="2"/>
        <v/>
      </c>
      <c r="K61" s="36" t="str">
        <f t="shared" ca="1" si="3"/>
        <v/>
      </c>
      <c r="L61" s="37"/>
      <c r="M61" s="37"/>
      <c r="N61" s="37"/>
      <c r="O61" s="37"/>
      <c r="P61" s="39"/>
      <c r="Q61" s="37"/>
      <c r="R61" s="39"/>
      <c r="S61" s="39"/>
      <c r="T61" s="39"/>
      <c r="U61" s="39"/>
      <c r="V61" s="37"/>
      <c r="W61" s="37"/>
      <c r="X61" s="37"/>
      <c r="Y61" s="37"/>
      <c r="Z61" s="37"/>
      <c r="AA61" s="37"/>
      <c r="AB61" s="37"/>
      <c r="AC61" s="37"/>
      <c r="AD61" s="37"/>
      <c r="AE61" s="37"/>
      <c r="AF61" s="37"/>
      <c r="AG61" s="37"/>
      <c r="AH61" s="37"/>
      <c r="AI61" s="37"/>
      <c r="AJ61" s="37"/>
      <c r="AK61" s="37"/>
      <c r="AL61" s="37"/>
      <c r="AM61" s="36" t="str">
        <f>IFERROR(INDEX(PARAMETRES!$B$536:$B$586,MATCH(AL61,PARAMETRES!$J$536:$J$586,0)),"")</f>
        <v/>
      </c>
      <c r="AN61" s="36" t="str">
        <f>IFERROR(INDEX(PARAMETRES!$D$536:$D$586,MATCH(AL61,PARAMETRES!$J$536:$J$586,0)),"")</f>
        <v/>
      </c>
      <c r="AO61" s="36" t="str">
        <f>IFERROR(INDEX(PARAMETRES!$F$536:$F$586,MATCH(AL61,PARAMETRES!$J$536:$J$586,0)),"")</f>
        <v/>
      </c>
      <c r="AP61" s="36" t="str">
        <f>IFERROR(INDEX(PARAMETRES!$G$536:$G$586,MATCH(AL61,PARAMETRES!$J$536:$J$586,0)),"")</f>
        <v/>
      </c>
      <c r="AQ61" s="37"/>
      <c r="AR61" s="37"/>
      <c r="AS61" s="37"/>
      <c r="AT61" s="37"/>
      <c r="AU61" s="37"/>
      <c r="AV61" s="37"/>
      <c r="AW61" s="37"/>
      <c r="AX61" s="37"/>
      <c r="AY61" s="37"/>
      <c r="AZ61" s="37"/>
      <c r="BA61" s="37"/>
      <c r="BB61" s="38"/>
      <c r="BC61" s="37"/>
      <c r="BD61" s="37"/>
      <c r="BE61" s="38"/>
      <c r="BF61" s="38"/>
      <c r="BG61" s="37"/>
      <c r="BH61" s="37"/>
      <c r="BI61" s="37"/>
      <c r="BJ61" s="37"/>
      <c r="BK61" s="37"/>
      <c r="BL61" s="37"/>
      <c r="BM61" s="38"/>
      <c r="BN61" s="37"/>
      <c r="BO61" s="37"/>
      <c r="BP61" s="37"/>
      <c r="BQ61" s="37"/>
      <c r="BR61" s="37"/>
      <c r="BS61" s="37"/>
      <c r="BT61" s="37"/>
      <c r="BU61" s="38"/>
      <c r="BV61" s="36" t="str">
        <f t="shared" ca="1" si="4"/>
        <v/>
      </c>
      <c r="BW61" s="36">
        <f>COUNTIF(tbl_Beneficiaires_Activites[ID Beneficiaire],A61)</f>
        <v>40</v>
      </c>
      <c r="BX61" s="36">
        <f>COUNTIF(tbl_Beneficiaires_Appuis[ID Beneficiaire],A61)</f>
        <v>40</v>
      </c>
      <c r="BY61" s="36" t="str">
        <f t="shared" si="5"/>
        <v/>
      </c>
      <c r="BZ61" s="37"/>
    </row>
    <row r="62" spans="1:78" ht="15" customHeight="1">
      <c r="A62" s="36" t="str">
        <f t="shared" si="0"/>
        <v/>
      </c>
      <c r="B62" s="37"/>
      <c r="C62" s="37"/>
      <c r="D62" s="37"/>
      <c r="E62" s="37"/>
      <c r="F62" s="37"/>
      <c r="G62" s="36" t="str">
        <f t="shared" si="1"/>
        <v/>
      </c>
      <c r="H62" s="37"/>
      <c r="I62" s="38"/>
      <c r="J62" s="36" t="str">
        <f t="shared" ca="1" si="2"/>
        <v/>
      </c>
      <c r="K62" s="36" t="str">
        <f t="shared" ca="1" si="3"/>
        <v/>
      </c>
      <c r="L62" s="37"/>
      <c r="M62" s="37"/>
      <c r="N62" s="37"/>
      <c r="O62" s="37"/>
      <c r="P62" s="39"/>
      <c r="Q62" s="37"/>
      <c r="R62" s="39"/>
      <c r="S62" s="39"/>
      <c r="T62" s="39"/>
      <c r="U62" s="39"/>
      <c r="V62" s="37"/>
      <c r="W62" s="37"/>
      <c r="X62" s="37"/>
      <c r="Y62" s="37"/>
      <c r="Z62" s="37"/>
      <c r="AA62" s="37"/>
      <c r="AB62" s="37"/>
      <c r="AC62" s="37"/>
      <c r="AD62" s="37"/>
      <c r="AE62" s="37"/>
      <c r="AF62" s="37"/>
      <c r="AG62" s="37"/>
      <c r="AH62" s="37"/>
      <c r="AI62" s="37"/>
      <c r="AJ62" s="37"/>
      <c r="AK62" s="37"/>
      <c r="AL62" s="37"/>
      <c r="AM62" s="36" t="str">
        <f>IFERROR(INDEX(PARAMETRES!$B$536:$B$586,MATCH(AL62,PARAMETRES!$J$536:$J$586,0)),"")</f>
        <v/>
      </c>
      <c r="AN62" s="36" t="str">
        <f>IFERROR(INDEX(PARAMETRES!$D$536:$D$586,MATCH(AL62,PARAMETRES!$J$536:$J$586,0)),"")</f>
        <v/>
      </c>
      <c r="AO62" s="36" t="str">
        <f>IFERROR(INDEX(PARAMETRES!$F$536:$F$586,MATCH(AL62,PARAMETRES!$J$536:$J$586,0)),"")</f>
        <v/>
      </c>
      <c r="AP62" s="36" t="str">
        <f>IFERROR(INDEX(PARAMETRES!$G$536:$G$586,MATCH(AL62,PARAMETRES!$J$536:$J$586,0)),"")</f>
        <v/>
      </c>
      <c r="AQ62" s="37"/>
      <c r="AR62" s="37"/>
      <c r="AS62" s="37"/>
      <c r="AT62" s="37"/>
      <c r="AU62" s="37"/>
      <c r="AV62" s="37"/>
      <c r="AW62" s="37"/>
      <c r="AX62" s="37"/>
      <c r="AY62" s="37"/>
      <c r="AZ62" s="37"/>
      <c r="BA62" s="37"/>
      <c r="BB62" s="38"/>
      <c r="BC62" s="37"/>
      <c r="BD62" s="37"/>
      <c r="BE62" s="38"/>
      <c r="BF62" s="38"/>
      <c r="BG62" s="37"/>
      <c r="BH62" s="37"/>
      <c r="BI62" s="37"/>
      <c r="BJ62" s="37"/>
      <c r="BK62" s="37"/>
      <c r="BL62" s="37"/>
      <c r="BM62" s="38"/>
      <c r="BN62" s="37"/>
      <c r="BO62" s="37"/>
      <c r="BP62" s="37"/>
      <c r="BQ62" s="37"/>
      <c r="BR62" s="37"/>
      <c r="BS62" s="37"/>
      <c r="BT62" s="37"/>
      <c r="BU62" s="38"/>
      <c r="BV62" s="36" t="str">
        <f t="shared" ca="1" si="4"/>
        <v/>
      </c>
      <c r="BW62" s="36">
        <f>COUNTIF(tbl_Beneficiaires_Activites[ID Beneficiaire],A62)</f>
        <v>40</v>
      </c>
      <c r="BX62" s="36">
        <f>COUNTIF(tbl_Beneficiaires_Appuis[ID Beneficiaire],A62)</f>
        <v>40</v>
      </c>
      <c r="BY62" s="36" t="str">
        <f t="shared" si="5"/>
        <v/>
      </c>
      <c r="BZ62" s="37"/>
    </row>
    <row r="63" spans="1:78" ht="15" customHeight="1">
      <c r="A63" s="36" t="str">
        <f t="shared" si="0"/>
        <v/>
      </c>
      <c r="B63" s="37"/>
      <c r="C63" s="37"/>
      <c r="D63" s="37"/>
      <c r="E63" s="37"/>
      <c r="F63" s="37"/>
      <c r="G63" s="36" t="str">
        <f t="shared" si="1"/>
        <v/>
      </c>
      <c r="H63" s="37"/>
      <c r="I63" s="38"/>
      <c r="J63" s="36" t="str">
        <f t="shared" ca="1" si="2"/>
        <v/>
      </c>
      <c r="K63" s="36" t="str">
        <f t="shared" ca="1" si="3"/>
        <v/>
      </c>
      <c r="L63" s="37"/>
      <c r="M63" s="37"/>
      <c r="N63" s="37"/>
      <c r="O63" s="37"/>
      <c r="P63" s="39"/>
      <c r="Q63" s="37"/>
      <c r="R63" s="39"/>
      <c r="S63" s="39"/>
      <c r="T63" s="39"/>
      <c r="U63" s="39"/>
      <c r="V63" s="37"/>
      <c r="W63" s="37"/>
      <c r="X63" s="37"/>
      <c r="Y63" s="37"/>
      <c r="Z63" s="37"/>
      <c r="AA63" s="37"/>
      <c r="AB63" s="37"/>
      <c r="AC63" s="37"/>
      <c r="AD63" s="37"/>
      <c r="AE63" s="37"/>
      <c r="AF63" s="37"/>
      <c r="AG63" s="37"/>
      <c r="AH63" s="37"/>
      <c r="AI63" s="37"/>
      <c r="AJ63" s="37"/>
      <c r="AK63" s="37"/>
      <c r="AL63" s="37"/>
      <c r="AM63" s="36" t="str">
        <f>IFERROR(INDEX(PARAMETRES!$B$536:$B$586,MATCH(AL63,PARAMETRES!$J$536:$J$586,0)),"")</f>
        <v/>
      </c>
      <c r="AN63" s="36" t="str">
        <f>IFERROR(INDEX(PARAMETRES!$D$536:$D$586,MATCH(AL63,PARAMETRES!$J$536:$J$586,0)),"")</f>
        <v/>
      </c>
      <c r="AO63" s="36" t="str">
        <f>IFERROR(INDEX(PARAMETRES!$F$536:$F$586,MATCH(AL63,PARAMETRES!$J$536:$J$586,0)),"")</f>
        <v/>
      </c>
      <c r="AP63" s="36" t="str">
        <f>IFERROR(INDEX(PARAMETRES!$G$536:$G$586,MATCH(AL63,PARAMETRES!$J$536:$J$586,0)),"")</f>
        <v/>
      </c>
      <c r="AQ63" s="37"/>
      <c r="AR63" s="37"/>
      <c r="AS63" s="37"/>
      <c r="AT63" s="37"/>
      <c r="AU63" s="37"/>
      <c r="AV63" s="37"/>
      <c r="AW63" s="37"/>
      <c r="AX63" s="37"/>
      <c r="AY63" s="37"/>
      <c r="AZ63" s="37"/>
      <c r="BA63" s="37"/>
      <c r="BB63" s="38"/>
      <c r="BC63" s="37"/>
      <c r="BD63" s="37"/>
      <c r="BE63" s="38"/>
      <c r="BF63" s="38"/>
      <c r="BG63" s="37"/>
      <c r="BH63" s="37"/>
      <c r="BI63" s="37"/>
      <c r="BJ63" s="37"/>
      <c r="BK63" s="37"/>
      <c r="BL63" s="37"/>
      <c r="BM63" s="38"/>
      <c r="BN63" s="37"/>
      <c r="BO63" s="37"/>
      <c r="BP63" s="37"/>
      <c r="BQ63" s="37"/>
      <c r="BR63" s="37"/>
      <c r="BS63" s="37"/>
      <c r="BT63" s="37"/>
      <c r="BU63" s="38"/>
      <c r="BV63" s="36" t="str">
        <f t="shared" ca="1" si="4"/>
        <v/>
      </c>
      <c r="BW63" s="36">
        <f>COUNTIF(tbl_Beneficiaires_Activites[ID Beneficiaire],A63)</f>
        <v>40</v>
      </c>
      <c r="BX63" s="36">
        <f>COUNTIF(tbl_Beneficiaires_Appuis[ID Beneficiaire],A63)</f>
        <v>40</v>
      </c>
      <c r="BY63" s="36" t="str">
        <f t="shared" si="5"/>
        <v/>
      </c>
      <c r="BZ63" s="37"/>
    </row>
    <row r="64" spans="1:78" ht="15" customHeight="1">
      <c r="A64" s="36" t="str">
        <f t="shared" si="0"/>
        <v/>
      </c>
      <c r="B64" s="37"/>
      <c r="C64" s="37"/>
      <c r="D64" s="37"/>
      <c r="E64" s="37"/>
      <c r="F64" s="37"/>
      <c r="G64" s="36" t="str">
        <f t="shared" si="1"/>
        <v/>
      </c>
      <c r="H64" s="37"/>
      <c r="I64" s="38"/>
      <c r="J64" s="36" t="str">
        <f t="shared" ca="1" si="2"/>
        <v/>
      </c>
      <c r="K64" s="36" t="str">
        <f t="shared" ca="1" si="3"/>
        <v/>
      </c>
      <c r="L64" s="37"/>
      <c r="M64" s="37"/>
      <c r="N64" s="37"/>
      <c r="O64" s="37"/>
      <c r="P64" s="39"/>
      <c r="Q64" s="37"/>
      <c r="R64" s="39"/>
      <c r="S64" s="39"/>
      <c r="T64" s="39"/>
      <c r="U64" s="39"/>
      <c r="V64" s="37"/>
      <c r="W64" s="37"/>
      <c r="X64" s="37"/>
      <c r="Y64" s="37"/>
      <c r="Z64" s="37"/>
      <c r="AA64" s="37"/>
      <c r="AB64" s="37"/>
      <c r="AC64" s="37"/>
      <c r="AD64" s="37"/>
      <c r="AE64" s="37"/>
      <c r="AF64" s="37"/>
      <c r="AG64" s="37"/>
      <c r="AH64" s="37"/>
      <c r="AI64" s="37"/>
      <c r="AJ64" s="37"/>
      <c r="AK64" s="37"/>
      <c r="AL64" s="37"/>
      <c r="AM64" s="36" t="str">
        <f>IFERROR(INDEX(PARAMETRES!$B$536:$B$586,MATCH(AL64,PARAMETRES!$J$536:$J$586,0)),"")</f>
        <v/>
      </c>
      <c r="AN64" s="36" t="str">
        <f>IFERROR(INDEX(PARAMETRES!$D$536:$D$586,MATCH(AL64,PARAMETRES!$J$536:$J$586,0)),"")</f>
        <v/>
      </c>
      <c r="AO64" s="36" t="str">
        <f>IFERROR(INDEX(PARAMETRES!$F$536:$F$586,MATCH(AL64,PARAMETRES!$J$536:$J$586,0)),"")</f>
        <v/>
      </c>
      <c r="AP64" s="36" t="str">
        <f>IFERROR(INDEX(PARAMETRES!$G$536:$G$586,MATCH(AL64,PARAMETRES!$J$536:$J$586,0)),"")</f>
        <v/>
      </c>
      <c r="AQ64" s="37"/>
      <c r="AR64" s="37"/>
      <c r="AS64" s="37"/>
      <c r="AT64" s="37"/>
      <c r="AU64" s="37"/>
      <c r="AV64" s="37"/>
      <c r="AW64" s="37"/>
      <c r="AX64" s="37"/>
      <c r="AY64" s="37"/>
      <c r="AZ64" s="37"/>
      <c r="BA64" s="37"/>
      <c r="BB64" s="38"/>
      <c r="BC64" s="37"/>
      <c r="BD64" s="37"/>
      <c r="BE64" s="38"/>
      <c r="BF64" s="38"/>
      <c r="BG64" s="37"/>
      <c r="BH64" s="37"/>
      <c r="BI64" s="37"/>
      <c r="BJ64" s="37"/>
      <c r="BK64" s="37"/>
      <c r="BL64" s="37"/>
      <c r="BM64" s="38"/>
      <c r="BN64" s="37"/>
      <c r="BO64" s="37"/>
      <c r="BP64" s="37"/>
      <c r="BQ64" s="37"/>
      <c r="BR64" s="37"/>
      <c r="BS64" s="37"/>
      <c r="BT64" s="37"/>
      <c r="BU64" s="38"/>
      <c r="BV64" s="36" t="str">
        <f t="shared" ca="1" si="4"/>
        <v/>
      </c>
      <c r="BW64" s="36">
        <f>COUNTIF(tbl_Beneficiaires_Activites[ID Beneficiaire],A64)</f>
        <v>40</v>
      </c>
      <c r="BX64" s="36">
        <f>COUNTIF(tbl_Beneficiaires_Appuis[ID Beneficiaire],A64)</f>
        <v>40</v>
      </c>
      <c r="BY64" s="36" t="str">
        <f t="shared" si="5"/>
        <v/>
      </c>
      <c r="BZ64" s="37"/>
    </row>
    <row r="65" spans="1:78" ht="15" customHeight="1">
      <c r="A65" s="36" t="str">
        <f t="shared" si="0"/>
        <v/>
      </c>
      <c r="B65" s="37"/>
      <c r="C65" s="37"/>
      <c r="D65" s="37"/>
      <c r="E65" s="37"/>
      <c r="F65" s="37"/>
      <c r="G65" s="36" t="str">
        <f t="shared" si="1"/>
        <v/>
      </c>
      <c r="H65" s="37"/>
      <c r="I65" s="38"/>
      <c r="J65" s="36" t="str">
        <f t="shared" ca="1" si="2"/>
        <v/>
      </c>
      <c r="K65" s="36" t="str">
        <f t="shared" ca="1" si="3"/>
        <v/>
      </c>
      <c r="L65" s="37"/>
      <c r="M65" s="37"/>
      <c r="N65" s="37"/>
      <c r="O65" s="37"/>
      <c r="P65" s="39"/>
      <c r="Q65" s="37"/>
      <c r="R65" s="39"/>
      <c r="S65" s="39"/>
      <c r="T65" s="39"/>
      <c r="U65" s="39"/>
      <c r="V65" s="37"/>
      <c r="W65" s="37"/>
      <c r="X65" s="37"/>
      <c r="Y65" s="37"/>
      <c r="Z65" s="37"/>
      <c r="AA65" s="37"/>
      <c r="AB65" s="37"/>
      <c r="AC65" s="37"/>
      <c r="AD65" s="37"/>
      <c r="AE65" s="37"/>
      <c r="AF65" s="37"/>
      <c r="AG65" s="37"/>
      <c r="AH65" s="37"/>
      <c r="AI65" s="37"/>
      <c r="AJ65" s="37"/>
      <c r="AK65" s="37"/>
      <c r="AL65" s="37"/>
      <c r="AM65" s="36" t="str">
        <f>IFERROR(INDEX(PARAMETRES!$B$536:$B$586,MATCH(AL65,PARAMETRES!$J$536:$J$586,0)),"")</f>
        <v/>
      </c>
      <c r="AN65" s="36" t="str">
        <f>IFERROR(INDEX(PARAMETRES!$D$536:$D$586,MATCH(AL65,PARAMETRES!$J$536:$J$586,0)),"")</f>
        <v/>
      </c>
      <c r="AO65" s="36" t="str">
        <f>IFERROR(INDEX(PARAMETRES!$F$536:$F$586,MATCH(AL65,PARAMETRES!$J$536:$J$586,0)),"")</f>
        <v/>
      </c>
      <c r="AP65" s="36" t="str">
        <f>IFERROR(INDEX(PARAMETRES!$G$536:$G$586,MATCH(AL65,PARAMETRES!$J$536:$J$586,0)),"")</f>
        <v/>
      </c>
      <c r="AQ65" s="37"/>
      <c r="AR65" s="37"/>
      <c r="AS65" s="37"/>
      <c r="AT65" s="37"/>
      <c r="AU65" s="37"/>
      <c r="AV65" s="37"/>
      <c r="AW65" s="37"/>
      <c r="AX65" s="37"/>
      <c r="AY65" s="37"/>
      <c r="AZ65" s="37"/>
      <c r="BA65" s="37"/>
      <c r="BB65" s="38"/>
      <c r="BC65" s="37"/>
      <c r="BD65" s="37"/>
      <c r="BE65" s="38"/>
      <c r="BF65" s="38"/>
      <c r="BG65" s="37"/>
      <c r="BH65" s="37"/>
      <c r="BI65" s="37"/>
      <c r="BJ65" s="37"/>
      <c r="BK65" s="37"/>
      <c r="BL65" s="37"/>
      <c r="BM65" s="38"/>
      <c r="BN65" s="37"/>
      <c r="BO65" s="37"/>
      <c r="BP65" s="37"/>
      <c r="BQ65" s="37"/>
      <c r="BR65" s="37"/>
      <c r="BS65" s="37"/>
      <c r="BT65" s="37"/>
      <c r="BU65" s="38"/>
      <c r="BV65" s="36" t="str">
        <f t="shared" ca="1" si="4"/>
        <v/>
      </c>
      <c r="BW65" s="36">
        <f>COUNTIF(tbl_Beneficiaires_Activites[ID Beneficiaire],A65)</f>
        <v>40</v>
      </c>
      <c r="BX65" s="36">
        <f>COUNTIF(tbl_Beneficiaires_Appuis[ID Beneficiaire],A65)</f>
        <v>40</v>
      </c>
      <c r="BY65" s="36" t="str">
        <f t="shared" si="5"/>
        <v/>
      </c>
      <c r="BZ65" s="37"/>
    </row>
    <row r="66" spans="1:78" ht="15" customHeight="1">
      <c r="A66" s="36" t="str">
        <f t="shared" si="0"/>
        <v/>
      </c>
      <c r="B66" s="37"/>
      <c r="C66" s="37"/>
      <c r="D66" s="37"/>
      <c r="E66" s="37"/>
      <c r="F66" s="37"/>
      <c r="G66" s="36" t="str">
        <f t="shared" si="1"/>
        <v/>
      </c>
      <c r="H66" s="37"/>
      <c r="I66" s="38"/>
      <c r="J66" s="36" t="str">
        <f t="shared" ca="1" si="2"/>
        <v/>
      </c>
      <c r="K66" s="36" t="str">
        <f t="shared" ca="1" si="3"/>
        <v/>
      </c>
      <c r="L66" s="37"/>
      <c r="M66" s="37"/>
      <c r="N66" s="37"/>
      <c r="O66" s="37"/>
      <c r="P66" s="39"/>
      <c r="Q66" s="37"/>
      <c r="R66" s="39"/>
      <c r="S66" s="39"/>
      <c r="T66" s="39"/>
      <c r="U66" s="39"/>
      <c r="V66" s="37"/>
      <c r="W66" s="37"/>
      <c r="X66" s="37"/>
      <c r="Y66" s="37"/>
      <c r="Z66" s="37"/>
      <c r="AA66" s="37"/>
      <c r="AB66" s="37"/>
      <c r="AC66" s="37"/>
      <c r="AD66" s="37"/>
      <c r="AE66" s="37"/>
      <c r="AF66" s="37"/>
      <c r="AG66" s="37"/>
      <c r="AH66" s="37"/>
      <c r="AI66" s="37"/>
      <c r="AJ66" s="37"/>
      <c r="AK66" s="37"/>
      <c r="AL66" s="37"/>
      <c r="AM66" s="36" t="str">
        <f>IFERROR(INDEX(PARAMETRES!$B$536:$B$586,MATCH(AL66,PARAMETRES!$J$536:$J$586,0)),"")</f>
        <v/>
      </c>
      <c r="AN66" s="36" t="str">
        <f>IFERROR(INDEX(PARAMETRES!$D$536:$D$586,MATCH(AL66,PARAMETRES!$J$536:$J$586,0)),"")</f>
        <v/>
      </c>
      <c r="AO66" s="36" t="str">
        <f>IFERROR(INDEX(PARAMETRES!$F$536:$F$586,MATCH(AL66,PARAMETRES!$J$536:$J$586,0)),"")</f>
        <v/>
      </c>
      <c r="AP66" s="36" t="str">
        <f>IFERROR(INDEX(PARAMETRES!$G$536:$G$586,MATCH(AL66,PARAMETRES!$J$536:$J$586,0)),"")</f>
        <v/>
      </c>
      <c r="AQ66" s="37"/>
      <c r="AR66" s="37"/>
      <c r="AS66" s="37"/>
      <c r="AT66" s="37"/>
      <c r="AU66" s="37"/>
      <c r="AV66" s="37"/>
      <c r="AW66" s="37"/>
      <c r="AX66" s="37"/>
      <c r="AY66" s="37"/>
      <c r="AZ66" s="37"/>
      <c r="BA66" s="37"/>
      <c r="BB66" s="38"/>
      <c r="BC66" s="37"/>
      <c r="BD66" s="37"/>
      <c r="BE66" s="38"/>
      <c r="BF66" s="38"/>
      <c r="BG66" s="37"/>
      <c r="BH66" s="37"/>
      <c r="BI66" s="37"/>
      <c r="BJ66" s="37"/>
      <c r="BK66" s="37"/>
      <c r="BL66" s="37"/>
      <c r="BM66" s="38"/>
      <c r="BN66" s="37"/>
      <c r="BO66" s="37"/>
      <c r="BP66" s="37"/>
      <c r="BQ66" s="37"/>
      <c r="BR66" s="37"/>
      <c r="BS66" s="37"/>
      <c r="BT66" s="37"/>
      <c r="BU66" s="38"/>
      <c r="BV66" s="36" t="str">
        <f t="shared" ca="1" si="4"/>
        <v/>
      </c>
      <c r="BW66" s="36">
        <f>COUNTIF(tbl_Beneficiaires_Activites[ID Beneficiaire],A66)</f>
        <v>40</v>
      </c>
      <c r="BX66" s="36">
        <f>COUNTIF(tbl_Beneficiaires_Appuis[ID Beneficiaire],A66)</f>
        <v>40</v>
      </c>
      <c r="BY66" s="36" t="str">
        <f t="shared" si="5"/>
        <v/>
      </c>
      <c r="BZ66" s="37"/>
    </row>
    <row r="67" spans="1:78" ht="15" customHeight="1">
      <c r="A67" s="36" t="str">
        <f t="shared" si="0"/>
        <v/>
      </c>
      <c r="B67" s="37"/>
      <c r="C67" s="37"/>
      <c r="D67" s="37"/>
      <c r="E67" s="37"/>
      <c r="F67" s="37"/>
      <c r="G67" s="36" t="str">
        <f t="shared" si="1"/>
        <v/>
      </c>
      <c r="H67" s="37"/>
      <c r="I67" s="38"/>
      <c r="J67" s="36" t="str">
        <f t="shared" ca="1" si="2"/>
        <v/>
      </c>
      <c r="K67" s="36" t="str">
        <f t="shared" ca="1" si="3"/>
        <v/>
      </c>
      <c r="L67" s="37"/>
      <c r="M67" s="37"/>
      <c r="N67" s="37"/>
      <c r="O67" s="37"/>
      <c r="P67" s="39"/>
      <c r="Q67" s="37"/>
      <c r="R67" s="39"/>
      <c r="S67" s="39"/>
      <c r="T67" s="39"/>
      <c r="U67" s="39"/>
      <c r="V67" s="37"/>
      <c r="W67" s="37"/>
      <c r="X67" s="37"/>
      <c r="Y67" s="37"/>
      <c r="Z67" s="37"/>
      <c r="AA67" s="37"/>
      <c r="AB67" s="37"/>
      <c r="AC67" s="37"/>
      <c r="AD67" s="37"/>
      <c r="AE67" s="37"/>
      <c r="AF67" s="37"/>
      <c r="AG67" s="37"/>
      <c r="AH67" s="37"/>
      <c r="AI67" s="37"/>
      <c r="AJ67" s="37"/>
      <c r="AK67" s="37"/>
      <c r="AL67" s="37"/>
      <c r="AM67" s="36" t="str">
        <f>IFERROR(INDEX(PARAMETRES!$B$536:$B$586,MATCH(AL67,PARAMETRES!$J$536:$J$586,0)),"")</f>
        <v/>
      </c>
      <c r="AN67" s="36" t="str">
        <f>IFERROR(INDEX(PARAMETRES!$D$536:$D$586,MATCH(AL67,PARAMETRES!$J$536:$J$586,0)),"")</f>
        <v/>
      </c>
      <c r="AO67" s="36" t="str">
        <f>IFERROR(INDEX(PARAMETRES!$F$536:$F$586,MATCH(AL67,PARAMETRES!$J$536:$J$586,0)),"")</f>
        <v/>
      </c>
      <c r="AP67" s="36" t="str">
        <f>IFERROR(INDEX(PARAMETRES!$G$536:$G$586,MATCH(AL67,PARAMETRES!$J$536:$J$586,0)),"")</f>
        <v/>
      </c>
      <c r="AQ67" s="37"/>
      <c r="AR67" s="37"/>
      <c r="AS67" s="37"/>
      <c r="AT67" s="37"/>
      <c r="AU67" s="37"/>
      <c r="AV67" s="37"/>
      <c r="AW67" s="37"/>
      <c r="AX67" s="37"/>
      <c r="AY67" s="37"/>
      <c r="AZ67" s="37"/>
      <c r="BA67" s="37"/>
      <c r="BB67" s="38"/>
      <c r="BC67" s="37"/>
      <c r="BD67" s="37"/>
      <c r="BE67" s="38"/>
      <c r="BF67" s="38"/>
      <c r="BG67" s="37"/>
      <c r="BH67" s="37"/>
      <c r="BI67" s="37"/>
      <c r="BJ67" s="37"/>
      <c r="BK67" s="37"/>
      <c r="BL67" s="37"/>
      <c r="BM67" s="38"/>
      <c r="BN67" s="37"/>
      <c r="BO67" s="37"/>
      <c r="BP67" s="37"/>
      <c r="BQ67" s="37"/>
      <c r="BR67" s="37"/>
      <c r="BS67" s="37"/>
      <c r="BT67" s="37"/>
      <c r="BU67" s="38"/>
      <c r="BV67" s="36" t="str">
        <f t="shared" ca="1" si="4"/>
        <v/>
      </c>
      <c r="BW67" s="36">
        <f>COUNTIF(tbl_Beneficiaires_Activites[ID Beneficiaire],A67)</f>
        <v>40</v>
      </c>
      <c r="BX67" s="36">
        <f>COUNTIF(tbl_Beneficiaires_Appuis[ID Beneficiaire],A67)</f>
        <v>40</v>
      </c>
      <c r="BY67" s="36" t="str">
        <f t="shared" si="5"/>
        <v/>
      </c>
      <c r="BZ67" s="37"/>
    </row>
    <row r="68" spans="1:78" ht="15" customHeight="1">
      <c r="A68" s="36" t="str">
        <f t="shared" si="0"/>
        <v/>
      </c>
      <c r="B68" s="37"/>
      <c r="C68" s="37"/>
      <c r="D68" s="37"/>
      <c r="E68" s="37"/>
      <c r="F68" s="37"/>
      <c r="G68" s="36" t="str">
        <f t="shared" si="1"/>
        <v/>
      </c>
      <c r="H68" s="37"/>
      <c r="I68" s="38"/>
      <c r="J68" s="36" t="str">
        <f t="shared" ca="1" si="2"/>
        <v/>
      </c>
      <c r="K68" s="36" t="str">
        <f t="shared" ca="1" si="3"/>
        <v/>
      </c>
      <c r="L68" s="37"/>
      <c r="M68" s="37"/>
      <c r="N68" s="37"/>
      <c r="O68" s="37"/>
      <c r="P68" s="39"/>
      <c r="Q68" s="37"/>
      <c r="R68" s="39"/>
      <c r="S68" s="39"/>
      <c r="T68" s="39"/>
      <c r="U68" s="39"/>
      <c r="V68" s="37"/>
      <c r="W68" s="37"/>
      <c r="X68" s="37"/>
      <c r="Y68" s="37"/>
      <c r="Z68" s="37"/>
      <c r="AA68" s="37"/>
      <c r="AB68" s="37"/>
      <c r="AC68" s="37"/>
      <c r="AD68" s="37"/>
      <c r="AE68" s="37"/>
      <c r="AF68" s="37"/>
      <c r="AG68" s="37"/>
      <c r="AH68" s="37"/>
      <c r="AI68" s="37"/>
      <c r="AJ68" s="37"/>
      <c r="AK68" s="37"/>
      <c r="AL68" s="37"/>
      <c r="AM68" s="36" t="str">
        <f>IFERROR(INDEX(PARAMETRES!$B$536:$B$586,MATCH(AL68,PARAMETRES!$J$536:$J$586,0)),"")</f>
        <v/>
      </c>
      <c r="AN68" s="36" t="str">
        <f>IFERROR(INDEX(PARAMETRES!$D$536:$D$586,MATCH(AL68,PARAMETRES!$J$536:$J$586,0)),"")</f>
        <v/>
      </c>
      <c r="AO68" s="36" t="str">
        <f>IFERROR(INDEX(PARAMETRES!$F$536:$F$586,MATCH(AL68,PARAMETRES!$J$536:$J$586,0)),"")</f>
        <v/>
      </c>
      <c r="AP68" s="36" t="str">
        <f>IFERROR(INDEX(PARAMETRES!$G$536:$G$586,MATCH(AL68,PARAMETRES!$J$536:$J$586,0)),"")</f>
        <v/>
      </c>
      <c r="AQ68" s="37"/>
      <c r="AR68" s="37"/>
      <c r="AS68" s="37"/>
      <c r="AT68" s="37"/>
      <c r="AU68" s="37"/>
      <c r="AV68" s="37"/>
      <c r="AW68" s="37"/>
      <c r="AX68" s="37"/>
      <c r="AY68" s="37"/>
      <c r="AZ68" s="37"/>
      <c r="BA68" s="37"/>
      <c r="BB68" s="38"/>
      <c r="BC68" s="37"/>
      <c r="BD68" s="37"/>
      <c r="BE68" s="38"/>
      <c r="BF68" s="38"/>
      <c r="BG68" s="37"/>
      <c r="BH68" s="37"/>
      <c r="BI68" s="37"/>
      <c r="BJ68" s="37"/>
      <c r="BK68" s="37"/>
      <c r="BL68" s="37"/>
      <c r="BM68" s="38"/>
      <c r="BN68" s="37"/>
      <c r="BO68" s="37"/>
      <c r="BP68" s="37"/>
      <c r="BQ68" s="37"/>
      <c r="BR68" s="37"/>
      <c r="BS68" s="37"/>
      <c r="BT68" s="37"/>
      <c r="BU68" s="38"/>
      <c r="BV68" s="36" t="str">
        <f t="shared" ca="1" si="4"/>
        <v/>
      </c>
      <c r="BW68" s="36">
        <f>COUNTIF(tbl_Beneficiaires_Activites[ID Beneficiaire],A68)</f>
        <v>40</v>
      </c>
      <c r="BX68" s="36">
        <f>COUNTIF(tbl_Beneficiaires_Appuis[ID Beneficiaire],A68)</f>
        <v>40</v>
      </c>
      <c r="BY68" s="36" t="str">
        <f t="shared" si="5"/>
        <v/>
      </c>
      <c r="BZ68" s="37"/>
    </row>
    <row r="69" spans="1:78" ht="15" customHeight="1">
      <c r="A69" s="36" t="str">
        <f t="shared" si="0"/>
        <v/>
      </c>
      <c r="B69" s="37"/>
      <c r="C69" s="37"/>
      <c r="D69" s="37"/>
      <c r="E69" s="37"/>
      <c r="F69" s="37"/>
      <c r="G69" s="36" t="str">
        <f t="shared" si="1"/>
        <v/>
      </c>
      <c r="H69" s="37"/>
      <c r="I69" s="38"/>
      <c r="J69" s="36" t="str">
        <f t="shared" ca="1" si="2"/>
        <v/>
      </c>
      <c r="K69" s="36" t="str">
        <f t="shared" ca="1" si="3"/>
        <v/>
      </c>
      <c r="L69" s="37"/>
      <c r="M69" s="37"/>
      <c r="N69" s="37"/>
      <c r="O69" s="37"/>
      <c r="P69" s="39"/>
      <c r="Q69" s="37"/>
      <c r="R69" s="39"/>
      <c r="S69" s="39"/>
      <c r="T69" s="39"/>
      <c r="U69" s="39"/>
      <c r="V69" s="37"/>
      <c r="W69" s="37"/>
      <c r="X69" s="37"/>
      <c r="Y69" s="37"/>
      <c r="Z69" s="37"/>
      <c r="AA69" s="37"/>
      <c r="AB69" s="37"/>
      <c r="AC69" s="37"/>
      <c r="AD69" s="37"/>
      <c r="AE69" s="37"/>
      <c r="AF69" s="37"/>
      <c r="AG69" s="37"/>
      <c r="AH69" s="37"/>
      <c r="AI69" s="37"/>
      <c r="AJ69" s="37"/>
      <c r="AK69" s="37"/>
      <c r="AL69" s="37"/>
      <c r="AM69" s="36" t="str">
        <f>IFERROR(INDEX(PARAMETRES!$B$536:$B$586,MATCH(AL69,PARAMETRES!$J$536:$J$586,0)),"")</f>
        <v/>
      </c>
      <c r="AN69" s="36" t="str">
        <f>IFERROR(INDEX(PARAMETRES!$D$536:$D$586,MATCH(AL69,PARAMETRES!$J$536:$J$586,0)),"")</f>
        <v/>
      </c>
      <c r="AO69" s="36" t="str">
        <f>IFERROR(INDEX(PARAMETRES!$F$536:$F$586,MATCH(AL69,PARAMETRES!$J$536:$J$586,0)),"")</f>
        <v/>
      </c>
      <c r="AP69" s="36" t="str">
        <f>IFERROR(INDEX(PARAMETRES!$G$536:$G$586,MATCH(AL69,PARAMETRES!$J$536:$J$586,0)),"")</f>
        <v/>
      </c>
      <c r="AQ69" s="37"/>
      <c r="AR69" s="37"/>
      <c r="AS69" s="37"/>
      <c r="AT69" s="37"/>
      <c r="AU69" s="37"/>
      <c r="AV69" s="37"/>
      <c r="AW69" s="37"/>
      <c r="AX69" s="37"/>
      <c r="AY69" s="37"/>
      <c r="AZ69" s="37"/>
      <c r="BA69" s="37"/>
      <c r="BB69" s="38"/>
      <c r="BC69" s="37"/>
      <c r="BD69" s="37"/>
      <c r="BE69" s="38"/>
      <c r="BF69" s="38"/>
      <c r="BG69" s="37"/>
      <c r="BH69" s="37"/>
      <c r="BI69" s="37"/>
      <c r="BJ69" s="37"/>
      <c r="BK69" s="37"/>
      <c r="BL69" s="37"/>
      <c r="BM69" s="38"/>
      <c r="BN69" s="37"/>
      <c r="BO69" s="37"/>
      <c r="BP69" s="37"/>
      <c r="BQ69" s="37"/>
      <c r="BR69" s="37"/>
      <c r="BS69" s="37"/>
      <c r="BT69" s="37"/>
      <c r="BU69" s="38"/>
      <c r="BV69" s="36" t="str">
        <f t="shared" ca="1" si="4"/>
        <v/>
      </c>
      <c r="BW69" s="36">
        <f>COUNTIF(tbl_Beneficiaires_Activites[ID Beneficiaire],A69)</f>
        <v>40</v>
      </c>
      <c r="BX69" s="36">
        <f>COUNTIF(tbl_Beneficiaires_Appuis[ID Beneficiaire],A69)</f>
        <v>40</v>
      </c>
      <c r="BY69" s="36" t="str">
        <f t="shared" si="5"/>
        <v/>
      </c>
      <c r="BZ69" s="37"/>
    </row>
    <row r="70" spans="1:78" ht="15" customHeight="1">
      <c r="A70" s="36" t="str">
        <f t="shared" si="0"/>
        <v/>
      </c>
      <c r="B70" s="37"/>
      <c r="C70" s="37"/>
      <c r="D70" s="37"/>
      <c r="E70" s="37"/>
      <c r="F70" s="37"/>
      <c r="G70" s="36" t="str">
        <f t="shared" si="1"/>
        <v/>
      </c>
      <c r="H70" s="37"/>
      <c r="I70" s="38"/>
      <c r="J70" s="36" t="str">
        <f t="shared" ca="1" si="2"/>
        <v/>
      </c>
      <c r="K70" s="36" t="str">
        <f t="shared" ca="1" si="3"/>
        <v/>
      </c>
      <c r="L70" s="37"/>
      <c r="M70" s="37"/>
      <c r="N70" s="37"/>
      <c r="O70" s="37"/>
      <c r="P70" s="39"/>
      <c r="Q70" s="37"/>
      <c r="R70" s="39"/>
      <c r="S70" s="39"/>
      <c r="T70" s="39"/>
      <c r="U70" s="39"/>
      <c r="V70" s="37"/>
      <c r="W70" s="37"/>
      <c r="X70" s="37"/>
      <c r="Y70" s="37"/>
      <c r="Z70" s="37"/>
      <c r="AA70" s="37"/>
      <c r="AB70" s="37"/>
      <c r="AC70" s="37"/>
      <c r="AD70" s="37"/>
      <c r="AE70" s="37"/>
      <c r="AF70" s="37"/>
      <c r="AG70" s="37"/>
      <c r="AH70" s="37"/>
      <c r="AI70" s="37"/>
      <c r="AJ70" s="37"/>
      <c r="AK70" s="37"/>
      <c r="AL70" s="37"/>
      <c r="AM70" s="36" t="str">
        <f>IFERROR(INDEX(PARAMETRES!$B$536:$B$586,MATCH(AL70,PARAMETRES!$J$536:$J$586,0)),"")</f>
        <v/>
      </c>
      <c r="AN70" s="36" t="str">
        <f>IFERROR(INDEX(PARAMETRES!$D$536:$D$586,MATCH(AL70,PARAMETRES!$J$536:$J$586,0)),"")</f>
        <v/>
      </c>
      <c r="AO70" s="36" t="str">
        <f>IFERROR(INDEX(PARAMETRES!$F$536:$F$586,MATCH(AL70,PARAMETRES!$J$536:$J$586,0)),"")</f>
        <v/>
      </c>
      <c r="AP70" s="36" t="str">
        <f>IFERROR(INDEX(PARAMETRES!$G$536:$G$586,MATCH(AL70,PARAMETRES!$J$536:$J$586,0)),"")</f>
        <v/>
      </c>
      <c r="AQ70" s="37"/>
      <c r="AR70" s="37"/>
      <c r="AS70" s="37"/>
      <c r="AT70" s="37"/>
      <c r="AU70" s="37"/>
      <c r="AV70" s="37"/>
      <c r="AW70" s="37"/>
      <c r="AX70" s="37"/>
      <c r="AY70" s="37"/>
      <c r="AZ70" s="37"/>
      <c r="BA70" s="37"/>
      <c r="BB70" s="38"/>
      <c r="BC70" s="37"/>
      <c r="BD70" s="37"/>
      <c r="BE70" s="38"/>
      <c r="BF70" s="38"/>
      <c r="BG70" s="37"/>
      <c r="BH70" s="37"/>
      <c r="BI70" s="37"/>
      <c r="BJ70" s="37"/>
      <c r="BK70" s="37"/>
      <c r="BL70" s="37"/>
      <c r="BM70" s="38"/>
      <c r="BN70" s="37"/>
      <c r="BO70" s="37"/>
      <c r="BP70" s="37"/>
      <c r="BQ70" s="37"/>
      <c r="BR70" s="37"/>
      <c r="BS70" s="37"/>
      <c r="BT70" s="37"/>
      <c r="BU70" s="38"/>
      <c r="BV70" s="36" t="str">
        <f t="shared" ca="1" si="4"/>
        <v/>
      </c>
      <c r="BW70" s="36">
        <f>COUNTIF(tbl_Beneficiaires_Activites[ID Beneficiaire],A70)</f>
        <v>40</v>
      </c>
      <c r="BX70" s="36">
        <f>COUNTIF(tbl_Beneficiaires_Appuis[ID Beneficiaire],A70)</f>
        <v>40</v>
      </c>
      <c r="BY70" s="36" t="str">
        <f t="shared" si="5"/>
        <v/>
      </c>
      <c r="BZ70" s="37"/>
    </row>
    <row r="71" spans="1:78" ht="15" customHeight="1">
      <c r="A71" s="36" t="str">
        <f t="shared" si="0"/>
        <v/>
      </c>
      <c r="B71" s="37"/>
      <c r="C71" s="37"/>
      <c r="D71" s="37"/>
      <c r="E71" s="37"/>
      <c r="F71" s="37"/>
      <c r="G71" s="36" t="str">
        <f t="shared" si="1"/>
        <v/>
      </c>
      <c r="H71" s="37"/>
      <c r="I71" s="38"/>
      <c r="J71" s="36" t="str">
        <f t="shared" ca="1" si="2"/>
        <v/>
      </c>
      <c r="K71" s="36" t="str">
        <f t="shared" ca="1" si="3"/>
        <v/>
      </c>
      <c r="L71" s="37"/>
      <c r="M71" s="37"/>
      <c r="N71" s="37"/>
      <c r="O71" s="37"/>
      <c r="P71" s="39"/>
      <c r="Q71" s="37"/>
      <c r="R71" s="39"/>
      <c r="S71" s="39"/>
      <c r="T71" s="39"/>
      <c r="U71" s="39"/>
      <c r="V71" s="37"/>
      <c r="W71" s="37"/>
      <c r="X71" s="37"/>
      <c r="Y71" s="37"/>
      <c r="Z71" s="37"/>
      <c r="AA71" s="37"/>
      <c r="AB71" s="37"/>
      <c r="AC71" s="37"/>
      <c r="AD71" s="37"/>
      <c r="AE71" s="37"/>
      <c r="AF71" s="37"/>
      <c r="AG71" s="37"/>
      <c r="AH71" s="37"/>
      <c r="AI71" s="37"/>
      <c r="AJ71" s="37"/>
      <c r="AK71" s="37"/>
      <c r="AL71" s="37"/>
      <c r="AM71" s="36" t="str">
        <f>IFERROR(INDEX(PARAMETRES!$B$536:$B$586,MATCH(AL71,PARAMETRES!$J$536:$J$586,0)),"")</f>
        <v/>
      </c>
      <c r="AN71" s="36" t="str">
        <f>IFERROR(INDEX(PARAMETRES!$D$536:$D$586,MATCH(AL71,PARAMETRES!$J$536:$J$586,0)),"")</f>
        <v/>
      </c>
      <c r="AO71" s="36" t="str">
        <f>IFERROR(INDEX(PARAMETRES!$F$536:$F$586,MATCH(AL71,PARAMETRES!$J$536:$J$586,0)),"")</f>
        <v/>
      </c>
      <c r="AP71" s="36" t="str">
        <f>IFERROR(INDEX(PARAMETRES!$G$536:$G$586,MATCH(AL71,PARAMETRES!$J$536:$J$586,0)),"")</f>
        <v/>
      </c>
      <c r="AQ71" s="37"/>
      <c r="AR71" s="37"/>
      <c r="AS71" s="37"/>
      <c r="AT71" s="37"/>
      <c r="AU71" s="37"/>
      <c r="AV71" s="37"/>
      <c r="AW71" s="37"/>
      <c r="AX71" s="37"/>
      <c r="AY71" s="37"/>
      <c r="AZ71" s="37"/>
      <c r="BA71" s="37"/>
      <c r="BB71" s="38"/>
      <c r="BC71" s="37"/>
      <c r="BD71" s="37"/>
      <c r="BE71" s="38"/>
      <c r="BF71" s="38"/>
      <c r="BG71" s="37"/>
      <c r="BH71" s="37"/>
      <c r="BI71" s="37"/>
      <c r="BJ71" s="37"/>
      <c r="BK71" s="37"/>
      <c r="BL71" s="37"/>
      <c r="BM71" s="38"/>
      <c r="BN71" s="37"/>
      <c r="BO71" s="37"/>
      <c r="BP71" s="37"/>
      <c r="BQ71" s="37"/>
      <c r="BR71" s="37"/>
      <c r="BS71" s="37"/>
      <c r="BT71" s="37"/>
      <c r="BU71" s="38"/>
      <c r="BV71" s="36" t="str">
        <f t="shared" ca="1" si="4"/>
        <v/>
      </c>
      <c r="BW71" s="36">
        <f>COUNTIF(tbl_Beneficiaires_Activites[ID Beneficiaire],A71)</f>
        <v>40</v>
      </c>
      <c r="BX71" s="36">
        <f>COUNTIF(tbl_Beneficiaires_Appuis[ID Beneficiaire],A71)</f>
        <v>40</v>
      </c>
      <c r="BY71" s="36" t="str">
        <f t="shared" si="5"/>
        <v/>
      </c>
      <c r="BZ71" s="37"/>
    </row>
    <row r="72" spans="1:78" ht="15" customHeight="1">
      <c r="A72" s="36" t="str">
        <f t="shared" si="0"/>
        <v/>
      </c>
      <c r="B72" s="37"/>
      <c r="C72" s="37"/>
      <c r="D72" s="37"/>
      <c r="E72" s="37"/>
      <c r="F72" s="37"/>
      <c r="G72" s="36" t="str">
        <f t="shared" si="1"/>
        <v/>
      </c>
      <c r="H72" s="37"/>
      <c r="I72" s="38"/>
      <c r="J72" s="36" t="str">
        <f t="shared" ca="1" si="2"/>
        <v/>
      </c>
      <c r="K72" s="36" t="str">
        <f t="shared" ca="1" si="3"/>
        <v/>
      </c>
      <c r="L72" s="37"/>
      <c r="M72" s="37"/>
      <c r="N72" s="37"/>
      <c r="O72" s="37"/>
      <c r="P72" s="39"/>
      <c r="Q72" s="37"/>
      <c r="R72" s="39"/>
      <c r="S72" s="39"/>
      <c r="T72" s="39"/>
      <c r="U72" s="39"/>
      <c r="V72" s="37"/>
      <c r="W72" s="37"/>
      <c r="X72" s="37"/>
      <c r="Y72" s="37"/>
      <c r="Z72" s="37"/>
      <c r="AA72" s="37"/>
      <c r="AB72" s="37"/>
      <c r="AC72" s="37"/>
      <c r="AD72" s="37"/>
      <c r="AE72" s="37"/>
      <c r="AF72" s="37"/>
      <c r="AG72" s="37"/>
      <c r="AH72" s="37"/>
      <c r="AI72" s="37"/>
      <c r="AJ72" s="37"/>
      <c r="AK72" s="37"/>
      <c r="AL72" s="37"/>
      <c r="AM72" s="36" t="str">
        <f>IFERROR(INDEX(PARAMETRES!$B$536:$B$586,MATCH(AL72,PARAMETRES!$J$536:$J$586,0)),"")</f>
        <v/>
      </c>
      <c r="AN72" s="36" t="str">
        <f>IFERROR(INDEX(PARAMETRES!$D$536:$D$586,MATCH(AL72,PARAMETRES!$J$536:$J$586,0)),"")</f>
        <v/>
      </c>
      <c r="AO72" s="36" t="str">
        <f>IFERROR(INDEX(PARAMETRES!$F$536:$F$586,MATCH(AL72,PARAMETRES!$J$536:$J$586,0)),"")</f>
        <v/>
      </c>
      <c r="AP72" s="36" t="str">
        <f>IFERROR(INDEX(PARAMETRES!$G$536:$G$586,MATCH(AL72,PARAMETRES!$J$536:$J$586,0)),"")</f>
        <v/>
      </c>
      <c r="AQ72" s="37"/>
      <c r="AR72" s="37"/>
      <c r="AS72" s="37"/>
      <c r="AT72" s="37"/>
      <c r="AU72" s="37"/>
      <c r="AV72" s="37"/>
      <c r="AW72" s="37"/>
      <c r="AX72" s="37"/>
      <c r="AY72" s="37"/>
      <c r="AZ72" s="37"/>
      <c r="BA72" s="37"/>
      <c r="BB72" s="38"/>
      <c r="BC72" s="37"/>
      <c r="BD72" s="37"/>
      <c r="BE72" s="38"/>
      <c r="BF72" s="38"/>
      <c r="BG72" s="37"/>
      <c r="BH72" s="37"/>
      <c r="BI72" s="37"/>
      <c r="BJ72" s="37"/>
      <c r="BK72" s="37"/>
      <c r="BL72" s="37"/>
      <c r="BM72" s="38"/>
      <c r="BN72" s="37"/>
      <c r="BO72" s="37"/>
      <c r="BP72" s="37"/>
      <c r="BQ72" s="37"/>
      <c r="BR72" s="37"/>
      <c r="BS72" s="37"/>
      <c r="BT72" s="37"/>
      <c r="BU72" s="38"/>
      <c r="BV72" s="36" t="str">
        <f t="shared" ca="1" si="4"/>
        <v/>
      </c>
      <c r="BW72" s="36">
        <f>COUNTIF(tbl_Beneficiaires_Activites[ID Beneficiaire],A72)</f>
        <v>40</v>
      </c>
      <c r="BX72" s="36">
        <f>COUNTIF(tbl_Beneficiaires_Appuis[ID Beneficiaire],A72)</f>
        <v>40</v>
      </c>
      <c r="BY72" s="36" t="str">
        <f t="shared" si="5"/>
        <v/>
      </c>
      <c r="BZ72" s="37"/>
    </row>
    <row r="73" spans="1:78" ht="15" customHeight="1">
      <c r="A73" s="36" t="str">
        <f t="shared" si="0"/>
        <v/>
      </c>
      <c r="B73" s="37"/>
      <c r="C73" s="37"/>
      <c r="D73" s="37"/>
      <c r="E73" s="37"/>
      <c r="F73" s="37"/>
      <c r="G73" s="36" t="str">
        <f t="shared" si="1"/>
        <v/>
      </c>
      <c r="H73" s="37"/>
      <c r="I73" s="38"/>
      <c r="J73" s="36" t="str">
        <f t="shared" ca="1" si="2"/>
        <v/>
      </c>
      <c r="K73" s="36" t="str">
        <f t="shared" ca="1" si="3"/>
        <v/>
      </c>
      <c r="L73" s="37"/>
      <c r="M73" s="37"/>
      <c r="N73" s="37"/>
      <c r="O73" s="37"/>
      <c r="P73" s="39"/>
      <c r="Q73" s="37"/>
      <c r="R73" s="39"/>
      <c r="S73" s="39"/>
      <c r="T73" s="39"/>
      <c r="U73" s="39"/>
      <c r="V73" s="37"/>
      <c r="W73" s="37"/>
      <c r="X73" s="37"/>
      <c r="Y73" s="37"/>
      <c r="Z73" s="37"/>
      <c r="AA73" s="37"/>
      <c r="AB73" s="37"/>
      <c r="AC73" s="37"/>
      <c r="AD73" s="37"/>
      <c r="AE73" s="37"/>
      <c r="AF73" s="37"/>
      <c r="AG73" s="37"/>
      <c r="AH73" s="37"/>
      <c r="AI73" s="37"/>
      <c r="AJ73" s="37"/>
      <c r="AK73" s="37"/>
      <c r="AL73" s="37"/>
      <c r="AM73" s="36" t="str">
        <f>IFERROR(INDEX(PARAMETRES!$B$536:$B$586,MATCH(AL73,PARAMETRES!$J$536:$J$586,0)),"")</f>
        <v/>
      </c>
      <c r="AN73" s="36" t="str">
        <f>IFERROR(INDEX(PARAMETRES!$D$536:$D$586,MATCH(AL73,PARAMETRES!$J$536:$J$586,0)),"")</f>
        <v/>
      </c>
      <c r="AO73" s="36" t="str">
        <f>IFERROR(INDEX(PARAMETRES!$F$536:$F$586,MATCH(AL73,PARAMETRES!$J$536:$J$586,0)),"")</f>
        <v/>
      </c>
      <c r="AP73" s="36" t="str">
        <f>IFERROR(INDEX(PARAMETRES!$G$536:$G$586,MATCH(AL73,PARAMETRES!$J$536:$J$586,0)),"")</f>
        <v/>
      </c>
      <c r="AQ73" s="37"/>
      <c r="AR73" s="37"/>
      <c r="AS73" s="37"/>
      <c r="AT73" s="37"/>
      <c r="AU73" s="37"/>
      <c r="AV73" s="37"/>
      <c r="AW73" s="37"/>
      <c r="AX73" s="37"/>
      <c r="AY73" s="37"/>
      <c r="AZ73" s="37"/>
      <c r="BA73" s="37"/>
      <c r="BB73" s="38"/>
      <c r="BC73" s="37"/>
      <c r="BD73" s="37"/>
      <c r="BE73" s="38"/>
      <c r="BF73" s="38"/>
      <c r="BG73" s="37"/>
      <c r="BH73" s="37"/>
      <c r="BI73" s="37"/>
      <c r="BJ73" s="37"/>
      <c r="BK73" s="37"/>
      <c r="BL73" s="37"/>
      <c r="BM73" s="38"/>
      <c r="BN73" s="37"/>
      <c r="BO73" s="37"/>
      <c r="BP73" s="37"/>
      <c r="BQ73" s="37"/>
      <c r="BR73" s="37"/>
      <c r="BS73" s="37"/>
      <c r="BT73" s="37"/>
      <c r="BU73" s="38"/>
      <c r="BV73" s="36" t="str">
        <f t="shared" ca="1" si="4"/>
        <v/>
      </c>
      <c r="BW73" s="36">
        <f>COUNTIF(tbl_Beneficiaires_Activites[ID Beneficiaire],A73)</f>
        <v>40</v>
      </c>
      <c r="BX73" s="36">
        <f>COUNTIF(tbl_Beneficiaires_Appuis[ID Beneficiaire],A73)</f>
        <v>40</v>
      </c>
      <c r="BY73" s="36" t="str">
        <f t="shared" si="5"/>
        <v/>
      </c>
      <c r="BZ73" s="37"/>
    </row>
    <row r="74" spans="1:78" ht="15" customHeight="1">
      <c r="A74" s="36" t="str">
        <f t="shared" si="0"/>
        <v/>
      </c>
      <c r="B74" s="37"/>
      <c r="C74" s="37"/>
      <c r="D74" s="37"/>
      <c r="E74" s="37"/>
      <c r="F74" s="37"/>
      <c r="G74" s="36" t="str">
        <f t="shared" si="1"/>
        <v/>
      </c>
      <c r="H74" s="37"/>
      <c r="I74" s="38"/>
      <c r="J74" s="36" t="str">
        <f t="shared" ca="1" si="2"/>
        <v/>
      </c>
      <c r="K74" s="36" t="str">
        <f t="shared" ca="1" si="3"/>
        <v/>
      </c>
      <c r="L74" s="37"/>
      <c r="M74" s="37"/>
      <c r="N74" s="37"/>
      <c r="O74" s="37"/>
      <c r="P74" s="39"/>
      <c r="Q74" s="37"/>
      <c r="R74" s="39"/>
      <c r="S74" s="39"/>
      <c r="T74" s="39"/>
      <c r="U74" s="39"/>
      <c r="V74" s="37"/>
      <c r="W74" s="37"/>
      <c r="X74" s="37"/>
      <c r="Y74" s="37"/>
      <c r="Z74" s="37"/>
      <c r="AA74" s="37"/>
      <c r="AB74" s="37"/>
      <c r="AC74" s="37"/>
      <c r="AD74" s="37"/>
      <c r="AE74" s="37"/>
      <c r="AF74" s="37"/>
      <c r="AG74" s="37"/>
      <c r="AH74" s="37"/>
      <c r="AI74" s="37"/>
      <c r="AJ74" s="37"/>
      <c r="AK74" s="37"/>
      <c r="AL74" s="37"/>
      <c r="AM74" s="36" t="str">
        <f>IFERROR(INDEX(PARAMETRES!$B$536:$B$586,MATCH(AL74,PARAMETRES!$J$536:$J$586,0)),"")</f>
        <v/>
      </c>
      <c r="AN74" s="36" t="str">
        <f>IFERROR(INDEX(PARAMETRES!$D$536:$D$586,MATCH(AL74,PARAMETRES!$J$536:$J$586,0)),"")</f>
        <v/>
      </c>
      <c r="AO74" s="36" t="str">
        <f>IFERROR(INDEX(PARAMETRES!$F$536:$F$586,MATCH(AL74,PARAMETRES!$J$536:$J$586,0)),"")</f>
        <v/>
      </c>
      <c r="AP74" s="36" t="str">
        <f>IFERROR(INDEX(PARAMETRES!$G$536:$G$586,MATCH(AL74,PARAMETRES!$J$536:$J$586,0)),"")</f>
        <v/>
      </c>
      <c r="AQ74" s="37"/>
      <c r="AR74" s="37"/>
      <c r="AS74" s="37"/>
      <c r="AT74" s="37"/>
      <c r="AU74" s="37"/>
      <c r="AV74" s="37"/>
      <c r="AW74" s="37"/>
      <c r="AX74" s="37"/>
      <c r="AY74" s="37"/>
      <c r="AZ74" s="37"/>
      <c r="BA74" s="37"/>
      <c r="BB74" s="38"/>
      <c r="BC74" s="37"/>
      <c r="BD74" s="37"/>
      <c r="BE74" s="38"/>
      <c r="BF74" s="38"/>
      <c r="BG74" s="37"/>
      <c r="BH74" s="37"/>
      <c r="BI74" s="37"/>
      <c r="BJ74" s="37"/>
      <c r="BK74" s="37"/>
      <c r="BL74" s="37"/>
      <c r="BM74" s="38"/>
      <c r="BN74" s="37"/>
      <c r="BO74" s="37"/>
      <c r="BP74" s="37"/>
      <c r="BQ74" s="37"/>
      <c r="BR74" s="37"/>
      <c r="BS74" s="37"/>
      <c r="BT74" s="37"/>
      <c r="BU74" s="38"/>
      <c r="BV74" s="36" t="str">
        <f t="shared" ca="1" si="4"/>
        <v/>
      </c>
      <c r="BW74" s="36">
        <f>COUNTIF(tbl_Beneficiaires_Activites[ID Beneficiaire],A74)</f>
        <v>40</v>
      </c>
      <c r="BX74" s="36">
        <f>COUNTIF(tbl_Beneficiaires_Appuis[ID Beneficiaire],A74)</f>
        <v>40</v>
      </c>
      <c r="BY74" s="36" t="str">
        <f t="shared" si="5"/>
        <v/>
      </c>
      <c r="BZ74" s="37"/>
    </row>
    <row r="75" spans="1:78" ht="15" customHeight="1">
      <c r="A75" s="36" t="str">
        <f t="shared" si="0"/>
        <v/>
      </c>
      <c r="B75" s="37"/>
      <c r="C75" s="37"/>
      <c r="D75" s="37"/>
      <c r="E75" s="37"/>
      <c r="F75" s="37"/>
      <c r="G75" s="36" t="str">
        <f t="shared" si="1"/>
        <v/>
      </c>
      <c r="H75" s="37"/>
      <c r="I75" s="38"/>
      <c r="J75" s="36" t="str">
        <f t="shared" ca="1" si="2"/>
        <v/>
      </c>
      <c r="K75" s="36" t="str">
        <f t="shared" ca="1" si="3"/>
        <v/>
      </c>
      <c r="L75" s="37"/>
      <c r="M75" s="37"/>
      <c r="N75" s="37"/>
      <c r="O75" s="37"/>
      <c r="P75" s="39"/>
      <c r="Q75" s="37"/>
      <c r="R75" s="39"/>
      <c r="S75" s="39"/>
      <c r="T75" s="39"/>
      <c r="U75" s="39"/>
      <c r="V75" s="37"/>
      <c r="W75" s="37"/>
      <c r="X75" s="37"/>
      <c r="Y75" s="37"/>
      <c r="Z75" s="37"/>
      <c r="AA75" s="37"/>
      <c r="AB75" s="37"/>
      <c r="AC75" s="37"/>
      <c r="AD75" s="37"/>
      <c r="AE75" s="37"/>
      <c r="AF75" s="37"/>
      <c r="AG75" s="37"/>
      <c r="AH75" s="37"/>
      <c r="AI75" s="37"/>
      <c r="AJ75" s="37"/>
      <c r="AK75" s="37"/>
      <c r="AL75" s="37"/>
      <c r="AM75" s="36" t="str">
        <f>IFERROR(INDEX(PARAMETRES!$B$536:$B$586,MATCH(AL75,PARAMETRES!$J$536:$J$586,0)),"")</f>
        <v/>
      </c>
      <c r="AN75" s="36" t="str">
        <f>IFERROR(INDEX(PARAMETRES!$D$536:$D$586,MATCH(AL75,PARAMETRES!$J$536:$J$586,0)),"")</f>
        <v/>
      </c>
      <c r="AO75" s="36" t="str">
        <f>IFERROR(INDEX(PARAMETRES!$F$536:$F$586,MATCH(AL75,PARAMETRES!$J$536:$J$586,0)),"")</f>
        <v/>
      </c>
      <c r="AP75" s="36" t="str">
        <f>IFERROR(INDEX(PARAMETRES!$G$536:$G$586,MATCH(AL75,PARAMETRES!$J$536:$J$586,0)),"")</f>
        <v/>
      </c>
      <c r="AQ75" s="37"/>
      <c r="AR75" s="37"/>
      <c r="AS75" s="37"/>
      <c r="AT75" s="37"/>
      <c r="AU75" s="37"/>
      <c r="AV75" s="37"/>
      <c r="AW75" s="37"/>
      <c r="AX75" s="37"/>
      <c r="AY75" s="37"/>
      <c r="AZ75" s="37"/>
      <c r="BA75" s="37"/>
      <c r="BB75" s="38"/>
      <c r="BC75" s="37"/>
      <c r="BD75" s="37"/>
      <c r="BE75" s="38"/>
      <c r="BF75" s="38"/>
      <c r="BG75" s="37"/>
      <c r="BH75" s="37"/>
      <c r="BI75" s="37"/>
      <c r="BJ75" s="37"/>
      <c r="BK75" s="37"/>
      <c r="BL75" s="37"/>
      <c r="BM75" s="38"/>
      <c r="BN75" s="37"/>
      <c r="BO75" s="37"/>
      <c r="BP75" s="37"/>
      <c r="BQ75" s="37"/>
      <c r="BR75" s="37"/>
      <c r="BS75" s="37"/>
      <c r="BT75" s="37"/>
      <c r="BU75" s="38"/>
      <c r="BV75" s="36" t="str">
        <f t="shared" ca="1" si="4"/>
        <v/>
      </c>
      <c r="BW75" s="36">
        <f>COUNTIF(tbl_Beneficiaires_Activites[ID Beneficiaire],A75)</f>
        <v>40</v>
      </c>
      <c r="BX75" s="36">
        <f>COUNTIF(tbl_Beneficiaires_Appuis[ID Beneficiaire],A75)</f>
        <v>40</v>
      </c>
      <c r="BY75" s="36" t="str">
        <f t="shared" si="5"/>
        <v/>
      </c>
      <c r="BZ75" s="37"/>
    </row>
    <row r="76" spans="1:78" ht="15" customHeight="1">
      <c r="A76" s="36" t="str">
        <f t="shared" si="0"/>
        <v/>
      </c>
      <c r="B76" s="37"/>
      <c r="C76" s="37"/>
      <c r="D76" s="37"/>
      <c r="E76" s="37"/>
      <c r="F76" s="37"/>
      <c r="G76" s="36" t="str">
        <f t="shared" si="1"/>
        <v/>
      </c>
      <c r="H76" s="37"/>
      <c r="I76" s="38"/>
      <c r="J76" s="36" t="str">
        <f t="shared" ca="1" si="2"/>
        <v/>
      </c>
      <c r="K76" s="36" t="str">
        <f t="shared" ca="1" si="3"/>
        <v/>
      </c>
      <c r="L76" s="37"/>
      <c r="M76" s="37"/>
      <c r="N76" s="37"/>
      <c r="O76" s="37"/>
      <c r="P76" s="39"/>
      <c r="Q76" s="37"/>
      <c r="R76" s="39"/>
      <c r="S76" s="39"/>
      <c r="T76" s="39"/>
      <c r="U76" s="39"/>
      <c r="V76" s="37"/>
      <c r="W76" s="37"/>
      <c r="X76" s="37"/>
      <c r="Y76" s="37"/>
      <c r="Z76" s="37"/>
      <c r="AA76" s="37"/>
      <c r="AB76" s="37"/>
      <c r="AC76" s="37"/>
      <c r="AD76" s="37"/>
      <c r="AE76" s="37"/>
      <c r="AF76" s="37"/>
      <c r="AG76" s="37"/>
      <c r="AH76" s="37"/>
      <c r="AI76" s="37"/>
      <c r="AJ76" s="37"/>
      <c r="AK76" s="37"/>
      <c r="AL76" s="37"/>
      <c r="AM76" s="36" t="str">
        <f>IFERROR(INDEX(PARAMETRES!$B$536:$B$586,MATCH(AL76,PARAMETRES!$J$536:$J$586,0)),"")</f>
        <v/>
      </c>
      <c r="AN76" s="36" t="str">
        <f>IFERROR(INDEX(PARAMETRES!$D$536:$D$586,MATCH(AL76,PARAMETRES!$J$536:$J$586,0)),"")</f>
        <v/>
      </c>
      <c r="AO76" s="36" t="str">
        <f>IFERROR(INDEX(PARAMETRES!$F$536:$F$586,MATCH(AL76,PARAMETRES!$J$536:$J$586,0)),"")</f>
        <v/>
      </c>
      <c r="AP76" s="36" t="str">
        <f>IFERROR(INDEX(PARAMETRES!$G$536:$G$586,MATCH(AL76,PARAMETRES!$J$536:$J$586,0)),"")</f>
        <v/>
      </c>
      <c r="AQ76" s="37"/>
      <c r="AR76" s="37"/>
      <c r="AS76" s="37"/>
      <c r="AT76" s="37"/>
      <c r="AU76" s="37"/>
      <c r="AV76" s="37"/>
      <c r="AW76" s="37"/>
      <c r="AX76" s="37"/>
      <c r="AY76" s="37"/>
      <c r="AZ76" s="37"/>
      <c r="BA76" s="37"/>
      <c r="BB76" s="38"/>
      <c r="BC76" s="37"/>
      <c r="BD76" s="37"/>
      <c r="BE76" s="38"/>
      <c r="BF76" s="38"/>
      <c r="BG76" s="37"/>
      <c r="BH76" s="37"/>
      <c r="BI76" s="37"/>
      <c r="BJ76" s="37"/>
      <c r="BK76" s="37"/>
      <c r="BL76" s="37"/>
      <c r="BM76" s="38"/>
      <c r="BN76" s="37"/>
      <c r="BO76" s="37"/>
      <c r="BP76" s="37"/>
      <c r="BQ76" s="37"/>
      <c r="BR76" s="37"/>
      <c r="BS76" s="37"/>
      <c r="BT76" s="37"/>
      <c r="BU76" s="38"/>
      <c r="BV76" s="36" t="str">
        <f t="shared" ca="1" si="4"/>
        <v/>
      </c>
      <c r="BW76" s="36">
        <f>COUNTIF(tbl_Beneficiaires_Activites[ID Beneficiaire],A76)</f>
        <v>40</v>
      </c>
      <c r="BX76" s="36">
        <f>COUNTIF(tbl_Beneficiaires_Appuis[ID Beneficiaire],A76)</f>
        <v>40</v>
      </c>
      <c r="BY76" s="36" t="str">
        <f t="shared" si="5"/>
        <v/>
      </c>
      <c r="BZ76" s="37"/>
    </row>
    <row r="77" spans="1:78" ht="15" customHeight="1">
      <c r="A77" s="36" t="str">
        <f t="shared" si="0"/>
        <v/>
      </c>
      <c r="B77" s="37"/>
      <c r="C77" s="37"/>
      <c r="D77" s="37"/>
      <c r="E77" s="37"/>
      <c r="F77" s="37"/>
      <c r="G77" s="36" t="str">
        <f t="shared" si="1"/>
        <v/>
      </c>
      <c r="H77" s="37"/>
      <c r="I77" s="38"/>
      <c r="J77" s="36" t="str">
        <f t="shared" ca="1" si="2"/>
        <v/>
      </c>
      <c r="K77" s="36" t="str">
        <f t="shared" ca="1" si="3"/>
        <v/>
      </c>
      <c r="L77" s="37"/>
      <c r="M77" s="37"/>
      <c r="N77" s="37"/>
      <c r="O77" s="37"/>
      <c r="P77" s="39"/>
      <c r="Q77" s="37"/>
      <c r="R77" s="39"/>
      <c r="S77" s="39"/>
      <c r="T77" s="39"/>
      <c r="U77" s="39"/>
      <c r="V77" s="37"/>
      <c r="W77" s="37"/>
      <c r="X77" s="37"/>
      <c r="Y77" s="37"/>
      <c r="Z77" s="37"/>
      <c r="AA77" s="37"/>
      <c r="AB77" s="37"/>
      <c r="AC77" s="37"/>
      <c r="AD77" s="37"/>
      <c r="AE77" s="37"/>
      <c r="AF77" s="37"/>
      <c r="AG77" s="37"/>
      <c r="AH77" s="37"/>
      <c r="AI77" s="37"/>
      <c r="AJ77" s="37"/>
      <c r="AK77" s="37"/>
      <c r="AL77" s="37"/>
      <c r="AM77" s="36" t="str">
        <f>IFERROR(INDEX(PARAMETRES!$B$536:$B$586,MATCH(AL77,PARAMETRES!$J$536:$J$586,0)),"")</f>
        <v/>
      </c>
      <c r="AN77" s="36" t="str">
        <f>IFERROR(INDEX(PARAMETRES!$D$536:$D$586,MATCH(AL77,PARAMETRES!$J$536:$J$586,0)),"")</f>
        <v/>
      </c>
      <c r="AO77" s="36" t="str">
        <f>IFERROR(INDEX(PARAMETRES!$F$536:$F$586,MATCH(AL77,PARAMETRES!$J$536:$J$586,0)),"")</f>
        <v/>
      </c>
      <c r="AP77" s="36" t="str">
        <f>IFERROR(INDEX(PARAMETRES!$G$536:$G$586,MATCH(AL77,PARAMETRES!$J$536:$J$586,0)),"")</f>
        <v/>
      </c>
      <c r="AQ77" s="37"/>
      <c r="AR77" s="37"/>
      <c r="AS77" s="37"/>
      <c r="AT77" s="37"/>
      <c r="AU77" s="37"/>
      <c r="AV77" s="37"/>
      <c r="AW77" s="37"/>
      <c r="AX77" s="37"/>
      <c r="AY77" s="37"/>
      <c r="AZ77" s="37"/>
      <c r="BA77" s="37"/>
      <c r="BB77" s="38"/>
      <c r="BC77" s="37"/>
      <c r="BD77" s="37"/>
      <c r="BE77" s="38"/>
      <c r="BF77" s="38"/>
      <c r="BG77" s="37"/>
      <c r="BH77" s="37"/>
      <c r="BI77" s="37"/>
      <c r="BJ77" s="37"/>
      <c r="BK77" s="37"/>
      <c r="BL77" s="37"/>
      <c r="BM77" s="38"/>
      <c r="BN77" s="37"/>
      <c r="BO77" s="37"/>
      <c r="BP77" s="37"/>
      <c r="BQ77" s="37"/>
      <c r="BR77" s="37"/>
      <c r="BS77" s="37"/>
      <c r="BT77" s="37"/>
      <c r="BU77" s="38"/>
      <c r="BV77" s="36" t="str">
        <f t="shared" ca="1" si="4"/>
        <v/>
      </c>
      <c r="BW77" s="36">
        <f>COUNTIF(tbl_Beneficiaires_Activites[ID Beneficiaire],A77)</f>
        <v>40</v>
      </c>
      <c r="BX77" s="36">
        <f>COUNTIF(tbl_Beneficiaires_Appuis[ID Beneficiaire],A77)</f>
        <v>40</v>
      </c>
      <c r="BY77" s="36" t="str">
        <f t="shared" si="5"/>
        <v/>
      </c>
      <c r="BZ77" s="37"/>
    </row>
    <row r="78" spans="1:78" ht="15" customHeight="1">
      <c r="A78" s="36" t="str">
        <f t="shared" si="0"/>
        <v/>
      </c>
      <c r="B78" s="37"/>
      <c r="C78" s="37"/>
      <c r="D78" s="37"/>
      <c r="E78" s="37"/>
      <c r="F78" s="37"/>
      <c r="G78" s="36" t="str">
        <f t="shared" si="1"/>
        <v/>
      </c>
      <c r="H78" s="37"/>
      <c r="I78" s="38"/>
      <c r="J78" s="36" t="str">
        <f t="shared" ca="1" si="2"/>
        <v/>
      </c>
      <c r="K78" s="36" t="str">
        <f t="shared" ca="1" si="3"/>
        <v/>
      </c>
      <c r="L78" s="37"/>
      <c r="M78" s="37"/>
      <c r="N78" s="37"/>
      <c r="O78" s="37"/>
      <c r="P78" s="39"/>
      <c r="Q78" s="37"/>
      <c r="R78" s="39"/>
      <c r="S78" s="39"/>
      <c r="T78" s="39"/>
      <c r="U78" s="39"/>
      <c r="V78" s="37"/>
      <c r="W78" s="37"/>
      <c r="X78" s="37"/>
      <c r="Y78" s="37"/>
      <c r="Z78" s="37"/>
      <c r="AA78" s="37"/>
      <c r="AB78" s="37"/>
      <c r="AC78" s="37"/>
      <c r="AD78" s="37"/>
      <c r="AE78" s="37"/>
      <c r="AF78" s="37"/>
      <c r="AG78" s="37"/>
      <c r="AH78" s="37"/>
      <c r="AI78" s="37"/>
      <c r="AJ78" s="37"/>
      <c r="AK78" s="37"/>
      <c r="AL78" s="37"/>
      <c r="AM78" s="36" t="str">
        <f>IFERROR(INDEX(PARAMETRES!$B$536:$B$586,MATCH(AL78,PARAMETRES!$J$536:$J$586,0)),"")</f>
        <v/>
      </c>
      <c r="AN78" s="36" t="str">
        <f>IFERROR(INDEX(PARAMETRES!$D$536:$D$586,MATCH(AL78,PARAMETRES!$J$536:$J$586,0)),"")</f>
        <v/>
      </c>
      <c r="AO78" s="36" t="str">
        <f>IFERROR(INDEX(PARAMETRES!$F$536:$F$586,MATCH(AL78,PARAMETRES!$J$536:$J$586,0)),"")</f>
        <v/>
      </c>
      <c r="AP78" s="36" t="str">
        <f>IFERROR(INDEX(PARAMETRES!$G$536:$G$586,MATCH(AL78,PARAMETRES!$J$536:$J$586,0)),"")</f>
        <v/>
      </c>
      <c r="AQ78" s="37"/>
      <c r="AR78" s="37"/>
      <c r="AS78" s="37"/>
      <c r="AT78" s="37"/>
      <c r="AU78" s="37"/>
      <c r="AV78" s="37"/>
      <c r="AW78" s="37"/>
      <c r="AX78" s="37"/>
      <c r="AY78" s="37"/>
      <c r="AZ78" s="37"/>
      <c r="BA78" s="37"/>
      <c r="BB78" s="38"/>
      <c r="BC78" s="37"/>
      <c r="BD78" s="37"/>
      <c r="BE78" s="38"/>
      <c r="BF78" s="38"/>
      <c r="BG78" s="37"/>
      <c r="BH78" s="37"/>
      <c r="BI78" s="37"/>
      <c r="BJ78" s="37"/>
      <c r="BK78" s="37"/>
      <c r="BL78" s="37"/>
      <c r="BM78" s="38"/>
      <c r="BN78" s="37"/>
      <c r="BO78" s="37"/>
      <c r="BP78" s="37"/>
      <c r="BQ78" s="37"/>
      <c r="BR78" s="37"/>
      <c r="BS78" s="37"/>
      <c r="BT78" s="37"/>
      <c r="BU78" s="38"/>
      <c r="BV78" s="36" t="str">
        <f t="shared" ca="1" si="4"/>
        <v/>
      </c>
      <c r="BW78" s="36">
        <f>COUNTIF(tbl_Beneficiaires_Activites[ID Beneficiaire],A78)</f>
        <v>40</v>
      </c>
      <c r="BX78" s="36">
        <f>COUNTIF(tbl_Beneficiaires_Appuis[ID Beneficiaire],A78)</f>
        <v>40</v>
      </c>
      <c r="BY78" s="36" t="str">
        <f t="shared" si="5"/>
        <v/>
      </c>
      <c r="BZ78" s="37"/>
    </row>
    <row r="79" spans="1:78" ht="15" customHeight="1">
      <c r="A79" s="36" t="str">
        <f t="shared" si="0"/>
        <v/>
      </c>
      <c r="B79" s="37"/>
      <c r="C79" s="37"/>
      <c r="D79" s="37"/>
      <c r="E79" s="37"/>
      <c r="F79" s="37"/>
      <c r="G79" s="36" t="str">
        <f t="shared" si="1"/>
        <v/>
      </c>
      <c r="H79" s="37"/>
      <c r="I79" s="38"/>
      <c r="J79" s="36" t="str">
        <f t="shared" ca="1" si="2"/>
        <v/>
      </c>
      <c r="K79" s="36" t="str">
        <f t="shared" ca="1" si="3"/>
        <v/>
      </c>
      <c r="L79" s="37"/>
      <c r="M79" s="37"/>
      <c r="N79" s="37"/>
      <c r="O79" s="37"/>
      <c r="P79" s="39"/>
      <c r="Q79" s="37"/>
      <c r="R79" s="39"/>
      <c r="S79" s="39"/>
      <c r="T79" s="39"/>
      <c r="U79" s="39"/>
      <c r="V79" s="37"/>
      <c r="W79" s="37"/>
      <c r="X79" s="37"/>
      <c r="Y79" s="37"/>
      <c r="Z79" s="37"/>
      <c r="AA79" s="37"/>
      <c r="AB79" s="37"/>
      <c r="AC79" s="37"/>
      <c r="AD79" s="37"/>
      <c r="AE79" s="37"/>
      <c r="AF79" s="37"/>
      <c r="AG79" s="37"/>
      <c r="AH79" s="37"/>
      <c r="AI79" s="37"/>
      <c r="AJ79" s="37"/>
      <c r="AK79" s="37"/>
      <c r="AL79" s="37"/>
      <c r="AM79" s="36" t="str">
        <f>IFERROR(INDEX(PARAMETRES!$B$536:$B$586,MATCH(AL79,PARAMETRES!$J$536:$J$586,0)),"")</f>
        <v/>
      </c>
      <c r="AN79" s="36" t="str">
        <f>IFERROR(INDEX(PARAMETRES!$D$536:$D$586,MATCH(AL79,PARAMETRES!$J$536:$J$586,0)),"")</f>
        <v/>
      </c>
      <c r="AO79" s="36" t="str">
        <f>IFERROR(INDEX(PARAMETRES!$F$536:$F$586,MATCH(AL79,PARAMETRES!$J$536:$J$586,0)),"")</f>
        <v/>
      </c>
      <c r="AP79" s="36" t="str">
        <f>IFERROR(INDEX(PARAMETRES!$G$536:$G$586,MATCH(AL79,PARAMETRES!$J$536:$J$586,0)),"")</f>
        <v/>
      </c>
      <c r="AQ79" s="37"/>
      <c r="AR79" s="37"/>
      <c r="AS79" s="37"/>
      <c r="AT79" s="37"/>
      <c r="AU79" s="37"/>
      <c r="AV79" s="37"/>
      <c r="AW79" s="37"/>
      <c r="AX79" s="37"/>
      <c r="AY79" s="37"/>
      <c r="AZ79" s="37"/>
      <c r="BA79" s="37"/>
      <c r="BB79" s="38"/>
      <c r="BC79" s="37"/>
      <c r="BD79" s="37"/>
      <c r="BE79" s="38"/>
      <c r="BF79" s="38"/>
      <c r="BG79" s="37"/>
      <c r="BH79" s="37"/>
      <c r="BI79" s="37"/>
      <c r="BJ79" s="37"/>
      <c r="BK79" s="37"/>
      <c r="BL79" s="37"/>
      <c r="BM79" s="38"/>
      <c r="BN79" s="37"/>
      <c r="BO79" s="37"/>
      <c r="BP79" s="37"/>
      <c r="BQ79" s="37"/>
      <c r="BR79" s="37"/>
      <c r="BS79" s="37"/>
      <c r="BT79" s="37"/>
      <c r="BU79" s="38"/>
      <c r="BV79" s="36" t="str">
        <f t="shared" ca="1" si="4"/>
        <v/>
      </c>
      <c r="BW79" s="36">
        <f>COUNTIF(tbl_Beneficiaires_Activites[ID Beneficiaire],A79)</f>
        <v>40</v>
      </c>
      <c r="BX79" s="36">
        <f>COUNTIF(tbl_Beneficiaires_Appuis[ID Beneficiaire],A79)</f>
        <v>40</v>
      </c>
      <c r="BY79" s="36" t="str">
        <f t="shared" si="5"/>
        <v/>
      </c>
      <c r="BZ79" s="37"/>
    </row>
    <row r="80" spans="1:78" ht="15" customHeight="1">
      <c r="A80" s="36" t="str">
        <f t="shared" si="0"/>
        <v/>
      </c>
      <c r="B80" s="37"/>
      <c r="C80" s="37"/>
      <c r="D80" s="37"/>
      <c r="E80" s="37"/>
      <c r="F80" s="37"/>
      <c r="G80" s="36" t="str">
        <f t="shared" si="1"/>
        <v/>
      </c>
      <c r="H80" s="37"/>
      <c r="I80" s="38"/>
      <c r="J80" s="36" t="str">
        <f t="shared" ca="1" si="2"/>
        <v/>
      </c>
      <c r="K80" s="36" t="str">
        <f t="shared" ca="1" si="3"/>
        <v/>
      </c>
      <c r="L80" s="37"/>
      <c r="M80" s="37"/>
      <c r="N80" s="37"/>
      <c r="O80" s="37"/>
      <c r="P80" s="39"/>
      <c r="Q80" s="37"/>
      <c r="R80" s="39"/>
      <c r="S80" s="39"/>
      <c r="T80" s="39"/>
      <c r="U80" s="39"/>
      <c r="V80" s="37"/>
      <c r="W80" s="37"/>
      <c r="X80" s="37"/>
      <c r="Y80" s="37"/>
      <c r="Z80" s="37"/>
      <c r="AA80" s="37"/>
      <c r="AB80" s="37"/>
      <c r="AC80" s="37"/>
      <c r="AD80" s="37"/>
      <c r="AE80" s="37"/>
      <c r="AF80" s="37"/>
      <c r="AG80" s="37"/>
      <c r="AH80" s="37"/>
      <c r="AI80" s="37"/>
      <c r="AJ80" s="37"/>
      <c r="AK80" s="37"/>
      <c r="AL80" s="37"/>
      <c r="AM80" s="36" t="str">
        <f>IFERROR(INDEX(PARAMETRES!$B$536:$B$586,MATCH(AL80,PARAMETRES!$J$536:$J$586,0)),"")</f>
        <v/>
      </c>
      <c r="AN80" s="36" t="str">
        <f>IFERROR(INDEX(PARAMETRES!$D$536:$D$586,MATCH(AL80,PARAMETRES!$J$536:$J$586,0)),"")</f>
        <v/>
      </c>
      <c r="AO80" s="36" t="str">
        <f>IFERROR(INDEX(PARAMETRES!$F$536:$F$586,MATCH(AL80,PARAMETRES!$J$536:$J$586,0)),"")</f>
        <v/>
      </c>
      <c r="AP80" s="36" t="str">
        <f>IFERROR(INDEX(PARAMETRES!$G$536:$G$586,MATCH(AL80,PARAMETRES!$J$536:$J$586,0)),"")</f>
        <v/>
      </c>
      <c r="AQ80" s="37"/>
      <c r="AR80" s="37"/>
      <c r="AS80" s="37"/>
      <c r="AT80" s="37"/>
      <c r="AU80" s="37"/>
      <c r="AV80" s="37"/>
      <c r="AW80" s="37"/>
      <c r="AX80" s="37"/>
      <c r="AY80" s="37"/>
      <c r="AZ80" s="37"/>
      <c r="BA80" s="37"/>
      <c r="BB80" s="38"/>
      <c r="BC80" s="37"/>
      <c r="BD80" s="37"/>
      <c r="BE80" s="38"/>
      <c r="BF80" s="38"/>
      <c r="BG80" s="37"/>
      <c r="BH80" s="37"/>
      <c r="BI80" s="37"/>
      <c r="BJ80" s="37"/>
      <c r="BK80" s="37"/>
      <c r="BL80" s="37"/>
      <c r="BM80" s="38"/>
      <c r="BN80" s="37"/>
      <c r="BO80" s="37"/>
      <c r="BP80" s="37"/>
      <c r="BQ80" s="37"/>
      <c r="BR80" s="37"/>
      <c r="BS80" s="37"/>
      <c r="BT80" s="37"/>
      <c r="BU80" s="38"/>
      <c r="BV80" s="36" t="str">
        <f t="shared" ca="1" si="4"/>
        <v/>
      </c>
      <c r="BW80" s="36">
        <f>COUNTIF(tbl_Beneficiaires_Activites[ID Beneficiaire],A80)</f>
        <v>40</v>
      </c>
      <c r="BX80" s="36">
        <f>COUNTIF(tbl_Beneficiaires_Appuis[ID Beneficiaire],A80)</f>
        <v>40</v>
      </c>
      <c r="BY80" s="36" t="str">
        <f t="shared" si="5"/>
        <v/>
      </c>
      <c r="BZ80" s="37"/>
    </row>
    <row r="81" spans="1:78" ht="15" customHeight="1">
      <c r="A81" s="36" t="str">
        <f t="shared" si="0"/>
        <v/>
      </c>
      <c r="B81" s="37"/>
      <c r="C81" s="37"/>
      <c r="D81" s="37"/>
      <c r="E81" s="37"/>
      <c r="F81" s="37"/>
      <c r="G81" s="36" t="str">
        <f t="shared" si="1"/>
        <v/>
      </c>
      <c r="H81" s="37"/>
      <c r="I81" s="38"/>
      <c r="J81" s="36" t="str">
        <f t="shared" ca="1" si="2"/>
        <v/>
      </c>
      <c r="K81" s="36" t="str">
        <f t="shared" ca="1" si="3"/>
        <v/>
      </c>
      <c r="L81" s="37"/>
      <c r="M81" s="37"/>
      <c r="N81" s="37"/>
      <c r="O81" s="37"/>
      <c r="P81" s="39"/>
      <c r="Q81" s="37"/>
      <c r="R81" s="39"/>
      <c r="S81" s="39"/>
      <c r="T81" s="39"/>
      <c r="U81" s="39"/>
      <c r="V81" s="37"/>
      <c r="W81" s="37"/>
      <c r="X81" s="37"/>
      <c r="Y81" s="37"/>
      <c r="Z81" s="37"/>
      <c r="AA81" s="37"/>
      <c r="AB81" s="37"/>
      <c r="AC81" s="37"/>
      <c r="AD81" s="37"/>
      <c r="AE81" s="37"/>
      <c r="AF81" s="37"/>
      <c r="AG81" s="37"/>
      <c r="AH81" s="37"/>
      <c r="AI81" s="37"/>
      <c r="AJ81" s="37"/>
      <c r="AK81" s="37"/>
      <c r="AL81" s="37"/>
      <c r="AM81" s="36" t="str">
        <f>IFERROR(INDEX(PARAMETRES!$B$536:$B$586,MATCH(AL81,PARAMETRES!$J$536:$J$586,0)),"")</f>
        <v/>
      </c>
      <c r="AN81" s="36" t="str">
        <f>IFERROR(INDEX(PARAMETRES!$D$536:$D$586,MATCH(AL81,PARAMETRES!$J$536:$J$586,0)),"")</f>
        <v/>
      </c>
      <c r="AO81" s="36" t="str">
        <f>IFERROR(INDEX(PARAMETRES!$F$536:$F$586,MATCH(AL81,PARAMETRES!$J$536:$J$586,0)),"")</f>
        <v/>
      </c>
      <c r="AP81" s="36" t="str">
        <f>IFERROR(INDEX(PARAMETRES!$G$536:$G$586,MATCH(AL81,PARAMETRES!$J$536:$J$586,0)),"")</f>
        <v/>
      </c>
      <c r="AQ81" s="37"/>
      <c r="AR81" s="37"/>
      <c r="AS81" s="37"/>
      <c r="AT81" s="37"/>
      <c r="AU81" s="37"/>
      <c r="AV81" s="37"/>
      <c r="AW81" s="37"/>
      <c r="AX81" s="37"/>
      <c r="AY81" s="37"/>
      <c r="AZ81" s="37"/>
      <c r="BA81" s="37"/>
      <c r="BB81" s="38"/>
      <c r="BC81" s="37"/>
      <c r="BD81" s="37"/>
      <c r="BE81" s="38"/>
      <c r="BF81" s="38"/>
      <c r="BG81" s="37"/>
      <c r="BH81" s="37"/>
      <c r="BI81" s="37"/>
      <c r="BJ81" s="37"/>
      <c r="BK81" s="37"/>
      <c r="BL81" s="37"/>
      <c r="BM81" s="38"/>
      <c r="BN81" s="37"/>
      <c r="BO81" s="37"/>
      <c r="BP81" s="37"/>
      <c r="BQ81" s="37"/>
      <c r="BR81" s="37"/>
      <c r="BS81" s="37"/>
      <c r="BT81" s="37"/>
      <c r="BU81" s="38"/>
      <c r="BV81" s="36" t="str">
        <f t="shared" ca="1" si="4"/>
        <v/>
      </c>
      <c r="BW81" s="36">
        <f>COUNTIF(tbl_Beneficiaires_Activites[ID Beneficiaire],A81)</f>
        <v>40</v>
      </c>
      <c r="BX81" s="36">
        <f>COUNTIF(tbl_Beneficiaires_Appuis[ID Beneficiaire],A81)</f>
        <v>40</v>
      </c>
      <c r="BY81" s="36" t="str">
        <f t="shared" si="5"/>
        <v/>
      </c>
      <c r="BZ81" s="37"/>
    </row>
    <row r="82" spans="1:78" ht="15" customHeight="1">
      <c r="A82" s="36" t="str">
        <f t="shared" si="0"/>
        <v/>
      </c>
      <c r="B82" s="37"/>
      <c r="C82" s="37"/>
      <c r="D82" s="37"/>
      <c r="E82" s="37"/>
      <c r="F82" s="37"/>
      <c r="G82" s="36" t="str">
        <f t="shared" si="1"/>
        <v/>
      </c>
      <c r="H82" s="37"/>
      <c r="I82" s="38"/>
      <c r="J82" s="36" t="str">
        <f t="shared" ca="1" si="2"/>
        <v/>
      </c>
      <c r="K82" s="36" t="str">
        <f t="shared" ca="1" si="3"/>
        <v/>
      </c>
      <c r="L82" s="37"/>
      <c r="M82" s="37"/>
      <c r="N82" s="37"/>
      <c r="O82" s="37"/>
      <c r="P82" s="39"/>
      <c r="Q82" s="37"/>
      <c r="R82" s="39"/>
      <c r="S82" s="39"/>
      <c r="T82" s="39"/>
      <c r="U82" s="39"/>
      <c r="V82" s="37"/>
      <c r="W82" s="37"/>
      <c r="X82" s="37"/>
      <c r="Y82" s="37"/>
      <c r="Z82" s="37"/>
      <c r="AA82" s="37"/>
      <c r="AB82" s="37"/>
      <c r="AC82" s="37"/>
      <c r="AD82" s="37"/>
      <c r="AE82" s="37"/>
      <c r="AF82" s="37"/>
      <c r="AG82" s="37"/>
      <c r="AH82" s="37"/>
      <c r="AI82" s="37"/>
      <c r="AJ82" s="37"/>
      <c r="AK82" s="37"/>
      <c r="AL82" s="37"/>
      <c r="AM82" s="36" t="str">
        <f>IFERROR(INDEX(PARAMETRES!$B$536:$B$586,MATCH(AL82,PARAMETRES!$J$536:$J$586,0)),"")</f>
        <v/>
      </c>
      <c r="AN82" s="36" t="str">
        <f>IFERROR(INDEX(PARAMETRES!$D$536:$D$586,MATCH(AL82,PARAMETRES!$J$536:$J$586,0)),"")</f>
        <v/>
      </c>
      <c r="AO82" s="36" t="str">
        <f>IFERROR(INDEX(PARAMETRES!$F$536:$F$586,MATCH(AL82,PARAMETRES!$J$536:$J$586,0)),"")</f>
        <v/>
      </c>
      <c r="AP82" s="36" t="str">
        <f>IFERROR(INDEX(PARAMETRES!$G$536:$G$586,MATCH(AL82,PARAMETRES!$J$536:$J$586,0)),"")</f>
        <v/>
      </c>
      <c r="AQ82" s="37"/>
      <c r="AR82" s="37"/>
      <c r="AS82" s="37"/>
      <c r="AT82" s="37"/>
      <c r="AU82" s="37"/>
      <c r="AV82" s="37"/>
      <c r="AW82" s="37"/>
      <c r="AX82" s="37"/>
      <c r="AY82" s="37"/>
      <c r="AZ82" s="37"/>
      <c r="BA82" s="37"/>
      <c r="BB82" s="38"/>
      <c r="BC82" s="37"/>
      <c r="BD82" s="37"/>
      <c r="BE82" s="38"/>
      <c r="BF82" s="38"/>
      <c r="BG82" s="37"/>
      <c r="BH82" s="37"/>
      <c r="BI82" s="37"/>
      <c r="BJ82" s="37"/>
      <c r="BK82" s="37"/>
      <c r="BL82" s="37"/>
      <c r="BM82" s="38"/>
      <c r="BN82" s="37"/>
      <c r="BO82" s="37"/>
      <c r="BP82" s="37"/>
      <c r="BQ82" s="37"/>
      <c r="BR82" s="37"/>
      <c r="BS82" s="37"/>
      <c r="BT82" s="37"/>
      <c r="BU82" s="38"/>
      <c r="BV82" s="36" t="str">
        <f t="shared" ca="1" si="4"/>
        <v/>
      </c>
      <c r="BW82" s="36">
        <f>COUNTIF(tbl_Beneficiaires_Activites[ID Beneficiaire],A82)</f>
        <v>40</v>
      </c>
      <c r="BX82" s="36">
        <f>COUNTIF(tbl_Beneficiaires_Appuis[ID Beneficiaire],A82)</f>
        <v>40</v>
      </c>
      <c r="BY82" s="36" t="str">
        <f t="shared" si="5"/>
        <v/>
      </c>
      <c r="BZ82" s="37"/>
    </row>
    <row r="83" spans="1:78" ht="15" customHeight="1">
      <c r="A83" s="36" t="str">
        <f t="shared" si="0"/>
        <v/>
      </c>
      <c r="B83" s="37"/>
      <c r="C83" s="37"/>
      <c r="D83" s="37"/>
      <c r="E83" s="37"/>
      <c r="F83" s="37"/>
      <c r="G83" s="36" t="str">
        <f t="shared" si="1"/>
        <v/>
      </c>
      <c r="H83" s="37"/>
      <c r="I83" s="38"/>
      <c r="J83" s="36" t="str">
        <f t="shared" ca="1" si="2"/>
        <v/>
      </c>
      <c r="K83" s="36" t="str">
        <f t="shared" ca="1" si="3"/>
        <v/>
      </c>
      <c r="L83" s="37"/>
      <c r="M83" s="37"/>
      <c r="N83" s="37"/>
      <c r="O83" s="37"/>
      <c r="P83" s="39"/>
      <c r="Q83" s="37"/>
      <c r="R83" s="39"/>
      <c r="S83" s="39"/>
      <c r="T83" s="39"/>
      <c r="U83" s="39"/>
      <c r="V83" s="37"/>
      <c r="W83" s="37"/>
      <c r="X83" s="37"/>
      <c r="Y83" s="37"/>
      <c r="Z83" s="37"/>
      <c r="AA83" s="37"/>
      <c r="AB83" s="37"/>
      <c r="AC83" s="37"/>
      <c r="AD83" s="37"/>
      <c r="AE83" s="37"/>
      <c r="AF83" s="37"/>
      <c r="AG83" s="37"/>
      <c r="AH83" s="37"/>
      <c r="AI83" s="37"/>
      <c r="AJ83" s="37"/>
      <c r="AK83" s="37"/>
      <c r="AL83" s="37"/>
      <c r="AM83" s="36" t="str">
        <f>IFERROR(INDEX(PARAMETRES!$B$536:$B$586,MATCH(AL83,PARAMETRES!$J$536:$J$586,0)),"")</f>
        <v/>
      </c>
      <c r="AN83" s="36" t="str">
        <f>IFERROR(INDEX(PARAMETRES!$D$536:$D$586,MATCH(AL83,PARAMETRES!$J$536:$J$586,0)),"")</f>
        <v/>
      </c>
      <c r="AO83" s="36" t="str">
        <f>IFERROR(INDEX(PARAMETRES!$F$536:$F$586,MATCH(AL83,PARAMETRES!$J$536:$J$586,0)),"")</f>
        <v/>
      </c>
      <c r="AP83" s="36" t="str">
        <f>IFERROR(INDEX(PARAMETRES!$G$536:$G$586,MATCH(AL83,PARAMETRES!$J$536:$J$586,0)),"")</f>
        <v/>
      </c>
      <c r="AQ83" s="37"/>
      <c r="AR83" s="37"/>
      <c r="AS83" s="37"/>
      <c r="AT83" s="37"/>
      <c r="AU83" s="37"/>
      <c r="AV83" s="37"/>
      <c r="AW83" s="37"/>
      <c r="AX83" s="37"/>
      <c r="AY83" s="37"/>
      <c r="AZ83" s="37"/>
      <c r="BA83" s="37"/>
      <c r="BB83" s="38"/>
      <c r="BC83" s="37"/>
      <c r="BD83" s="37"/>
      <c r="BE83" s="38"/>
      <c r="BF83" s="38"/>
      <c r="BG83" s="37"/>
      <c r="BH83" s="37"/>
      <c r="BI83" s="37"/>
      <c r="BJ83" s="37"/>
      <c r="BK83" s="37"/>
      <c r="BL83" s="37"/>
      <c r="BM83" s="38"/>
      <c r="BN83" s="37"/>
      <c r="BO83" s="37"/>
      <c r="BP83" s="37"/>
      <c r="BQ83" s="37"/>
      <c r="BR83" s="37"/>
      <c r="BS83" s="37"/>
      <c r="BT83" s="37"/>
      <c r="BU83" s="38"/>
      <c r="BV83" s="36" t="str">
        <f t="shared" ca="1" si="4"/>
        <v/>
      </c>
      <c r="BW83" s="36">
        <f>COUNTIF(tbl_Beneficiaires_Activites[ID Beneficiaire],A83)</f>
        <v>40</v>
      </c>
      <c r="BX83" s="36">
        <f>COUNTIF(tbl_Beneficiaires_Appuis[ID Beneficiaire],A83)</f>
        <v>40</v>
      </c>
      <c r="BY83" s="36" t="str">
        <f t="shared" si="5"/>
        <v/>
      </c>
      <c r="BZ83" s="37"/>
    </row>
    <row r="84" spans="1:78" ht="15" customHeight="1">
      <c r="A84" s="36" t="str">
        <f t="shared" si="0"/>
        <v/>
      </c>
      <c r="B84" s="37"/>
      <c r="C84" s="37"/>
      <c r="D84" s="37"/>
      <c r="E84" s="37"/>
      <c r="F84" s="37"/>
      <c r="G84" s="36" t="str">
        <f t="shared" si="1"/>
        <v/>
      </c>
      <c r="H84" s="37"/>
      <c r="I84" s="38"/>
      <c r="J84" s="36" t="str">
        <f t="shared" ca="1" si="2"/>
        <v/>
      </c>
      <c r="K84" s="36" t="str">
        <f t="shared" ca="1" si="3"/>
        <v/>
      </c>
      <c r="L84" s="37"/>
      <c r="M84" s="37"/>
      <c r="N84" s="37"/>
      <c r="O84" s="37"/>
      <c r="P84" s="39"/>
      <c r="Q84" s="37"/>
      <c r="R84" s="39"/>
      <c r="S84" s="39"/>
      <c r="T84" s="39"/>
      <c r="U84" s="39"/>
      <c r="V84" s="37"/>
      <c r="W84" s="37"/>
      <c r="X84" s="37"/>
      <c r="Y84" s="37"/>
      <c r="Z84" s="37"/>
      <c r="AA84" s="37"/>
      <c r="AB84" s="37"/>
      <c r="AC84" s="37"/>
      <c r="AD84" s="37"/>
      <c r="AE84" s="37"/>
      <c r="AF84" s="37"/>
      <c r="AG84" s="37"/>
      <c r="AH84" s="37"/>
      <c r="AI84" s="37"/>
      <c r="AJ84" s="37"/>
      <c r="AK84" s="37"/>
      <c r="AL84" s="37"/>
      <c r="AM84" s="36" t="str">
        <f>IFERROR(INDEX(PARAMETRES!$B$536:$B$586,MATCH(AL84,PARAMETRES!$J$536:$J$586,0)),"")</f>
        <v/>
      </c>
      <c r="AN84" s="36" t="str">
        <f>IFERROR(INDEX(PARAMETRES!$D$536:$D$586,MATCH(AL84,PARAMETRES!$J$536:$J$586,0)),"")</f>
        <v/>
      </c>
      <c r="AO84" s="36" t="str">
        <f>IFERROR(INDEX(PARAMETRES!$F$536:$F$586,MATCH(AL84,PARAMETRES!$J$536:$J$586,0)),"")</f>
        <v/>
      </c>
      <c r="AP84" s="36" t="str">
        <f>IFERROR(INDEX(PARAMETRES!$G$536:$G$586,MATCH(AL84,PARAMETRES!$J$536:$J$586,0)),"")</f>
        <v/>
      </c>
      <c r="AQ84" s="37"/>
      <c r="AR84" s="37"/>
      <c r="AS84" s="37"/>
      <c r="AT84" s="37"/>
      <c r="AU84" s="37"/>
      <c r="AV84" s="37"/>
      <c r="AW84" s="37"/>
      <c r="AX84" s="37"/>
      <c r="AY84" s="37"/>
      <c r="AZ84" s="37"/>
      <c r="BA84" s="37"/>
      <c r="BB84" s="38"/>
      <c r="BC84" s="37"/>
      <c r="BD84" s="37"/>
      <c r="BE84" s="38"/>
      <c r="BF84" s="38"/>
      <c r="BG84" s="37"/>
      <c r="BH84" s="37"/>
      <c r="BI84" s="37"/>
      <c r="BJ84" s="37"/>
      <c r="BK84" s="37"/>
      <c r="BL84" s="37"/>
      <c r="BM84" s="38"/>
      <c r="BN84" s="37"/>
      <c r="BO84" s="37"/>
      <c r="BP84" s="37"/>
      <c r="BQ84" s="37"/>
      <c r="BR84" s="37"/>
      <c r="BS84" s="37"/>
      <c r="BT84" s="37"/>
      <c r="BU84" s="38"/>
      <c r="BV84" s="36" t="str">
        <f t="shared" ca="1" si="4"/>
        <v/>
      </c>
      <c r="BW84" s="36">
        <f>COUNTIF(tbl_Beneficiaires_Activites[ID Beneficiaire],A84)</f>
        <v>40</v>
      </c>
      <c r="BX84" s="36">
        <f>COUNTIF(tbl_Beneficiaires_Appuis[ID Beneficiaire],A84)</f>
        <v>40</v>
      </c>
      <c r="BY84" s="36" t="str">
        <f t="shared" si="5"/>
        <v/>
      </c>
      <c r="BZ84" s="37"/>
    </row>
    <row r="85" spans="1:78" ht="15" customHeight="1">
      <c r="A85" s="36" t="str">
        <f t="shared" si="0"/>
        <v/>
      </c>
      <c r="B85" s="37"/>
      <c r="C85" s="37"/>
      <c r="D85" s="37"/>
      <c r="E85" s="37"/>
      <c r="F85" s="37"/>
      <c r="G85" s="36" t="str">
        <f t="shared" si="1"/>
        <v/>
      </c>
      <c r="H85" s="37"/>
      <c r="I85" s="38"/>
      <c r="J85" s="36" t="str">
        <f t="shared" ca="1" si="2"/>
        <v/>
      </c>
      <c r="K85" s="36" t="str">
        <f t="shared" ca="1" si="3"/>
        <v/>
      </c>
      <c r="L85" s="37"/>
      <c r="M85" s="37"/>
      <c r="N85" s="37"/>
      <c r="O85" s="37"/>
      <c r="P85" s="39"/>
      <c r="Q85" s="37"/>
      <c r="R85" s="39"/>
      <c r="S85" s="39"/>
      <c r="T85" s="39"/>
      <c r="U85" s="39"/>
      <c r="V85" s="37"/>
      <c r="W85" s="37"/>
      <c r="X85" s="37"/>
      <c r="Y85" s="37"/>
      <c r="Z85" s="37"/>
      <c r="AA85" s="37"/>
      <c r="AB85" s="37"/>
      <c r="AC85" s="37"/>
      <c r="AD85" s="37"/>
      <c r="AE85" s="37"/>
      <c r="AF85" s="37"/>
      <c r="AG85" s="37"/>
      <c r="AH85" s="37"/>
      <c r="AI85" s="37"/>
      <c r="AJ85" s="37"/>
      <c r="AK85" s="37"/>
      <c r="AL85" s="37"/>
      <c r="AM85" s="36" t="str">
        <f>IFERROR(INDEX(PARAMETRES!$B$536:$B$586,MATCH(AL85,PARAMETRES!$J$536:$J$586,0)),"")</f>
        <v/>
      </c>
      <c r="AN85" s="36" t="str">
        <f>IFERROR(INDEX(PARAMETRES!$D$536:$D$586,MATCH(AL85,PARAMETRES!$J$536:$J$586,0)),"")</f>
        <v/>
      </c>
      <c r="AO85" s="36" t="str">
        <f>IFERROR(INDEX(PARAMETRES!$F$536:$F$586,MATCH(AL85,PARAMETRES!$J$536:$J$586,0)),"")</f>
        <v/>
      </c>
      <c r="AP85" s="36" t="str">
        <f>IFERROR(INDEX(PARAMETRES!$G$536:$G$586,MATCH(AL85,PARAMETRES!$J$536:$J$586,0)),"")</f>
        <v/>
      </c>
      <c r="AQ85" s="37"/>
      <c r="AR85" s="37"/>
      <c r="AS85" s="37"/>
      <c r="AT85" s="37"/>
      <c r="AU85" s="37"/>
      <c r="AV85" s="37"/>
      <c r="AW85" s="37"/>
      <c r="AX85" s="37"/>
      <c r="AY85" s="37"/>
      <c r="AZ85" s="37"/>
      <c r="BA85" s="37"/>
      <c r="BB85" s="38"/>
      <c r="BC85" s="37"/>
      <c r="BD85" s="37"/>
      <c r="BE85" s="38"/>
      <c r="BF85" s="38"/>
      <c r="BG85" s="37"/>
      <c r="BH85" s="37"/>
      <c r="BI85" s="37"/>
      <c r="BJ85" s="37"/>
      <c r="BK85" s="37"/>
      <c r="BL85" s="37"/>
      <c r="BM85" s="38"/>
      <c r="BN85" s="37"/>
      <c r="BO85" s="37"/>
      <c r="BP85" s="37"/>
      <c r="BQ85" s="37"/>
      <c r="BR85" s="37"/>
      <c r="BS85" s="37"/>
      <c r="BT85" s="37"/>
      <c r="BU85" s="38"/>
      <c r="BV85" s="36" t="str">
        <f t="shared" ca="1" si="4"/>
        <v/>
      </c>
      <c r="BW85" s="36">
        <f>COUNTIF(tbl_Beneficiaires_Activites[ID Beneficiaire],A85)</f>
        <v>40</v>
      </c>
      <c r="BX85" s="36">
        <f>COUNTIF(tbl_Beneficiaires_Appuis[ID Beneficiaire],A85)</f>
        <v>40</v>
      </c>
      <c r="BY85" s="36" t="str">
        <f t="shared" si="5"/>
        <v/>
      </c>
      <c r="BZ85" s="37"/>
    </row>
    <row r="86" spans="1:78" ht="15" customHeight="1">
      <c r="A86" s="36" t="str">
        <f t="shared" si="0"/>
        <v/>
      </c>
      <c r="B86" s="37"/>
      <c r="C86" s="37"/>
      <c r="D86" s="37"/>
      <c r="E86" s="37"/>
      <c r="F86" s="37"/>
      <c r="G86" s="36" t="str">
        <f t="shared" si="1"/>
        <v/>
      </c>
      <c r="H86" s="37"/>
      <c r="I86" s="38"/>
      <c r="J86" s="36" t="str">
        <f t="shared" ca="1" si="2"/>
        <v/>
      </c>
      <c r="K86" s="36" t="str">
        <f t="shared" ca="1" si="3"/>
        <v/>
      </c>
      <c r="L86" s="37"/>
      <c r="M86" s="37"/>
      <c r="N86" s="37"/>
      <c r="O86" s="37"/>
      <c r="P86" s="39"/>
      <c r="Q86" s="37"/>
      <c r="R86" s="39"/>
      <c r="S86" s="39"/>
      <c r="T86" s="39"/>
      <c r="U86" s="39"/>
      <c r="V86" s="37"/>
      <c r="W86" s="37"/>
      <c r="X86" s="37"/>
      <c r="Y86" s="37"/>
      <c r="Z86" s="37"/>
      <c r="AA86" s="37"/>
      <c r="AB86" s="37"/>
      <c r="AC86" s="37"/>
      <c r="AD86" s="37"/>
      <c r="AE86" s="37"/>
      <c r="AF86" s="37"/>
      <c r="AG86" s="37"/>
      <c r="AH86" s="37"/>
      <c r="AI86" s="37"/>
      <c r="AJ86" s="37"/>
      <c r="AK86" s="37"/>
      <c r="AL86" s="37"/>
      <c r="AM86" s="36" t="str">
        <f>IFERROR(INDEX(PARAMETRES!$B$536:$B$586,MATCH(AL86,PARAMETRES!$J$536:$J$586,0)),"")</f>
        <v/>
      </c>
      <c r="AN86" s="36" t="str">
        <f>IFERROR(INDEX(PARAMETRES!$D$536:$D$586,MATCH(AL86,PARAMETRES!$J$536:$J$586,0)),"")</f>
        <v/>
      </c>
      <c r="AO86" s="36" t="str">
        <f>IFERROR(INDEX(PARAMETRES!$F$536:$F$586,MATCH(AL86,PARAMETRES!$J$536:$J$586,0)),"")</f>
        <v/>
      </c>
      <c r="AP86" s="36" t="str">
        <f>IFERROR(INDEX(PARAMETRES!$G$536:$G$586,MATCH(AL86,PARAMETRES!$J$536:$J$586,0)),"")</f>
        <v/>
      </c>
      <c r="AQ86" s="37"/>
      <c r="AR86" s="37"/>
      <c r="AS86" s="37"/>
      <c r="AT86" s="37"/>
      <c r="AU86" s="37"/>
      <c r="AV86" s="37"/>
      <c r="AW86" s="37"/>
      <c r="AX86" s="37"/>
      <c r="AY86" s="37"/>
      <c r="AZ86" s="37"/>
      <c r="BA86" s="37"/>
      <c r="BB86" s="38"/>
      <c r="BC86" s="37"/>
      <c r="BD86" s="37"/>
      <c r="BE86" s="38"/>
      <c r="BF86" s="38"/>
      <c r="BG86" s="37"/>
      <c r="BH86" s="37"/>
      <c r="BI86" s="37"/>
      <c r="BJ86" s="37"/>
      <c r="BK86" s="37"/>
      <c r="BL86" s="37"/>
      <c r="BM86" s="38"/>
      <c r="BN86" s="37"/>
      <c r="BO86" s="37"/>
      <c r="BP86" s="37"/>
      <c r="BQ86" s="37"/>
      <c r="BR86" s="37"/>
      <c r="BS86" s="37"/>
      <c r="BT86" s="37"/>
      <c r="BU86" s="38"/>
      <c r="BV86" s="36" t="str">
        <f t="shared" ca="1" si="4"/>
        <v/>
      </c>
      <c r="BW86" s="36">
        <f>COUNTIF(tbl_Beneficiaires_Activites[ID Beneficiaire],A86)</f>
        <v>40</v>
      </c>
      <c r="BX86" s="36">
        <f>COUNTIF(tbl_Beneficiaires_Appuis[ID Beneficiaire],A86)</f>
        <v>40</v>
      </c>
      <c r="BY86" s="36" t="str">
        <f t="shared" si="5"/>
        <v/>
      </c>
      <c r="BZ86" s="37"/>
    </row>
    <row r="87" spans="1:78" ht="15" customHeight="1">
      <c r="A87" s="36" t="str">
        <f t="shared" si="0"/>
        <v/>
      </c>
      <c r="B87" s="37"/>
      <c r="C87" s="37"/>
      <c r="D87" s="37"/>
      <c r="E87" s="37"/>
      <c r="F87" s="37"/>
      <c r="G87" s="36" t="str">
        <f t="shared" si="1"/>
        <v/>
      </c>
      <c r="H87" s="37"/>
      <c r="I87" s="38"/>
      <c r="J87" s="36" t="str">
        <f t="shared" ca="1" si="2"/>
        <v/>
      </c>
      <c r="K87" s="36" t="str">
        <f t="shared" ca="1" si="3"/>
        <v/>
      </c>
      <c r="L87" s="37"/>
      <c r="M87" s="37"/>
      <c r="N87" s="37"/>
      <c r="O87" s="37"/>
      <c r="P87" s="39"/>
      <c r="Q87" s="37"/>
      <c r="R87" s="39"/>
      <c r="S87" s="39"/>
      <c r="T87" s="39"/>
      <c r="U87" s="39"/>
      <c r="V87" s="37"/>
      <c r="W87" s="37"/>
      <c r="X87" s="37"/>
      <c r="Y87" s="37"/>
      <c r="Z87" s="37"/>
      <c r="AA87" s="37"/>
      <c r="AB87" s="37"/>
      <c r="AC87" s="37"/>
      <c r="AD87" s="37"/>
      <c r="AE87" s="37"/>
      <c r="AF87" s="37"/>
      <c r="AG87" s="37"/>
      <c r="AH87" s="37"/>
      <c r="AI87" s="37"/>
      <c r="AJ87" s="37"/>
      <c r="AK87" s="37"/>
      <c r="AL87" s="37"/>
      <c r="AM87" s="36" t="str">
        <f>IFERROR(INDEX(PARAMETRES!$B$536:$B$586,MATCH(AL87,PARAMETRES!$J$536:$J$586,0)),"")</f>
        <v/>
      </c>
      <c r="AN87" s="36" t="str">
        <f>IFERROR(INDEX(PARAMETRES!$D$536:$D$586,MATCH(AL87,PARAMETRES!$J$536:$J$586,0)),"")</f>
        <v/>
      </c>
      <c r="AO87" s="36" t="str">
        <f>IFERROR(INDEX(PARAMETRES!$F$536:$F$586,MATCH(AL87,PARAMETRES!$J$536:$J$586,0)),"")</f>
        <v/>
      </c>
      <c r="AP87" s="36" t="str">
        <f>IFERROR(INDEX(PARAMETRES!$G$536:$G$586,MATCH(AL87,PARAMETRES!$J$536:$J$586,0)),"")</f>
        <v/>
      </c>
      <c r="AQ87" s="37"/>
      <c r="AR87" s="37"/>
      <c r="AS87" s="37"/>
      <c r="AT87" s="37"/>
      <c r="AU87" s="37"/>
      <c r="AV87" s="37"/>
      <c r="AW87" s="37"/>
      <c r="AX87" s="37"/>
      <c r="AY87" s="37"/>
      <c r="AZ87" s="37"/>
      <c r="BA87" s="37"/>
      <c r="BB87" s="38"/>
      <c r="BC87" s="37"/>
      <c r="BD87" s="37"/>
      <c r="BE87" s="38"/>
      <c r="BF87" s="38"/>
      <c r="BG87" s="37"/>
      <c r="BH87" s="37"/>
      <c r="BI87" s="37"/>
      <c r="BJ87" s="37"/>
      <c r="BK87" s="37"/>
      <c r="BL87" s="37"/>
      <c r="BM87" s="38"/>
      <c r="BN87" s="37"/>
      <c r="BO87" s="37"/>
      <c r="BP87" s="37"/>
      <c r="BQ87" s="37"/>
      <c r="BR87" s="37"/>
      <c r="BS87" s="37"/>
      <c r="BT87" s="37"/>
      <c r="BU87" s="38"/>
      <c r="BV87" s="36" t="str">
        <f t="shared" ca="1" si="4"/>
        <v/>
      </c>
      <c r="BW87" s="36">
        <f>COUNTIF(tbl_Beneficiaires_Activites[ID Beneficiaire],A87)</f>
        <v>40</v>
      </c>
      <c r="BX87" s="36">
        <f>COUNTIF(tbl_Beneficiaires_Appuis[ID Beneficiaire],A87)</f>
        <v>40</v>
      </c>
      <c r="BY87" s="36" t="str">
        <f t="shared" si="5"/>
        <v/>
      </c>
      <c r="BZ87" s="37"/>
    </row>
    <row r="88" spans="1:78" ht="15" customHeight="1">
      <c r="A88" s="36" t="str">
        <f t="shared" ref="A88:A115" si="6">IF(D88="","","BEN"&amp;TEXT(ROW()-55,"00000"))</f>
        <v/>
      </c>
      <c r="B88" s="37"/>
      <c r="C88" s="37"/>
      <c r="D88" s="37"/>
      <c r="E88" s="37"/>
      <c r="F88" s="37"/>
      <c r="G88" s="36" t="str">
        <f t="shared" ref="G88:G115" si="7">TRIM(D88&amp;" "&amp;E88&amp;" "&amp;F88)</f>
        <v/>
      </c>
      <c r="H88" s="37"/>
      <c r="I88" s="38"/>
      <c r="J88" s="36" t="str">
        <f t="shared" ref="J88:J115" ca="1" si="8">IF(I88="","",DATEDIF(I88,TODAY(),"y"))</f>
        <v/>
      </c>
      <c r="K88" s="36" t="str">
        <f t="shared" ref="K88:K115" ca="1" si="9">IF(J88="","",IF(J88&lt;5,"0-4 ans",IF(J88&lt;10,"5-9 ans",IF(J88&lt;15,"10-14 ans",IF(J88&lt;18,"15-17 ans",IF(J88&lt;25,"18-24 ans",IF(J88&lt;35,"25-34 ans",IF(J88&lt;45,"35-44 ans",IF(J88&lt;55,"45-54 ans",IF(J88&lt;65,"55-64 ans","65 ans et plus"))))))))))</f>
        <v/>
      </c>
      <c r="L88" s="37"/>
      <c r="M88" s="37"/>
      <c r="N88" s="37"/>
      <c r="O88" s="37"/>
      <c r="P88" s="39"/>
      <c r="Q88" s="37"/>
      <c r="R88" s="39"/>
      <c r="S88" s="39"/>
      <c r="T88" s="39"/>
      <c r="U88" s="39"/>
      <c r="V88" s="37"/>
      <c r="W88" s="37"/>
      <c r="X88" s="37"/>
      <c r="Y88" s="37"/>
      <c r="Z88" s="37"/>
      <c r="AA88" s="37"/>
      <c r="AB88" s="37"/>
      <c r="AC88" s="37"/>
      <c r="AD88" s="37"/>
      <c r="AE88" s="37"/>
      <c r="AF88" s="37"/>
      <c r="AG88" s="37"/>
      <c r="AH88" s="37"/>
      <c r="AI88" s="37"/>
      <c r="AJ88" s="37"/>
      <c r="AK88" s="37"/>
      <c r="AL88" s="37"/>
      <c r="AM88" s="36" t="str">
        <f>IFERROR(INDEX(PARAMETRES!$B$536:$B$586,MATCH(AL88,PARAMETRES!$J$536:$J$586,0)),"")</f>
        <v/>
      </c>
      <c r="AN88" s="36" t="str">
        <f>IFERROR(INDEX(PARAMETRES!$D$536:$D$586,MATCH(AL88,PARAMETRES!$J$536:$J$586,0)),"")</f>
        <v/>
      </c>
      <c r="AO88" s="36" t="str">
        <f>IFERROR(INDEX(PARAMETRES!$F$536:$F$586,MATCH(AL88,PARAMETRES!$J$536:$J$586,0)),"")</f>
        <v/>
      </c>
      <c r="AP88" s="36" t="str">
        <f>IFERROR(INDEX(PARAMETRES!$G$536:$G$586,MATCH(AL88,PARAMETRES!$J$536:$J$586,0)),"")</f>
        <v/>
      </c>
      <c r="AQ88" s="37"/>
      <c r="AR88" s="37"/>
      <c r="AS88" s="37"/>
      <c r="AT88" s="37"/>
      <c r="AU88" s="37"/>
      <c r="AV88" s="37"/>
      <c r="AW88" s="37"/>
      <c r="AX88" s="37"/>
      <c r="AY88" s="37"/>
      <c r="AZ88" s="37"/>
      <c r="BA88" s="37"/>
      <c r="BB88" s="38"/>
      <c r="BC88" s="37"/>
      <c r="BD88" s="37"/>
      <c r="BE88" s="38"/>
      <c r="BF88" s="38"/>
      <c r="BG88" s="37"/>
      <c r="BH88" s="37"/>
      <c r="BI88" s="37"/>
      <c r="BJ88" s="37"/>
      <c r="BK88" s="37"/>
      <c r="BL88" s="37"/>
      <c r="BM88" s="38"/>
      <c r="BN88" s="37"/>
      <c r="BO88" s="37"/>
      <c r="BP88" s="37"/>
      <c r="BQ88" s="37"/>
      <c r="BR88" s="37"/>
      <c r="BS88" s="37"/>
      <c r="BT88" s="37"/>
      <c r="BU88" s="38"/>
      <c r="BV88" s="36" t="str">
        <f t="shared" ref="BV88:BV115" ca="1" si="10">IF(BE88="","",DATEDIF(BE88,TODAY(),"y"))</f>
        <v/>
      </c>
      <c r="BW88" s="36">
        <f>COUNTIF(tbl_Beneficiaires_Activites[ID Beneficiaire],A88)</f>
        <v>40</v>
      </c>
      <c r="BX88" s="36">
        <f>COUNTIF(tbl_Beneficiaires_Appuis[ID Beneficiaire],A88)</f>
        <v>40</v>
      </c>
      <c r="BY88" s="36" t="str">
        <f t="shared" ref="BY88:BY115" si="11">IF(D88="","",IF(COUNTIFS($D$56:$D$115,D88,$F$56:$F$115,F88,$I$56:$I$115,I88)&gt;1,"DOUBLON POSSIBLE","OK"))</f>
        <v/>
      </c>
      <c r="BZ88" s="37"/>
    </row>
    <row r="89" spans="1:78" ht="15" customHeight="1">
      <c r="A89" s="36" t="str">
        <f t="shared" si="6"/>
        <v/>
      </c>
      <c r="B89" s="37"/>
      <c r="C89" s="37"/>
      <c r="D89" s="37"/>
      <c r="E89" s="37"/>
      <c r="F89" s="37"/>
      <c r="G89" s="36" t="str">
        <f t="shared" si="7"/>
        <v/>
      </c>
      <c r="H89" s="37"/>
      <c r="I89" s="38"/>
      <c r="J89" s="36" t="str">
        <f t="shared" ca="1" si="8"/>
        <v/>
      </c>
      <c r="K89" s="36" t="str">
        <f t="shared" ca="1" si="9"/>
        <v/>
      </c>
      <c r="L89" s="37"/>
      <c r="M89" s="37"/>
      <c r="N89" s="37"/>
      <c r="O89" s="37"/>
      <c r="P89" s="39"/>
      <c r="Q89" s="37"/>
      <c r="R89" s="39"/>
      <c r="S89" s="39"/>
      <c r="T89" s="39"/>
      <c r="U89" s="39"/>
      <c r="V89" s="37"/>
      <c r="W89" s="37"/>
      <c r="X89" s="37"/>
      <c r="Y89" s="37"/>
      <c r="Z89" s="37"/>
      <c r="AA89" s="37"/>
      <c r="AB89" s="37"/>
      <c r="AC89" s="37"/>
      <c r="AD89" s="37"/>
      <c r="AE89" s="37"/>
      <c r="AF89" s="37"/>
      <c r="AG89" s="37"/>
      <c r="AH89" s="37"/>
      <c r="AI89" s="37"/>
      <c r="AJ89" s="37"/>
      <c r="AK89" s="37"/>
      <c r="AL89" s="37"/>
      <c r="AM89" s="36" t="str">
        <f>IFERROR(INDEX(PARAMETRES!$B$536:$B$586,MATCH(AL89,PARAMETRES!$J$536:$J$586,0)),"")</f>
        <v/>
      </c>
      <c r="AN89" s="36" t="str">
        <f>IFERROR(INDEX(PARAMETRES!$D$536:$D$586,MATCH(AL89,PARAMETRES!$J$536:$J$586,0)),"")</f>
        <v/>
      </c>
      <c r="AO89" s="36" t="str">
        <f>IFERROR(INDEX(PARAMETRES!$F$536:$F$586,MATCH(AL89,PARAMETRES!$J$536:$J$586,0)),"")</f>
        <v/>
      </c>
      <c r="AP89" s="36" t="str">
        <f>IFERROR(INDEX(PARAMETRES!$G$536:$G$586,MATCH(AL89,PARAMETRES!$J$536:$J$586,0)),"")</f>
        <v/>
      </c>
      <c r="AQ89" s="37"/>
      <c r="AR89" s="37"/>
      <c r="AS89" s="37"/>
      <c r="AT89" s="37"/>
      <c r="AU89" s="37"/>
      <c r="AV89" s="37"/>
      <c r="AW89" s="37"/>
      <c r="AX89" s="37"/>
      <c r="AY89" s="37"/>
      <c r="AZ89" s="37"/>
      <c r="BA89" s="37"/>
      <c r="BB89" s="38"/>
      <c r="BC89" s="37"/>
      <c r="BD89" s="37"/>
      <c r="BE89" s="38"/>
      <c r="BF89" s="38"/>
      <c r="BG89" s="37"/>
      <c r="BH89" s="37"/>
      <c r="BI89" s="37"/>
      <c r="BJ89" s="37"/>
      <c r="BK89" s="37"/>
      <c r="BL89" s="37"/>
      <c r="BM89" s="38"/>
      <c r="BN89" s="37"/>
      <c r="BO89" s="37"/>
      <c r="BP89" s="37"/>
      <c r="BQ89" s="37"/>
      <c r="BR89" s="37"/>
      <c r="BS89" s="37"/>
      <c r="BT89" s="37"/>
      <c r="BU89" s="38"/>
      <c r="BV89" s="36" t="str">
        <f t="shared" ca="1" si="10"/>
        <v/>
      </c>
      <c r="BW89" s="36">
        <f>COUNTIF(tbl_Beneficiaires_Activites[ID Beneficiaire],A89)</f>
        <v>40</v>
      </c>
      <c r="BX89" s="36">
        <f>COUNTIF(tbl_Beneficiaires_Appuis[ID Beneficiaire],A89)</f>
        <v>40</v>
      </c>
      <c r="BY89" s="36" t="str">
        <f t="shared" si="11"/>
        <v/>
      </c>
      <c r="BZ89" s="37"/>
    </row>
    <row r="90" spans="1:78" ht="15" customHeight="1">
      <c r="A90" s="36" t="str">
        <f t="shared" si="6"/>
        <v/>
      </c>
      <c r="B90" s="37"/>
      <c r="C90" s="37"/>
      <c r="D90" s="37"/>
      <c r="E90" s="37"/>
      <c r="F90" s="37"/>
      <c r="G90" s="36" t="str">
        <f t="shared" si="7"/>
        <v/>
      </c>
      <c r="H90" s="37"/>
      <c r="I90" s="38"/>
      <c r="J90" s="36" t="str">
        <f t="shared" ca="1" si="8"/>
        <v/>
      </c>
      <c r="K90" s="36" t="str">
        <f t="shared" ca="1" si="9"/>
        <v/>
      </c>
      <c r="L90" s="37"/>
      <c r="M90" s="37"/>
      <c r="N90" s="37"/>
      <c r="O90" s="37"/>
      <c r="P90" s="39"/>
      <c r="Q90" s="37"/>
      <c r="R90" s="39"/>
      <c r="S90" s="39"/>
      <c r="T90" s="39"/>
      <c r="U90" s="39"/>
      <c r="V90" s="37"/>
      <c r="W90" s="37"/>
      <c r="X90" s="37"/>
      <c r="Y90" s="37"/>
      <c r="Z90" s="37"/>
      <c r="AA90" s="37"/>
      <c r="AB90" s="37"/>
      <c r="AC90" s="37"/>
      <c r="AD90" s="37"/>
      <c r="AE90" s="37"/>
      <c r="AF90" s="37"/>
      <c r="AG90" s="37"/>
      <c r="AH90" s="37"/>
      <c r="AI90" s="37"/>
      <c r="AJ90" s="37"/>
      <c r="AK90" s="37"/>
      <c r="AL90" s="37"/>
      <c r="AM90" s="36" t="str">
        <f>IFERROR(INDEX(PARAMETRES!$B$536:$B$586,MATCH(AL90,PARAMETRES!$J$536:$J$586,0)),"")</f>
        <v/>
      </c>
      <c r="AN90" s="36" t="str">
        <f>IFERROR(INDEX(PARAMETRES!$D$536:$D$586,MATCH(AL90,PARAMETRES!$J$536:$J$586,0)),"")</f>
        <v/>
      </c>
      <c r="AO90" s="36" t="str">
        <f>IFERROR(INDEX(PARAMETRES!$F$536:$F$586,MATCH(AL90,PARAMETRES!$J$536:$J$586,0)),"")</f>
        <v/>
      </c>
      <c r="AP90" s="36" t="str">
        <f>IFERROR(INDEX(PARAMETRES!$G$536:$G$586,MATCH(AL90,PARAMETRES!$J$536:$J$586,0)),"")</f>
        <v/>
      </c>
      <c r="AQ90" s="37"/>
      <c r="AR90" s="37"/>
      <c r="AS90" s="37"/>
      <c r="AT90" s="37"/>
      <c r="AU90" s="37"/>
      <c r="AV90" s="37"/>
      <c r="AW90" s="37"/>
      <c r="AX90" s="37"/>
      <c r="AY90" s="37"/>
      <c r="AZ90" s="37"/>
      <c r="BA90" s="37"/>
      <c r="BB90" s="38"/>
      <c r="BC90" s="37"/>
      <c r="BD90" s="37"/>
      <c r="BE90" s="38"/>
      <c r="BF90" s="38"/>
      <c r="BG90" s="37"/>
      <c r="BH90" s="37"/>
      <c r="BI90" s="37"/>
      <c r="BJ90" s="37"/>
      <c r="BK90" s="37"/>
      <c r="BL90" s="37"/>
      <c r="BM90" s="38"/>
      <c r="BN90" s="37"/>
      <c r="BO90" s="37"/>
      <c r="BP90" s="37"/>
      <c r="BQ90" s="37"/>
      <c r="BR90" s="37"/>
      <c r="BS90" s="37"/>
      <c r="BT90" s="37"/>
      <c r="BU90" s="38"/>
      <c r="BV90" s="36" t="str">
        <f t="shared" ca="1" si="10"/>
        <v/>
      </c>
      <c r="BW90" s="36">
        <f>COUNTIF(tbl_Beneficiaires_Activites[ID Beneficiaire],A90)</f>
        <v>40</v>
      </c>
      <c r="BX90" s="36">
        <f>COUNTIF(tbl_Beneficiaires_Appuis[ID Beneficiaire],A90)</f>
        <v>40</v>
      </c>
      <c r="BY90" s="36" t="str">
        <f t="shared" si="11"/>
        <v/>
      </c>
      <c r="BZ90" s="37"/>
    </row>
    <row r="91" spans="1:78" ht="15" customHeight="1">
      <c r="A91" s="36" t="str">
        <f t="shared" si="6"/>
        <v/>
      </c>
      <c r="B91" s="37"/>
      <c r="C91" s="37"/>
      <c r="D91" s="37"/>
      <c r="E91" s="37"/>
      <c r="F91" s="37"/>
      <c r="G91" s="36" t="str">
        <f t="shared" si="7"/>
        <v/>
      </c>
      <c r="H91" s="37"/>
      <c r="I91" s="38"/>
      <c r="J91" s="36" t="str">
        <f t="shared" ca="1" si="8"/>
        <v/>
      </c>
      <c r="K91" s="36" t="str">
        <f t="shared" ca="1" si="9"/>
        <v/>
      </c>
      <c r="L91" s="37"/>
      <c r="M91" s="37"/>
      <c r="N91" s="37"/>
      <c r="O91" s="37"/>
      <c r="P91" s="39"/>
      <c r="Q91" s="37"/>
      <c r="R91" s="39"/>
      <c r="S91" s="39"/>
      <c r="T91" s="39"/>
      <c r="U91" s="39"/>
      <c r="V91" s="37"/>
      <c r="W91" s="37"/>
      <c r="X91" s="37"/>
      <c r="Y91" s="37"/>
      <c r="Z91" s="37"/>
      <c r="AA91" s="37"/>
      <c r="AB91" s="37"/>
      <c r="AC91" s="37"/>
      <c r="AD91" s="37"/>
      <c r="AE91" s="37"/>
      <c r="AF91" s="37"/>
      <c r="AG91" s="37"/>
      <c r="AH91" s="37"/>
      <c r="AI91" s="37"/>
      <c r="AJ91" s="37"/>
      <c r="AK91" s="37"/>
      <c r="AL91" s="37"/>
      <c r="AM91" s="36" t="str">
        <f>IFERROR(INDEX(PARAMETRES!$B$536:$B$586,MATCH(AL91,PARAMETRES!$J$536:$J$586,0)),"")</f>
        <v/>
      </c>
      <c r="AN91" s="36" t="str">
        <f>IFERROR(INDEX(PARAMETRES!$D$536:$D$586,MATCH(AL91,PARAMETRES!$J$536:$J$586,0)),"")</f>
        <v/>
      </c>
      <c r="AO91" s="36" t="str">
        <f>IFERROR(INDEX(PARAMETRES!$F$536:$F$586,MATCH(AL91,PARAMETRES!$J$536:$J$586,0)),"")</f>
        <v/>
      </c>
      <c r="AP91" s="36" t="str">
        <f>IFERROR(INDEX(PARAMETRES!$G$536:$G$586,MATCH(AL91,PARAMETRES!$J$536:$J$586,0)),"")</f>
        <v/>
      </c>
      <c r="AQ91" s="37"/>
      <c r="AR91" s="37"/>
      <c r="AS91" s="37"/>
      <c r="AT91" s="37"/>
      <c r="AU91" s="37"/>
      <c r="AV91" s="37"/>
      <c r="AW91" s="37"/>
      <c r="AX91" s="37"/>
      <c r="AY91" s="37"/>
      <c r="AZ91" s="37"/>
      <c r="BA91" s="37"/>
      <c r="BB91" s="38"/>
      <c r="BC91" s="37"/>
      <c r="BD91" s="37"/>
      <c r="BE91" s="38"/>
      <c r="BF91" s="38"/>
      <c r="BG91" s="37"/>
      <c r="BH91" s="37"/>
      <c r="BI91" s="37"/>
      <c r="BJ91" s="37"/>
      <c r="BK91" s="37"/>
      <c r="BL91" s="37"/>
      <c r="BM91" s="38"/>
      <c r="BN91" s="37"/>
      <c r="BO91" s="37"/>
      <c r="BP91" s="37"/>
      <c r="BQ91" s="37"/>
      <c r="BR91" s="37"/>
      <c r="BS91" s="37"/>
      <c r="BT91" s="37"/>
      <c r="BU91" s="38"/>
      <c r="BV91" s="36" t="str">
        <f t="shared" ca="1" si="10"/>
        <v/>
      </c>
      <c r="BW91" s="36">
        <f>COUNTIF(tbl_Beneficiaires_Activites[ID Beneficiaire],A91)</f>
        <v>40</v>
      </c>
      <c r="BX91" s="36">
        <f>COUNTIF(tbl_Beneficiaires_Appuis[ID Beneficiaire],A91)</f>
        <v>40</v>
      </c>
      <c r="BY91" s="36" t="str">
        <f t="shared" si="11"/>
        <v/>
      </c>
      <c r="BZ91" s="37"/>
    </row>
    <row r="92" spans="1:78" ht="15" customHeight="1">
      <c r="A92" s="36" t="str">
        <f t="shared" si="6"/>
        <v/>
      </c>
      <c r="B92" s="37"/>
      <c r="C92" s="37"/>
      <c r="D92" s="37"/>
      <c r="E92" s="37"/>
      <c r="F92" s="37"/>
      <c r="G92" s="36" t="str">
        <f t="shared" si="7"/>
        <v/>
      </c>
      <c r="H92" s="37"/>
      <c r="I92" s="38"/>
      <c r="J92" s="36" t="str">
        <f t="shared" ca="1" si="8"/>
        <v/>
      </c>
      <c r="K92" s="36" t="str">
        <f t="shared" ca="1" si="9"/>
        <v/>
      </c>
      <c r="L92" s="37"/>
      <c r="M92" s="37"/>
      <c r="N92" s="37"/>
      <c r="O92" s="37"/>
      <c r="P92" s="39"/>
      <c r="Q92" s="37"/>
      <c r="R92" s="39"/>
      <c r="S92" s="39"/>
      <c r="T92" s="39"/>
      <c r="U92" s="39"/>
      <c r="V92" s="37"/>
      <c r="W92" s="37"/>
      <c r="X92" s="37"/>
      <c r="Y92" s="37"/>
      <c r="Z92" s="37"/>
      <c r="AA92" s="37"/>
      <c r="AB92" s="37"/>
      <c r="AC92" s="37"/>
      <c r="AD92" s="37"/>
      <c r="AE92" s="37"/>
      <c r="AF92" s="37"/>
      <c r="AG92" s="37"/>
      <c r="AH92" s="37"/>
      <c r="AI92" s="37"/>
      <c r="AJ92" s="37"/>
      <c r="AK92" s="37"/>
      <c r="AL92" s="37"/>
      <c r="AM92" s="36" t="str">
        <f>IFERROR(INDEX(PARAMETRES!$B$536:$B$586,MATCH(AL92,PARAMETRES!$J$536:$J$586,0)),"")</f>
        <v/>
      </c>
      <c r="AN92" s="36" t="str">
        <f>IFERROR(INDEX(PARAMETRES!$D$536:$D$586,MATCH(AL92,PARAMETRES!$J$536:$J$586,0)),"")</f>
        <v/>
      </c>
      <c r="AO92" s="36" t="str">
        <f>IFERROR(INDEX(PARAMETRES!$F$536:$F$586,MATCH(AL92,PARAMETRES!$J$536:$J$586,0)),"")</f>
        <v/>
      </c>
      <c r="AP92" s="36" t="str">
        <f>IFERROR(INDEX(PARAMETRES!$G$536:$G$586,MATCH(AL92,PARAMETRES!$J$536:$J$586,0)),"")</f>
        <v/>
      </c>
      <c r="AQ92" s="37"/>
      <c r="AR92" s="37"/>
      <c r="AS92" s="37"/>
      <c r="AT92" s="37"/>
      <c r="AU92" s="37"/>
      <c r="AV92" s="37"/>
      <c r="AW92" s="37"/>
      <c r="AX92" s="37"/>
      <c r="AY92" s="37"/>
      <c r="AZ92" s="37"/>
      <c r="BA92" s="37"/>
      <c r="BB92" s="38"/>
      <c r="BC92" s="37"/>
      <c r="BD92" s="37"/>
      <c r="BE92" s="38"/>
      <c r="BF92" s="38"/>
      <c r="BG92" s="37"/>
      <c r="BH92" s="37"/>
      <c r="BI92" s="37"/>
      <c r="BJ92" s="37"/>
      <c r="BK92" s="37"/>
      <c r="BL92" s="37"/>
      <c r="BM92" s="38"/>
      <c r="BN92" s="37"/>
      <c r="BO92" s="37"/>
      <c r="BP92" s="37"/>
      <c r="BQ92" s="37"/>
      <c r="BR92" s="37"/>
      <c r="BS92" s="37"/>
      <c r="BT92" s="37"/>
      <c r="BU92" s="38"/>
      <c r="BV92" s="36" t="str">
        <f t="shared" ca="1" si="10"/>
        <v/>
      </c>
      <c r="BW92" s="36">
        <f>COUNTIF(tbl_Beneficiaires_Activites[ID Beneficiaire],A92)</f>
        <v>40</v>
      </c>
      <c r="BX92" s="36">
        <f>COUNTIF(tbl_Beneficiaires_Appuis[ID Beneficiaire],A92)</f>
        <v>40</v>
      </c>
      <c r="BY92" s="36" t="str">
        <f t="shared" si="11"/>
        <v/>
      </c>
      <c r="BZ92" s="37"/>
    </row>
    <row r="93" spans="1:78" ht="15" customHeight="1">
      <c r="A93" s="36" t="str">
        <f t="shared" si="6"/>
        <v/>
      </c>
      <c r="B93" s="37"/>
      <c r="C93" s="37"/>
      <c r="D93" s="37"/>
      <c r="E93" s="37"/>
      <c r="F93" s="37"/>
      <c r="G93" s="36" t="str">
        <f t="shared" si="7"/>
        <v/>
      </c>
      <c r="H93" s="37"/>
      <c r="I93" s="38"/>
      <c r="J93" s="36" t="str">
        <f t="shared" ca="1" si="8"/>
        <v/>
      </c>
      <c r="K93" s="36" t="str">
        <f t="shared" ca="1" si="9"/>
        <v/>
      </c>
      <c r="L93" s="37"/>
      <c r="M93" s="37"/>
      <c r="N93" s="37"/>
      <c r="O93" s="37"/>
      <c r="P93" s="39"/>
      <c r="Q93" s="37"/>
      <c r="R93" s="39"/>
      <c r="S93" s="39"/>
      <c r="T93" s="39"/>
      <c r="U93" s="39"/>
      <c r="V93" s="37"/>
      <c r="W93" s="37"/>
      <c r="X93" s="37"/>
      <c r="Y93" s="37"/>
      <c r="Z93" s="37"/>
      <c r="AA93" s="37"/>
      <c r="AB93" s="37"/>
      <c r="AC93" s="37"/>
      <c r="AD93" s="37"/>
      <c r="AE93" s="37"/>
      <c r="AF93" s="37"/>
      <c r="AG93" s="37"/>
      <c r="AH93" s="37"/>
      <c r="AI93" s="37"/>
      <c r="AJ93" s="37"/>
      <c r="AK93" s="37"/>
      <c r="AL93" s="37"/>
      <c r="AM93" s="36" t="str">
        <f>IFERROR(INDEX(PARAMETRES!$B$536:$B$586,MATCH(AL93,PARAMETRES!$J$536:$J$586,0)),"")</f>
        <v/>
      </c>
      <c r="AN93" s="36" t="str">
        <f>IFERROR(INDEX(PARAMETRES!$D$536:$D$586,MATCH(AL93,PARAMETRES!$J$536:$J$586,0)),"")</f>
        <v/>
      </c>
      <c r="AO93" s="36" t="str">
        <f>IFERROR(INDEX(PARAMETRES!$F$536:$F$586,MATCH(AL93,PARAMETRES!$J$536:$J$586,0)),"")</f>
        <v/>
      </c>
      <c r="AP93" s="36" t="str">
        <f>IFERROR(INDEX(PARAMETRES!$G$536:$G$586,MATCH(AL93,PARAMETRES!$J$536:$J$586,0)),"")</f>
        <v/>
      </c>
      <c r="AQ93" s="37"/>
      <c r="AR93" s="37"/>
      <c r="AS93" s="37"/>
      <c r="AT93" s="37"/>
      <c r="AU93" s="37"/>
      <c r="AV93" s="37"/>
      <c r="AW93" s="37"/>
      <c r="AX93" s="37"/>
      <c r="AY93" s="37"/>
      <c r="AZ93" s="37"/>
      <c r="BA93" s="37"/>
      <c r="BB93" s="38"/>
      <c r="BC93" s="37"/>
      <c r="BD93" s="37"/>
      <c r="BE93" s="38"/>
      <c r="BF93" s="38"/>
      <c r="BG93" s="37"/>
      <c r="BH93" s="37"/>
      <c r="BI93" s="37"/>
      <c r="BJ93" s="37"/>
      <c r="BK93" s="37"/>
      <c r="BL93" s="37"/>
      <c r="BM93" s="38"/>
      <c r="BN93" s="37"/>
      <c r="BO93" s="37"/>
      <c r="BP93" s="37"/>
      <c r="BQ93" s="37"/>
      <c r="BR93" s="37"/>
      <c r="BS93" s="37"/>
      <c r="BT93" s="37"/>
      <c r="BU93" s="38"/>
      <c r="BV93" s="36" t="str">
        <f t="shared" ca="1" si="10"/>
        <v/>
      </c>
      <c r="BW93" s="36">
        <f>COUNTIF(tbl_Beneficiaires_Activites[ID Beneficiaire],A93)</f>
        <v>40</v>
      </c>
      <c r="BX93" s="36">
        <f>COUNTIF(tbl_Beneficiaires_Appuis[ID Beneficiaire],A93)</f>
        <v>40</v>
      </c>
      <c r="BY93" s="36" t="str">
        <f t="shared" si="11"/>
        <v/>
      </c>
      <c r="BZ93" s="37"/>
    </row>
    <row r="94" spans="1:78" ht="15" customHeight="1">
      <c r="A94" s="36" t="str">
        <f t="shared" si="6"/>
        <v/>
      </c>
      <c r="B94" s="37"/>
      <c r="C94" s="37"/>
      <c r="D94" s="37"/>
      <c r="E94" s="37"/>
      <c r="F94" s="37"/>
      <c r="G94" s="36" t="str">
        <f t="shared" si="7"/>
        <v/>
      </c>
      <c r="H94" s="37"/>
      <c r="I94" s="38"/>
      <c r="J94" s="36" t="str">
        <f t="shared" ca="1" si="8"/>
        <v/>
      </c>
      <c r="K94" s="36" t="str">
        <f t="shared" ca="1" si="9"/>
        <v/>
      </c>
      <c r="L94" s="37"/>
      <c r="M94" s="37"/>
      <c r="N94" s="37"/>
      <c r="O94" s="37"/>
      <c r="P94" s="39"/>
      <c r="Q94" s="37"/>
      <c r="R94" s="39"/>
      <c r="S94" s="39"/>
      <c r="T94" s="39"/>
      <c r="U94" s="39"/>
      <c r="V94" s="37"/>
      <c r="W94" s="37"/>
      <c r="X94" s="37"/>
      <c r="Y94" s="37"/>
      <c r="Z94" s="37"/>
      <c r="AA94" s="37"/>
      <c r="AB94" s="37"/>
      <c r="AC94" s="37"/>
      <c r="AD94" s="37"/>
      <c r="AE94" s="37"/>
      <c r="AF94" s="37"/>
      <c r="AG94" s="37"/>
      <c r="AH94" s="37"/>
      <c r="AI94" s="37"/>
      <c r="AJ94" s="37"/>
      <c r="AK94" s="37"/>
      <c r="AL94" s="37"/>
      <c r="AM94" s="36" t="str">
        <f>IFERROR(INDEX(PARAMETRES!$B$536:$B$586,MATCH(AL94,PARAMETRES!$J$536:$J$586,0)),"")</f>
        <v/>
      </c>
      <c r="AN94" s="36" t="str">
        <f>IFERROR(INDEX(PARAMETRES!$D$536:$D$586,MATCH(AL94,PARAMETRES!$J$536:$J$586,0)),"")</f>
        <v/>
      </c>
      <c r="AO94" s="36" t="str">
        <f>IFERROR(INDEX(PARAMETRES!$F$536:$F$586,MATCH(AL94,PARAMETRES!$J$536:$J$586,0)),"")</f>
        <v/>
      </c>
      <c r="AP94" s="36" t="str">
        <f>IFERROR(INDEX(PARAMETRES!$G$536:$G$586,MATCH(AL94,PARAMETRES!$J$536:$J$586,0)),"")</f>
        <v/>
      </c>
      <c r="AQ94" s="37"/>
      <c r="AR94" s="37"/>
      <c r="AS94" s="37"/>
      <c r="AT94" s="37"/>
      <c r="AU94" s="37"/>
      <c r="AV94" s="37"/>
      <c r="AW94" s="37"/>
      <c r="AX94" s="37"/>
      <c r="AY94" s="37"/>
      <c r="AZ94" s="37"/>
      <c r="BA94" s="37"/>
      <c r="BB94" s="38"/>
      <c r="BC94" s="37"/>
      <c r="BD94" s="37"/>
      <c r="BE94" s="38"/>
      <c r="BF94" s="38"/>
      <c r="BG94" s="37"/>
      <c r="BH94" s="37"/>
      <c r="BI94" s="37"/>
      <c r="BJ94" s="37"/>
      <c r="BK94" s="37"/>
      <c r="BL94" s="37"/>
      <c r="BM94" s="38"/>
      <c r="BN94" s="37"/>
      <c r="BO94" s="37"/>
      <c r="BP94" s="37"/>
      <c r="BQ94" s="37"/>
      <c r="BR94" s="37"/>
      <c r="BS94" s="37"/>
      <c r="BT94" s="37"/>
      <c r="BU94" s="38"/>
      <c r="BV94" s="36" t="str">
        <f t="shared" ca="1" si="10"/>
        <v/>
      </c>
      <c r="BW94" s="36">
        <f>COUNTIF(tbl_Beneficiaires_Activites[ID Beneficiaire],A94)</f>
        <v>40</v>
      </c>
      <c r="BX94" s="36">
        <f>COUNTIF(tbl_Beneficiaires_Appuis[ID Beneficiaire],A94)</f>
        <v>40</v>
      </c>
      <c r="BY94" s="36" t="str">
        <f t="shared" si="11"/>
        <v/>
      </c>
      <c r="BZ94" s="37"/>
    </row>
    <row r="95" spans="1:78" ht="15" customHeight="1">
      <c r="A95" s="36" t="str">
        <f t="shared" si="6"/>
        <v/>
      </c>
      <c r="B95" s="37"/>
      <c r="C95" s="37"/>
      <c r="D95" s="37"/>
      <c r="E95" s="37"/>
      <c r="F95" s="37"/>
      <c r="G95" s="36" t="str">
        <f t="shared" si="7"/>
        <v/>
      </c>
      <c r="H95" s="37"/>
      <c r="I95" s="38"/>
      <c r="J95" s="36" t="str">
        <f t="shared" ca="1" si="8"/>
        <v/>
      </c>
      <c r="K95" s="36" t="str">
        <f t="shared" ca="1" si="9"/>
        <v/>
      </c>
      <c r="L95" s="37"/>
      <c r="M95" s="37"/>
      <c r="N95" s="37"/>
      <c r="O95" s="37"/>
      <c r="P95" s="39"/>
      <c r="Q95" s="37"/>
      <c r="R95" s="39"/>
      <c r="S95" s="39"/>
      <c r="T95" s="39"/>
      <c r="U95" s="39"/>
      <c r="V95" s="37"/>
      <c r="W95" s="37"/>
      <c r="X95" s="37"/>
      <c r="Y95" s="37"/>
      <c r="Z95" s="37"/>
      <c r="AA95" s="37"/>
      <c r="AB95" s="37"/>
      <c r="AC95" s="37"/>
      <c r="AD95" s="37"/>
      <c r="AE95" s="37"/>
      <c r="AF95" s="37"/>
      <c r="AG95" s="37"/>
      <c r="AH95" s="37"/>
      <c r="AI95" s="37"/>
      <c r="AJ95" s="37"/>
      <c r="AK95" s="37"/>
      <c r="AL95" s="37"/>
      <c r="AM95" s="36" t="str">
        <f>IFERROR(INDEX(PARAMETRES!$B$536:$B$586,MATCH(AL95,PARAMETRES!$J$536:$J$586,0)),"")</f>
        <v/>
      </c>
      <c r="AN95" s="36" t="str">
        <f>IFERROR(INDEX(PARAMETRES!$D$536:$D$586,MATCH(AL95,PARAMETRES!$J$536:$J$586,0)),"")</f>
        <v/>
      </c>
      <c r="AO95" s="36" t="str">
        <f>IFERROR(INDEX(PARAMETRES!$F$536:$F$586,MATCH(AL95,PARAMETRES!$J$536:$J$586,0)),"")</f>
        <v/>
      </c>
      <c r="AP95" s="36" t="str">
        <f>IFERROR(INDEX(PARAMETRES!$G$536:$G$586,MATCH(AL95,PARAMETRES!$J$536:$J$586,0)),"")</f>
        <v/>
      </c>
      <c r="AQ95" s="37"/>
      <c r="AR95" s="37"/>
      <c r="AS95" s="37"/>
      <c r="AT95" s="37"/>
      <c r="AU95" s="37"/>
      <c r="AV95" s="37"/>
      <c r="AW95" s="37"/>
      <c r="AX95" s="37"/>
      <c r="AY95" s="37"/>
      <c r="AZ95" s="37"/>
      <c r="BA95" s="37"/>
      <c r="BB95" s="38"/>
      <c r="BC95" s="37"/>
      <c r="BD95" s="37"/>
      <c r="BE95" s="38"/>
      <c r="BF95" s="38"/>
      <c r="BG95" s="37"/>
      <c r="BH95" s="37"/>
      <c r="BI95" s="37"/>
      <c r="BJ95" s="37"/>
      <c r="BK95" s="37"/>
      <c r="BL95" s="37"/>
      <c r="BM95" s="38"/>
      <c r="BN95" s="37"/>
      <c r="BO95" s="37"/>
      <c r="BP95" s="37"/>
      <c r="BQ95" s="37"/>
      <c r="BR95" s="37"/>
      <c r="BS95" s="37"/>
      <c r="BT95" s="37"/>
      <c r="BU95" s="38"/>
      <c r="BV95" s="36" t="str">
        <f t="shared" ca="1" si="10"/>
        <v/>
      </c>
      <c r="BW95" s="36">
        <f>COUNTIF(tbl_Beneficiaires_Activites[ID Beneficiaire],A95)</f>
        <v>40</v>
      </c>
      <c r="BX95" s="36">
        <f>COUNTIF(tbl_Beneficiaires_Appuis[ID Beneficiaire],A95)</f>
        <v>40</v>
      </c>
      <c r="BY95" s="36" t="str">
        <f t="shared" si="11"/>
        <v/>
      </c>
      <c r="BZ95" s="37"/>
    </row>
    <row r="96" spans="1:78" ht="15" customHeight="1">
      <c r="A96" s="36" t="str">
        <f t="shared" si="6"/>
        <v/>
      </c>
      <c r="B96" s="37"/>
      <c r="C96" s="37"/>
      <c r="D96" s="37"/>
      <c r="E96" s="37"/>
      <c r="F96" s="37"/>
      <c r="G96" s="36" t="str">
        <f t="shared" si="7"/>
        <v/>
      </c>
      <c r="H96" s="37"/>
      <c r="I96" s="38"/>
      <c r="J96" s="36" t="str">
        <f t="shared" ca="1" si="8"/>
        <v/>
      </c>
      <c r="K96" s="36" t="str">
        <f t="shared" ca="1" si="9"/>
        <v/>
      </c>
      <c r="L96" s="37"/>
      <c r="M96" s="37"/>
      <c r="N96" s="37"/>
      <c r="O96" s="37"/>
      <c r="P96" s="39"/>
      <c r="Q96" s="37"/>
      <c r="R96" s="39"/>
      <c r="S96" s="39"/>
      <c r="T96" s="39"/>
      <c r="U96" s="39"/>
      <c r="V96" s="37"/>
      <c r="W96" s="37"/>
      <c r="X96" s="37"/>
      <c r="Y96" s="37"/>
      <c r="Z96" s="37"/>
      <c r="AA96" s="37"/>
      <c r="AB96" s="37"/>
      <c r="AC96" s="37"/>
      <c r="AD96" s="37"/>
      <c r="AE96" s="37"/>
      <c r="AF96" s="37"/>
      <c r="AG96" s="37"/>
      <c r="AH96" s="37"/>
      <c r="AI96" s="37"/>
      <c r="AJ96" s="37"/>
      <c r="AK96" s="37"/>
      <c r="AL96" s="37"/>
      <c r="AM96" s="36" t="str">
        <f>IFERROR(INDEX(PARAMETRES!$B$536:$B$586,MATCH(AL96,PARAMETRES!$J$536:$J$586,0)),"")</f>
        <v/>
      </c>
      <c r="AN96" s="36" t="str">
        <f>IFERROR(INDEX(PARAMETRES!$D$536:$D$586,MATCH(AL96,PARAMETRES!$J$536:$J$586,0)),"")</f>
        <v/>
      </c>
      <c r="AO96" s="36" t="str">
        <f>IFERROR(INDEX(PARAMETRES!$F$536:$F$586,MATCH(AL96,PARAMETRES!$J$536:$J$586,0)),"")</f>
        <v/>
      </c>
      <c r="AP96" s="36" t="str">
        <f>IFERROR(INDEX(PARAMETRES!$G$536:$G$586,MATCH(AL96,PARAMETRES!$J$536:$J$586,0)),"")</f>
        <v/>
      </c>
      <c r="AQ96" s="37"/>
      <c r="AR96" s="37"/>
      <c r="AS96" s="37"/>
      <c r="AT96" s="37"/>
      <c r="AU96" s="37"/>
      <c r="AV96" s="37"/>
      <c r="AW96" s="37"/>
      <c r="AX96" s="37"/>
      <c r="AY96" s="37"/>
      <c r="AZ96" s="37"/>
      <c r="BA96" s="37"/>
      <c r="BB96" s="38"/>
      <c r="BC96" s="37"/>
      <c r="BD96" s="37"/>
      <c r="BE96" s="38"/>
      <c r="BF96" s="38"/>
      <c r="BG96" s="37"/>
      <c r="BH96" s="37"/>
      <c r="BI96" s="37"/>
      <c r="BJ96" s="37"/>
      <c r="BK96" s="37"/>
      <c r="BL96" s="37"/>
      <c r="BM96" s="38"/>
      <c r="BN96" s="37"/>
      <c r="BO96" s="37"/>
      <c r="BP96" s="37"/>
      <c r="BQ96" s="37"/>
      <c r="BR96" s="37"/>
      <c r="BS96" s="37"/>
      <c r="BT96" s="37"/>
      <c r="BU96" s="38"/>
      <c r="BV96" s="36" t="str">
        <f t="shared" ca="1" si="10"/>
        <v/>
      </c>
      <c r="BW96" s="36">
        <f>COUNTIF(tbl_Beneficiaires_Activites[ID Beneficiaire],A96)</f>
        <v>40</v>
      </c>
      <c r="BX96" s="36">
        <f>COUNTIF(tbl_Beneficiaires_Appuis[ID Beneficiaire],A96)</f>
        <v>40</v>
      </c>
      <c r="BY96" s="36" t="str">
        <f t="shared" si="11"/>
        <v/>
      </c>
      <c r="BZ96" s="37"/>
    </row>
    <row r="97" spans="1:78" ht="15" customHeight="1">
      <c r="A97" s="36" t="str">
        <f t="shared" si="6"/>
        <v/>
      </c>
      <c r="B97" s="37"/>
      <c r="C97" s="37"/>
      <c r="D97" s="37"/>
      <c r="E97" s="37"/>
      <c r="F97" s="37"/>
      <c r="G97" s="36" t="str">
        <f t="shared" si="7"/>
        <v/>
      </c>
      <c r="H97" s="37"/>
      <c r="I97" s="38"/>
      <c r="J97" s="36" t="str">
        <f t="shared" ca="1" si="8"/>
        <v/>
      </c>
      <c r="K97" s="36" t="str">
        <f t="shared" ca="1" si="9"/>
        <v/>
      </c>
      <c r="L97" s="37"/>
      <c r="M97" s="37"/>
      <c r="N97" s="37"/>
      <c r="O97" s="37"/>
      <c r="P97" s="39"/>
      <c r="Q97" s="37"/>
      <c r="R97" s="39"/>
      <c r="S97" s="39"/>
      <c r="T97" s="39"/>
      <c r="U97" s="39"/>
      <c r="V97" s="37"/>
      <c r="W97" s="37"/>
      <c r="X97" s="37"/>
      <c r="Y97" s="37"/>
      <c r="Z97" s="37"/>
      <c r="AA97" s="37"/>
      <c r="AB97" s="37"/>
      <c r="AC97" s="37"/>
      <c r="AD97" s="37"/>
      <c r="AE97" s="37"/>
      <c r="AF97" s="37"/>
      <c r="AG97" s="37"/>
      <c r="AH97" s="37"/>
      <c r="AI97" s="37"/>
      <c r="AJ97" s="37"/>
      <c r="AK97" s="37"/>
      <c r="AL97" s="37"/>
      <c r="AM97" s="36" t="str">
        <f>IFERROR(INDEX(PARAMETRES!$B$536:$B$586,MATCH(AL97,PARAMETRES!$J$536:$J$586,0)),"")</f>
        <v/>
      </c>
      <c r="AN97" s="36" t="str">
        <f>IFERROR(INDEX(PARAMETRES!$D$536:$D$586,MATCH(AL97,PARAMETRES!$J$536:$J$586,0)),"")</f>
        <v/>
      </c>
      <c r="AO97" s="36" t="str">
        <f>IFERROR(INDEX(PARAMETRES!$F$536:$F$586,MATCH(AL97,PARAMETRES!$J$536:$J$586,0)),"")</f>
        <v/>
      </c>
      <c r="AP97" s="36" t="str">
        <f>IFERROR(INDEX(PARAMETRES!$G$536:$G$586,MATCH(AL97,PARAMETRES!$J$536:$J$586,0)),"")</f>
        <v/>
      </c>
      <c r="AQ97" s="37"/>
      <c r="AR97" s="37"/>
      <c r="AS97" s="37"/>
      <c r="AT97" s="37"/>
      <c r="AU97" s="37"/>
      <c r="AV97" s="37"/>
      <c r="AW97" s="37"/>
      <c r="AX97" s="37"/>
      <c r="AY97" s="37"/>
      <c r="AZ97" s="37"/>
      <c r="BA97" s="37"/>
      <c r="BB97" s="38"/>
      <c r="BC97" s="37"/>
      <c r="BD97" s="37"/>
      <c r="BE97" s="38"/>
      <c r="BF97" s="38"/>
      <c r="BG97" s="37"/>
      <c r="BH97" s="37"/>
      <c r="BI97" s="37"/>
      <c r="BJ97" s="37"/>
      <c r="BK97" s="37"/>
      <c r="BL97" s="37"/>
      <c r="BM97" s="38"/>
      <c r="BN97" s="37"/>
      <c r="BO97" s="37"/>
      <c r="BP97" s="37"/>
      <c r="BQ97" s="37"/>
      <c r="BR97" s="37"/>
      <c r="BS97" s="37"/>
      <c r="BT97" s="37"/>
      <c r="BU97" s="38"/>
      <c r="BV97" s="36" t="str">
        <f t="shared" ca="1" si="10"/>
        <v/>
      </c>
      <c r="BW97" s="36">
        <f>COUNTIF(tbl_Beneficiaires_Activites[ID Beneficiaire],A97)</f>
        <v>40</v>
      </c>
      <c r="BX97" s="36">
        <f>COUNTIF(tbl_Beneficiaires_Appuis[ID Beneficiaire],A97)</f>
        <v>40</v>
      </c>
      <c r="BY97" s="36" t="str">
        <f t="shared" si="11"/>
        <v/>
      </c>
      <c r="BZ97" s="37"/>
    </row>
    <row r="98" spans="1:78" ht="15" customHeight="1">
      <c r="A98" s="36" t="str">
        <f t="shared" si="6"/>
        <v/>
      </c>
      <c r="B98" s="37"/>
      <c r="C98" s="37"/>
      <c r="D98" s="37"/>
      <c r="E98" s="37"/>
      <c r="F98" s="37"/>
      <c r="G98" s="36" t="str">
        <f t="shared" si="7"/>
        <v/>
      </c>
      <c r="H98" s="37"/>
      <c r="I98" s="38"/>
      <c r="J98" s="36" t="str">
        <f t="shared" ca="1" si="8"/>
        <v/>
      </c>
      <c r="K98" s="36" t="str">
        <f t="shared" ca="1" si="9"/>
        <v/>
      </c>
      <c r="L98" s="37"/>
      <c r="M98" s="37"/>
      <c r="N98" s="37"/>
      <c r="O98" s="37"/>
      <c r="P98" s="39"/>
      <c r="Q98" s="37"/>
      <c r="R98" s="39"/>
      <c r="S98" s="39"/>
      <c r="T98" s="39"/>
      <c r="U98" s="39"/>
      <c r="V98" s="37"/>
      <c r="W98" s="37"/>
      <c r="X98" s="37"/>
      <c r="Y98" s="37"/>
      <c r="Z98" s="37"/>
      <c r="AA98" s="37"/>
      <c r="AB98" s="37"/>
      <c r="AC98" s="37"/>
      <c r="AD98" s="37"/>
      <c r="AE98" s="37"/>
      <c r="AF98" s="37"/>
      <c r="AG98" s="37"/>
      <c r="AH98" s="37"/>
      <c r="AI98" s="37"/>
      <c r="AJ98" s="37"/>
      <c r="AK98" s="37"/>
      <c r="AL98" s="37"/>
      <c r="AM98" s="36" t="str">
        <f>IFERROR(INDEX(PARAMETRES!$B$536:$B$586,MATCH(AL98,PARAMETRES!$J$536:$J$586,0)),"")</f>
        <v/>
      </c>
      <c r="AN98" s="36" t="str">
        <f>IFERROR(INDEX(PARAMETRES!$D$536:$D$586,MATCH(AL98,PARAMETRES!$J$536:$J$586,0)),"")</f>
        <v/>
      </c>
      <c r="AO98" s="36" t="str">
        <f>IFERROR(INDEX(PARAMETRES!$F$536:$F$586,MATCH(AL98,PARAMETRES!$J$536:$J$586,0)),"")</f>
        <v/>
      </c>
      <c r="AP98" s="36" t="str">
        <f>IFERROR(INDEX(PARAMETRES!$G$536:$G$586,MATCH(AL98,PARAMETRES!$J$536:$J$586,0)),"")</f>
        <v/>
      </c>
      <c r="AQ98" s="37"/>
      <c r="AR98" s="37"/>
      <c r="AS98" s="37"/>
      <c r="AT98" s="37"/>
      <c r="AU98" s="37"/>
      <c r="AV98" s="37"/>
      <c r="AW98" s="37"/>
      <c r="AX98" s="37"/>
      <c r="AY98" s="37"/>
      <c r="AZ98" s="37"/>
      <c r="BA98" s="37"/>
      <c r="BB98" s="38"/>
      <c r="BC98" s="37"/>
      <c r="BD98" s="37"/>
      <c r="BE98" s="38"/>
      <c r="BF98" s="38"/>
      <c r="BG98" s="37"/>
      <c r="BH98" s="37"/>
      <c r="BI98" s="37"/>
      <c r="BJ98" s="37"/>
      <c r="BK98" s="37"/>
      <c r="BL98" s="37"/>
      <c r="BM98" s="38"/>
      <c r="BN98" s="37"/>
      <c r="BO98" s="37"/>
      <c r="BP98" s="37"/>
      <c r="BQ98" s="37"/>
      <c r="BR98" s="37"/>
      <c r="BS98" s="37"/>
      <c r="BT98" s="37"/>
      <c r="BU98" s="38"/>
      <c r="BV98" s="36" t="str">
        <f t="shared" ca="1" si="10"/>
        <v/>
      </c>
      <c r="BW98" s="36">
        <f>COUNTIF(tbl_Beneficiaires_Activites[ID Beneficiaire],A98)</f>
        <v>40</v>
      </c>
      <c r="BX98" s="36">
        <f>COUNTIF(tbl_Beneficiaires_Appuis[ID Beneficiaire],A98)</f>
        <v>40</v>
      </c>
      <c r="BY98" s="36" t="str">
        <f t="shared" si="11"/>
        <v/>
      </c>
      <c r="BZ98" s="37"/>
    </row>
    <row r="99" spans="1:78" ht="15" customHeight="1">
      <c r="A99" s="36" t="str">
        <f t="shared" si="6"/>
        <v/>
      </c>
      <c r="B99" s="37"/>
      <c r="C99" s="37"/>
      <c r="D99" s="37"/>
      <c r="E99" s="37"/>
      <c r="F99" s="37"/>
      <c r="G99" s="36" t="str">
        <f t="shared" si="7"/>
        <v/>
      </c>
      <c r="H99" s="37"/>
      <c r="I99" s="38"/>
      <c r="J99" s="36" t="str">
        <f t="shared" ca="1" si="8"/>
        <v/>
      </c>
      <c r="K99" s="36" t="str">
        <f t="shared" ca="1" si="9"/>
        <v/>
      </c>
      <c r="L99" s="37"/>
      <c r="M99" s="37"/>
      <c r="N99" s="37"/>
      <c r="O99" s="37"/>
      <c r="P99" s="39"/>
      <c r="Q99" s="37"/>
      <c r="R99" s="39"/>
      <c r="S99" s="39"/>
      <c r="T99" s="39"/>
      <c r="U99" s="39"/>
      <c r="V99" s="37"/>
      <c r="W99" s="37"/>
      <c r="X99" s="37"/>
      <c r="Y99" s="37"/>
      <c r="Z99" s="37"/>
      <c r="AA99" s="37"/>
      <c r="AB99" s="37"/>
      <c r="AC99" s="37"/>
      <c r="AD99" s="37"/>
      <c r="AE99" s="37"/>
      <c r="AF99" s="37"/>
      <c r="AG99" s="37"/>
      <c r="AH99" s="37"/>
      <c r="AI99" s="37"/>
      <c r="AJ99" s="37"/>
      <c r="AK99" s="37"/>
      <c r="AL99" s="37"/>
      <c r="AM99" s="36" t="str">
        <f>IFERROR(INDEX(PARAMETRES!$B$536:$B$586,MATCH(AL99,PARAMETRES!$J$536:$J$586,0)),"")</f>
        <v/>
      </c>
      <c r="AN99" s="36" t="str">
        <f>IFERROR(INDEX(PARAMETRES!$D$536:$D$586,MATCH(AL99,PARAMETRES!$J$536:$J$586,0)),"")</f>
        <v/>
      </c>
      <c r="AO99" s="36" t="str">
        <f>IFERROR(INDEX(PARAMETRES!$F$536:$F$586,MATCH(AL99,PARAMETRES!$J$536:$J$586,0)),"")</f>
        <v/>
      </c>
      <c r="AP99" s="36" t="str">
        <f>IFERROR(INDEX(PARAMETRES!$G$536:$G$586,MATCH(AL99,PARAMETRES!$J$536:$J$586,0)),"")</f>
        <v/>
      </c>
      <c r="AQ99" s="37"/>
      <c r="AR99" s="37"/>
      <c r="AS99" s="37"/>
      <c r="AT99" s="37"/>
      <c r="AU99" s="37"/>
      <c r="AV99" s="37"/>
      <c r="AW99" s="37"/>
      <c r="AX99" s="37"/>
      <c r="AY99" s="37"/>
      <c r="AZ99" s="37"/>
      <c r="BA99" s="37"/>
      <c r="BB99" s="38"/>
      <c r="BC99" s="37"/>
      <c r="BD99" s="37"/>
      <c r="BE99" s="38"/>
      <c r="BF99" s="38"/>
      <c r="BG99" s="37"/>
      <c r="BH99" s="37"/>
      <c r="BI99" s="37"/>
      <c r="BJ99" s="37"/>
      <c r="BK99" s="37"/>
      <c r="BL99" s="37"/>
      <c r="BM99" s="38"/>
      <c r="BN99" s="37"/>
      <c r="BO99" s="37"/>
      <c r="BP99" s="37"/>
      <c r="BQ99" s="37"/>
      <c r="BR99" s="37"/>
      <c r="BS99" s="37"/>
      <c r="BT99" s="37"/>
      <c r="BU99" s="38"/>
      <c r="BV99" s="36" t="str">
        <f t="shared" ca="1" si="10"/>
        <v/>
      </c>
      <c r="BW99" s="36">
        <f>COUNTIF(tbl_Beneficiaires_Activites[ID Beneficiaire],A99)</f>
        <v>40</v>
      </c>
      <c r="BX99" s="36">
        <f>COUNTIF(tbl_Beneficiaires_Appuis[ID Beneficiaire],A99)</f>
        <v>40</v>
      </c>
      <c r="BY99" s="36" t="str">
        <f t="shared" si="11"/>
        <v/>
      </c>
      <c r="BZ99" s="37"/>
    </row>
    <row r="100" spans="1:78" ht="15" customHeight="1">
      <c r="A100" s="36" t="str">
        <f t="shared" si="6"/>
        <v/>
      </c>
      <c r="B100" s="37"/>
      <c r="C100" s="37"/>
      <c r="D100" s="37"/>
      <c r="E100" s="37"/>
      <c r="F100" s="37"/>
      <c r="G100" s="36" t="str">
        <f t="shared" si="7"/>
        <v/>
      </c>
      <c r="H100" s="37"/>
      <c r="I100" s="38"/>
      <c r="J100" s="36" t="str">
        <f t="shared" ca="1" si="8"/>
        <v/>
      </c>
      <c r="K100" s="36" t="str">
        <f t="shared" ca="1" si="9"/>
        <v/>
      </c>
      <c r="L100" s="37"/>
      <c r="M100" s="37"/>
      <c r="N100" s="37"/>
      <c r="O100" s="37"/>
      <c r="P100" s="39"/>
      <c r="Q100" s="37"/>
      <c r="R100" s="39"/>
      <c r="S100" s="39"/>
      <c r="T100" s="39"/>
      <c r="U100" s="39"/>
      <c r="V100" s="37"/>
      <c r="W100" s="37"/>
      <c r="X100" s="37"/>
      <c r="Y100" s="37"/>
      <c r="Z100" s="37"/>
      <c r="AA100" s="37"/>
      <c r="AB100" s="37"/>
      <c r="AC100" s="37"/>
      <c r="AD100" s="37"/>
      <c r="AE100" s="37"/>
      <c r="AF100" s="37"/>
      <c r="AG100" s="37"/>
      <c r="AH100" s="37"/>
      <c r="AI100" s="37"/>
      <c r="AJ100" s="37"/>
      <c r="AK100" s="37"/>
      <c r="AL100" s="37"/>
      <c r="AM100" s="36" t="str">
        <f>IFERROR(INDEX(PARAMETRES!$B$536:$B$586,MATCH(AL100,PARAMETRES!$J$536:$J$586,0)),"")</f>
        <v/>
      </c>
      <c r="AN100" s="36" t="str">
        <f>IFERROR(INDEX(PARAMETRES!$D$536:$D$586,MATCH(AL100,PARAMETRES!$J$536:$J$586,0)),"")</f>
        <v/>
      </c>
      <c r="AO100" s="36" t="str">
        <f>IFERROR(INDEX(PARAMETRES!$F$536:$F$586,MATCH(AL100,PARAMETRES!$J$536:$J$586,0)),"")</f>
        <v/>
      </c>
      <c r="AP100" s="36" t="str">
        <f>IFERROR(INDEX(PARAMETRES!$G$536:$G$586,MATCH(AL100,PARAMETRES!$J$536:$J$586,0)),"")</f>
        <v/>
      </c>
      <c r="AQ100" s="37"/>
      <c r="AR100" s="37"/>
      <c r="AS100" s="37"/>
      <c r="AT100" s="37"/>
      <c r="AU100" s="37"/>
      <c r="AV100" s="37"/>
      <c r="AW100" s="37"/>
      <c r="AX100" s="37"/>
      <c r="AY100" s="37"/>
      <c r="AZ100" s="37"/>
      <c r="BA100" s="37"/>
      <c r="BB100" s="38"/>
      <c r="BC100" s="37"/>
      <c r="BD100" s="37"/>
      <c r="BE100" s="38"/>
      <c r="BF100" s="38"/>
      <c r="BG100" s="37"/>
      <c r="BH100" s="37"/>
      <c r="BI100" s="37"/>
      <c r="BJ100" s="37"/>
      <c r="BK100" s="37"/>
      <c r="BL100" s="37"/>
      <c r="BM100" s="38"/>
      <c r="BN100" s="37"/>
      <c r="BO100" s="37"/>
      <c r="BP100" s="37"/>
      <c r="BQ100" s="37"/>
      <c r="BR100" s="37"/>
      <c r="BS100" s="37"/>
      <c r="BT100" s="37"/>
      <c r="BU100" s="38"/>
      <c r="BV100" s="36" t="str">
        <f t="shared" ca="1" si="10"/>
        <v/>
      </c>
      <c r="BW100" s="36">
        <f>COUNTIF(tbl_Beneficiaires_Activites[ID Beneficiaire],A100)</f>
        <v>40</v>
      </c>
      <c r="BX100" s="36">
        <f>COUNTIF(tbl_Beneficiaires_Appuis[ID Beneficiaire],A100)</f>
        <v>40</v>
      </c>
      <c r="BY100" s="36" t="str">
        <f t="shared" si="11"/>
        <v/>
      </c>
      <c r="BZ100" s="37"/>
    </row>
    <row r="101" spans="1:78" ht="15" customHeight="1">
      <c r="A101" s="36" t="str">
        <f t="shared" si="6"/>
        <v/>
      </c>
      <c r="B101" s="37"/>
      <c r="C101" s="37"/>
      <c r="D101" s="37"/>
      <c r="E101" s="37"/>
      <c r="F101" s="37"/>
      <c r="G101" s="36" t="str">
        <f t="shared" si="7"/>
        <v/>
      </c>
      <c r="H101" s="37"/>
      <c r="I101" s="38"/>
      <c r="J101" s="36" t="str">
        <f t="shared" ca="1" si="8"/>
        <v/>
      </c>
      <c r="K101" s="36" t="str">
        <f t="shared" ca="1" si="9"/>
        <v/>
      </c>
      <c r="L101" s="37"/>
      <c r="M101" s="37"/>
      <c r="N101" s="37"/>
      <c r="O101" s="37"/>
      <c r="P101" s="39"/>
      <c r="Q101" s="37"/>
      <c r="R101" s="39"/>
      <c r="S101" s="39"/>
      <c r="T101" s="39"/>
      <c r="U101" s="39"/>
      <c r="V101" s="37"/>
      <c r="W101" s="37"/>
      <c r="X101" s="37"/>
      <c r="Y101" s="37"/>
      <c r="Z101" s="37"/>
      <c r="AA101" s="37"/>
      <c r="AB101" s="37"/>
      <c r="AC101" s="37"/>
      <c r="AD101" s="37"/>
      <c r="AE101" s="37"/>
      <c r="AF101" s="37"/>
      <c r="AG101" s="37"/>
      <c r="AH101" s="37"/>
      <c r="AI101" s="37"/>
      <c r="AJ101" s="37"/>
      <c r="AK101" s="37"/>
      <c r="AL101" s="37"/>
      <c r="AM101" s="36" t="str">
        <f>IFERROR(INDEX(PARAMETRES!$B$536:$B$586,MATCH(AL101,PARAMETRES!$J$536:$J$586,0)),"")</f>
        <v/>
      </c>
      <c r="AN101" s="36" t="str">
        <f>IFERROR(INDEX(PARAMETRES!$D$536:$D$586,MATCH(AL101,PARAMETRES!$J$536:$J$586,0)),"")</f>
        <v/>
      </c>
      <c r="AO101" s="36" t="str">
        <f>IFERROR(INDEX(PARAMETRES!$F$536:$F$586,MATCH(AL101,PARAMETRES!$J$536:$J$586,0)),"")</f>
        <v/>
      </c>
      <c r="AP101" s="36" t="str">
        <f>IFERROR(INDEX(PARAMETRES!$G$536:$G$586,MATCH(AL101,PARAMETRES!$J$536:$J$586,0)),"")</f>
        <v/>
      </c>
      <c r="AQ101" s="37"/>
      <c r="AR101" s="37"/>
      <c r="AS101" s="37"/>
      <c r="AT101" s="37"/>
      <c r="AU101" s="37"/>
      <c r="AV101" s="37"/>
      <c r="AW101" s="37"/>
      <c r="AX101" s="37"/>
      <c r="AY101" s="37"/>
      <c r="AZ101" s="37"/>
      <c r="BA101" s="37"/>
      <c r="BB101" s="38"/>
      <c r="BC101" s="37"/>
      <c r="BD101" s="37"/>
      <c r="BE101" s="38"/>
      <c r="BF101" s="38"/>
      <c r="BG101" s="37"/>
      <c r="BH101" s="37"/>
      <c r="BI101" s="37"/>
      <c r="BJ101" s="37"/>
      <c r="BK101" s="37"/>
      <c r="BL101" s="37"/>
      <c r="BM101" s="38"/>
      <c r="BN101" s="37"/>
      <c r="BO101" s="37"/>
      <c r="BP101" s="37"/>
      <c r="BQ101" s="37"/>
      <c r="BR101" s="37"/>
      <c r="BS101" s="37"/>
      <c r="BT101" s="37"/>
      <c r="BU101" s="38"/>
      <c r="BV101" s="36" t="str">
        <f t="shared" ca="1" si="10"/>
        <v/>
      </c>
      <c r="BW101" s="36">
        <f>COUNTIF(tbl_Beneficiaires_Activites[ID Beneficiaire],A101)</f>
        <v>40</v>
      </c>
      <c r="BX101" s="36">
        <f>COUNTIF(tbl_Beneficiaires_Appuis[ID Beneficiaire],A101)</f>
        <v>40</v>
      </c>
      <c r="BY101" s="36" t="str">
        <f t="shared" si="11"/>
        <v/>
      </c>
      <c r="BZ101" s="37"/>
    </row>
    <row r="102" spans="1:78" ht="15" customHeight="1">
      <c r="A102" s="36" t="str">
        <f t="shared" si="6"/>
        <v/>
      </c>
      <c r="B102" s="37"/>
      <c r="C102" s="37"/>
      <c r="D102" s="37"/>
      <c r="E102" s="37"/>
      <c r="F102" s="37"/>
      <c r="G102" s="36" t="str">
        <f t="shared" si="7"/>
        <v/>
      </c>
      <c r="H102" s="37"/>
      <c r="I102" s="38"/>
      <c r="J102" s="36" t="str">
        <f t="shared" ca="1" si="8"/>
        <v/>
      </c>
      <c r="K102" s="36" t="str">
        <f t="shared" ca="1" si="9"/>
        <v/>
      </c>
      <c r="L102" s="37"/>
      <c r="M102" s="37"/>
      <c r="N102" s="37"/>
      <c r="O102" s="37"/>
      <c r="P102" s="39"/>
      <c r="Q102" s="37"/>
      <c r="R102" s="39"/>
      <c r="S102" s="39"/>
      <c r="T102" s="39"/>
      <c r="U102" s="39"/>
      <c r="V102" s="37"/>
      <c r="W102" s="37"/>
      <c r="X102" s="37"/>
      <c r="Y102" s="37"/>
      <c r="Z102" s="37"/>
      <c r="AA102" s="37"/>
      <c r="AB102" s="37"/>
      <c r="AC102" s="37"/>
      <c r="AD102" s="37"/>
      <c r="AE102" s="37"/>
      <c r="AF102" s="37"/>
      <c r="AG102" s="37"/>
      <c r="AH102" s="37"/>
      <c r="AI102" s="37"/>
      <c r="AJ102" s="37"/>
      <c r="AK102" s="37"/>
      <c r="AL102" s="37"/>
      <c r="AM102" s="36" t="str">
        <f>IFERROR(INDEX(PARAMETRES!$B$536:$B$586,MATCH(AL102,PARAMETRES!$J$536:$J$586,0)),"")</f>
        <v/>
      </c>
      <c r="AN102" s="36" t="str">
        <f>IFERROR(INDEX(PARAMETRES!$D$536:$D$586,MATCH(AL102,PARAMETRES!$J$536:$J$586,0)),"")</f>
        <v/>
      </c>
      <c r="AO102" s="36" t="str">
        <f>IFERROR(INDEX(PARAMETRES!$F$536:$F$586,MATCH(AL102,PARAMETRES!$J$536:$J$586,0)),"")</f>
        <v/>
      </c>
      <c r="AP102" s="36" t="str">
        <f>IFERROR(INDEX(PARAMETRES!$G$536:$G$586,MATCH(AL102,PARAMETRES!$J$536:$J$586,0)),"")</f>
        <v/>
      </c>
      <c r="AQ102" s="37"/>
      <c r="AR102" s="37"/>
      <c r="AS102" s="37"/>
      <c r="AT102" s="37"/>
      <c r="AU102" s="37"/>
      <c r="AV102" s="37"/>
      <c r="AW102" s="37"/>
      <c r="AX102" s="37"/>
      <c r="AY102" s="37"/>
      <c r="AZ102" s="37"/>
      <c r="BA102" s="37"/>
      <c r="BB102" s="38"/>
      <c r="BC102" s="37"/>
      <c r="BD102" s="37"/>
      <c r="BE102" s="38"/>
      <c r="BF102" s="38"/>
      <c r="BG102" s="37"/>
      <c r="BH102" s="37"/>
      <c r="BI102" s="37"/>
      <c r="BJ102" s="37"/>
      <c r="BK102" s="37"/>
      <c r="BL102" s="37"/>
      <c r="BM102" s="38"/>
      <c r="BN102" s="37"/>
      <c r="BO102" s="37"/>
      <c r="BP102" s="37"/>
      <c r="BQ102" s="37"/>
      <c r="BR102" s="37"/>
      <c r="BS102" s="37"/>
      <c r="BT102" s="37"/>
      <c r="BU102" s="38"/>
      <c r="BV102" s="36" t="str">
        <f t="shared" ca="1" si="10"/>
        <v/>
      </c>
      <c r="BW102" s="36">
        <f>COUNTIF(tbl_Beneficiaires_Activites[ID Beneficiaire],A102)</f>
        <v>40</v>
      </c>
      <c r="BX102" s="36">
        <f>COUNTIF(tbl_Beneficiaires_Appuis[ID Beneficiaire],A102)</f>
        <v>40</v>
      </c>
      <c r="BY102" s="36" t="str">
        <f t="shared" si="11"/>
        <v/>
      </c>
      <c r="BZ102" s="37"/>
    </row>
    <row r="103" spans="1:78" ht="15" customHeight="1">
      <c r="A103" s="36" t="str">
        <f t="shared" si="6"/>
        <v/>
      </c>
      <c r="B103" s="37"/>
      <c r="C103" s="37"/>
      <c r="D103" s="37"/>
      <c r="E103" s="37"/>
      <c r="F103" s="37"/>
      <c r="G103" s="36" t="str">
        <f t="shared" si="7"/>
        <v/>
      </c>
      <c r="H103" s="37"/>
      <c r="I103" s="38"/>
      <c r="J103" s="36" t="str">
        <f t="shared" ca="1" si="8"/>
        <v/>
      </c>
      <c r="K103" s="36" t="str">
        <f t="shared" ca="1" si="9"/>
        <v/>
      </c>
      <c r="L103" s="37"/>
      <c r="M103" s="37"/>
      <c r="N103" s="37"/>
      <c r="O103" s="37"/>
      <c r="P103" s="39"/>
      <c r="Q103" s="37"/>
      <c r="R103" s="39"/>
      <c r="S103" s="39"/>
      <c r="T103" s="39"/>
      <c r="U103" s="39"/>
      <c r="V103" s="37"/>
      <c r="W103" s="37"/>
      <c r="X103" s="37"/>
      <c r="Y103" s="37"/>
      <c r="Z103" s="37"/>
      <c r="AA103" s="37"/>
      <c r="AB103" s="37"/>
      <c r="AC103" s="37"/>
      <c r="AD103" s="37"/>
      <c r="AE103" s="37"/>
      <c r="AF103" s="37"/>
      <c r="AG103" s="37"/>
      <c r="AH103" s="37"/>
      <c r="AI103" s="37"/>
      <c r="AJ103" s="37"/>
      <c r="AK103" s="37"/>
      <c r="AL103" s="37"/>
      <c r="AM103" s="36" t="str">
        <f>IFERROR(INDEX(PARAMETRES!$B$536:$B$586,MATCH(AL103,PARAMETRES!$J$536:$J$586,0)),"")</f>
        <v/>
      </c>
      <c r="AN103" s="36" t="str">
        <f>IFERROR(INDEX(PARAMETRES!$D$536:$D$586,MATCH(AL103,PARAMETRES!$J$536:$J$586,0)),"")</f>
        <v/>
      </c>
      <c r="AO103" s="36" t="str">
        <f>IFERROR(INDEX(PARAMETRES!$F$536:$F$586,MATCH(AL103,PARAMETRES!$J$536:$J$586,0)),"")</f>
        <v/>
      </c>
      <c r="AP103" s="36" t="str">
        <f>IFERROR(INDEX(PARAMETRES!$G$536:$G$586,MATCH(AL103,PARAMETRES!$J$536:$J$586,0)),"")</f>
        <v/>
      </c>
      <c r="AQ103" s="37"/>
      <c r="AR103" s="37"/>
      <c r="AS103" s="37"/>
      <c r="AT103" s="37"/>
      <c r="AU103" s="37"/>
      <c r="AV103" s="37"/>
      <c r="AW103" s="37"/>
      <c r="AX103" s="37"/>
      <c r="AY103" s="37"/>
      <c r="AZ103" s="37"/>
      <c r="BA103" s="37"/>
      <c r="BB103" s="38"/>
      <c r="BC103" s="37"/>
      <c r="BD103" s="37"/>
      <c r="BE103" s="38"/>
      <c r="BF103" s="38"/>
      <c r="BG103" s="37"/>
      <c r="BH103" s="37"/>
      <c r="BI103" s="37"/>
      <c r="BJ103" s="37"/>
      <c r="BK103" s="37"/>
      <c r="BL103" s="37"/>
      <c r="BM103" s="38"/>
      <c r="BN103" s="37"/>
      <c r="BO103" s="37"/>
      <c r="BP103" s="37"/>
      <c r="BQ103" s="37"/>
      <c r="BR103" s="37"/>
      <c r="BS103" s="37"/>
      <c r="BT103" s="37"/>
      <c r="BU103" s="38"/>
      <c r="BV103" s="36" t="str">
        <f t="shared" ca="1" si="10"/>
        <v/>
      </c>
      <c r="BW103" s="36">
        <f>COUNTIF(tbl_Beneficiaires_Activites[ID Beneficiaire],A103)</f>
        <v>40</v>
      </c>
      <c r="BX103" s="36">
        <f>COUNTIF(tbl_Beneficiaires_Appuis[ID Beneficiaire],A103)</f>
        <v>40</v>
      </c>
      <c r="BY103" s="36" t="str">
        <f t="shared" si="11"/>
        <v/>
      </c>
      <c r="BZ103" s="37"/>
    </row>
    <row r="104" spans="1:78" ht="15" customHeight="1">
      <c r="A104" s="36" t="str">
        <f t="shared" si="6"/>
        <v/>
      </c>
      <c r="B104" s="37"/>
      <c r="C104" s="37"/>
      <c r="D104" s="37"/>
      <c r="E104" s="37"/>
      <c r="F104" s="37"/>
      <c r="G104" s="36" t="str">
        <f t="shared" si="7"/>
        <v/>
      </c>
      <c r="H104" s="37"/>
      <c r="I104" s="38"/>
      <c r="J104" s="36" t="str">
        <f t="shared" ca="1" si="8"/>
        <v/>
      </c>
      <c r="K104" s="36" t="str">
        <f t="shared" ca="1" si="9"/>
        <v/>
      </c>
      <c r="L104" s="37"/>
      <c r="M104" s="37"/>
      <c r="N104" s="37"/>
      <c r="O104" s="37"/>
      <c r="P104" s="39"/>
      <c r="Q104" s="37"/>
      <c r="R104" s="39"/>
      <c r="S104" s="39"/>
      <c r="T104" s="39"/>
      <c r="U104" s="39"/>
      <c r="V104" s="37"/>
      <c r="W104" s="37"/>
      <c r="X104" s="37"/>
      <c r="Y104" s="37"/>
      <c r="Z104" s="37"/>
      <c r="AA104" s="37"/>
      <c r="AB104" s="37"/>
      <c r="AC104" s="37"/>
      <c r="AD104" s="37"/>
      <c r="AE104" s="37"/>
      <c r="AF104" s="37"/>
      <c r="AG104" s="37"/>
      <c r="AH104" s="37"/>
      <c r="AI104" s="37"/>
      <c r="AJ104" s="37"/>
      <c r="AK104" s="37"/>
      <c r="AL104" s="37"/>
      <c r="AM104" s="36" t="str">
        <f>IFERROR(INDEX(PARAMETRES!$B$536:$B$586,MATCH(AL104,PARAMETRES!$J$536:$J$586,0)),"")</f>
        <v/>
      </c>
      <c r="AN104" s="36" t="str">
        <f>IFERROR(INDEX(PARAMETRES!$D$536:$D$586,MATCH(AL104,PARAMETRES!$J$536:$J$586,0)),"")</f>
        <v/>
      </c>
      <c r="AO104" s="36" t="str">
        <f>IFERROR(INDEX(PARAMETRES!$F$536:$F$586,MATCH(AL104,PARAMETRES!$J$536:$J$586,0)),"")</f>
        <v/>
      </c>
      <c r="AP104" s="36" t="str">
        <f>IFERROR(INDEX(PARAMETRES!$G$536:$G$586,MATCH(AL104,PARAMETRES!$J$536:$J$586,0)),"")</f>
        <v/>
      </c>
      <c r="AQ104" s="37"/>
      <c r="AR104" s="37"/>
      <c r="AS104" s="37"/>
      <c r="AT104" s="37"/>
      <c r="AU104" s="37"/>
      <c r="AV104" s="37"/>
      <c r="AW104" s="37"/>
      <c r="AX104" s="37"/>
      <c r="AY104" s="37"/>
      <c r="AZ104" s="37"/>
      <c r="BA104" s="37"/>
      <c r="BB104" s="38"/>
      <c r="BC104" s="37"/>
      <c r="BD104" s="37"/>
      <c r="BE104" s="38"/>
      <c r="BF104" s="38"/>
      <c r="BG104" s="37"/>
      <c r="BH104" s="37"/>
      <c r="BI104" s="37"/>
      <c r="BJ104" s="37"/>
      <c r="BK104" s="37"/>
      <c r="BL104" s="37"/>
      <c r="BM104" s="38"/>
      <c r="BN104" s="37"/>
      <c r="BO104" s="37"/>
      <c r="BP104" s="37"/>
      <c r="BQ104" s="37"/>
      <c r="BR104" s="37"/>
      <c r="BS104" s="37"/>
      <c r="BT104" s="37"/>
      <c r="BU104" s="38"/>
      <c r="BV104" s="36" t="str">
        <f t="shared" ca="1" si="10"/>
        <v/>
      </c>
      <c r="BW104" s="36">
        <f>COUNTIF(tbl_Beneficiaires_Activites[ID Beneficiaire],A104)</f>
        <v>40</v>
      </c>
      <c r="BX104" s="36">
        <f>COUNTIF(tbl_Beneficiaires_Appuis[ID Beneficiaire],A104)</f>
        <v>40</v>
      </c>
      <c r="BY104" s="36" t="str">
        <f t="shared" si="11"/>
        <v/>
      </c>
      <c r="BZ104" s="37"/>
    </row>
    <row r="105" spans="1:78" ht="15" customHeight="1">
      <c r="A105" s="36" t="str">
        <f t="shared" si="6"/>
        <v/>
      </c>
      <c r="B105" s="37"/>
      <c r="C105" s="37"/>
      <c r="D105" s="37"/>
      <c r="E105" s="37"/>
      <c r="F105" s="37"/>
      <c r="G105" s="36" t="str">
        <f t="shared" si="7"/>
        <v/>
      </c>
      <c r="H105" s="37"/>
      <c r="I105" s="38"/>
      <c r="J105" s="36" t="str">
        <f t="shared" ca="1" si="8"/>
        <v/>
      </c>
      <c r="K105" s="36" t="str">
        <f t="shared" ca="1" si="9"/>
        <v/>
      </c>
      <c r="L105" s="37"/>
      <c r="M105" s="37"/>
      <c r="N105" s="37"/>
      <c r="O105" s="37"/>
      <c r="P105" s="39"/>
      <c r="Q105" s="37"/>
      <c r="R105" s="39"/>
      <c r="S105" s="39"/>
      <c r="T105" s="39"/>
      <c r="U105" s="39"/>
      <c r="V105" s="37"/>
      <c r="W105" s="37"/>
      <c r="X105" s="37"/>
      <c r="Y105" s="37"/>
      <c r="Z105" s="37"/>
      <c r="AA105" s="37"/>
      <c r="AB105" s="37"/>
      <c r="AC105" s="37"/>
      <c r="AD105" s="37"/>
      <c r="AE105" s="37"/>
      <c r="AF105" s="37"/>
      <c r="AG105" s="37"/>
      <c r="AH105" s="37"/>
      <c r="AI105" s="37"/>
      <c r="AJ105" s="37"/>
      <c r="AK105" s="37"/>
      <c r="AL105" s="37"/>
      <c r="AM105" s="36" t="str">
        <f>IFERROR(INDEX(PARAMETRES!$B$536:$B$586,MATCH(AL105,PARAMETRES!$J$536:$J$586,0)),"")</f>
        <v/>
      </c>
      <c r="AN105" s="36" t="str">
        <f>IFERROR(INDEX(PARAMETRES!$D$536:$D$586,MATCH(AL105,PARAMETRES!$J$536:$J$586,0)),"")</f>
        <v/>
      </c>
      <c r="AO105" s="36" t="str">
        <f>IFERROR(INDEX(PARAMETRES!$F$536:$F$586,MATCH(AL105,PARAMETRES!$J$536:$J$586,0)),"")</f>
        <v/>
      </c>
      <c r="AP105" s="36" t="str">
        <f>IFERROR(INDEX(PARAMETRES!$G$536:$G$586,MATCH(AL105,PARAMETRES!$J$536:$J$586,0)),"")</f>
        <v/>
      </c>
      <c r="AQ105" s="37"/>
      <c r="AR105" s="37"/>
      <c r="AS105" s="37"/>
      <c r="AT105" s="37"/>
      <c r="AU105" s="37"/>
      <c r="AV105" s="37"/>
      <c r="AW105" s="37"/>
      <c r="AX105" s="37"/>
      <c r="AY105" s="37"/>
      <c r="AZ105" s="37"/>
      <c r="BA105" s="37"/>
      <c r="BB105" s="38"/>
      <c r="BC105" s="37"/>
      <c r="BD105" s="37"/>
      <c r="BE105" s="38"/>
      <c r="BF105" s="38"/>
      <c r="BG105" s="37"/>
      <c r="BH105" s="37"/>
      <c r="BI105" s="37"/>
      <c r="BJ105" s="37"/>
      <c r="BK105" s="37"/>
      <c r="BL105" s="37"/>
      <c r="BM105" s="38"/>
      <c r="BN105" s="37"/>
      <c r="BO105" s="37"/>
      <c r="BP105" s="37"/>
      <c r="BQ105" s="37"/>
      <c r="BR105" s="37"/>
      <c r="BS105" s="37"/>
      <c r="BT105" s="37"/>
      <c r="BU105" s="38"/>
      <c r="BV105" s="36" t="str">
        <f t="shared" ca="1" si="10"/>
        <v/>
      </c>
      <c r="BW105" s="36">
        <f>COUNTIF(tbl_Beneficiaires_Activites[ID Beneficiaire],A105)</f>
        <v>40</v>
      </c>
      <c r="BX105" s="36">
        <f>COUNTIF(tbl_Beneficiaires_Appuis[ID Beneficiaire],A105)</f>
        <v>40</v>
      </c>
      <c r="BY105" s="36" t="str">
        <f t="shared" si="11"/>
        <v/>
      </c>
      <c r="BZ105" s="37"/>
    </row>
    <row r="106" spans="1:78" ht="15" customHeight="1">
      <c r="A106" s="36" t="str">
        <f t="shared" si="6"/>
        <v/>
      </c>
      <c r="B106" s="37"/>
      <c r="C106" s="37"/>
      <c r="D106" s="37"/>
      <c r="E106" s="37"/>
      <c r="F106" s="37"/>
      <c r="G106" s="36" t="str">
        <f t="shared" si="7"/>
        <v/>
      </c>
      <c r="H106" s="37"/>
      <c r="I106" s="38"/>
      <c r="J106" s="36" t="str">
        <f t="shared" ca="1" si="8"/>
        <v/>
      </c>
      <c r="K106" s="36" t="str">
        <f t="shared" ca="1" si="9"/>
        <v/>
      </c>
      <c r="L106" s="37"/>
      <c r="M106" s="37"/>
      <c r="N106" s="37"/>
      <c r="O106" s="37"/>
      <c r="P106" s="39"/>
      <c r="Q106" s="37"/>
      <c r="R106" s="39"/>
      <c r="S106" s="39"/>
      <c r="T106" s="39"/>
      <c r="U106" s="39"/>
      <c r="V106" s="37"/>
      <c r="W106" s="37"/>
      <c r="X106" s="37"/>
      <c r="Y106" s="37"/>
      <c r="Z106" s="37"/>
      <c r="AA106" s="37"/>
      <c r="AB106" s="37"/>
      <c r="AC106" s="37"/>
      <c r="AD106" s="37"/>
      <c r="AE106" s="37"/>
      <c r="AF106" s="37"/>
      <c r="AG106" s="37"/>
      <c r="AH106" s="37"/>
      <c r="AI106" s="37"/>
      <c r="AJ106" s="37"/>
      <c r="AK106" s="37"/>
      <c r="AL106" s="37"/>
      <c r="AM106" s="36" t="str">
        <f>IFERROR(INDEX(PARAMETRES!$B$536:$B$586,MATCH(AL106,PARAMETRES!$J$536:$J$586,0)),"")</f>
        <v/>
      </c>
      <c r="AN106" s="36" t="str">
        <f>IFERROR(INDEX(PARAMETRES!$D$536:$D$586,MATCH(AL106,PARAMETRES!$J$536:$J$586,0)),"")</f>
        <v/>
      </c>
      <c r="AO106" s="36" t="str">
        <f>IFERROR(INDEX(PARAMETRES!$F$536:$F$586,MATCH(AL106,PARAMETRES!$J$536:$J$586,0)),"")</f>
        <v/>
      </c>
      <c r="AP106" s="36" t="str">
        <f>IFERROR(INDEX(PARAMETRES!$G$536:$G$586,MATCH(AL106,PARAMETRES!$J$536:$J$586,0)),"")</f>
        <v/>
      </c>
      <c r="AQ106" s="37"/>
      <c r="AR106" s="37"/>
      <c r="AS106" s="37"/>
      <c r="AT106" s="37"/>
      <c r="AU106" s="37"/>
      <c r="AV106" s="37"/>
      <c r="AW106" s="37"/>
      <c r="AX106" s="37"/>
      <c r="AY106" s="37"/>
      <c r="AZ106" s="37"/>
      <c r="BA106" s="37"/>
      <c r="BB106" s="38"/>
      <c r="BC106" s="37"/>
      <c r="BD106" s="37"/>
      <c r="BE106" s="38"/>
      <c r="BF106" s="38"/>
      <c r="BG106" s="37"/>
      <c r="BH106" s="37"/>
      <c r="BI106" s="37"/>
      <c r="BJ106" s="37"/>
      <c r="BK106" s="37"/>
      <c r="BL106" s="37"/>
      <c r="BM106" s="38"/>
      <c r="BN106" s="37"/>
      <c r="BO106" s="37"/>
      <c r="BP106" s="37"/>
      <c r="BQ106" s="37"/>
      <c r="BR106" s="37"/>
      <c r="BS106" s="37"/>
      <c r="BT106" s="37"/>
      <c r="BU106" s="38"/>
      <c r="BV106" s="36" t="str">
        <f t="shared" ca="1" si="10"/>
        <v/>
      </c>
      <c r="BW106" s="36">
        <f>COUNTIF(tbl_Beneficiaires_Activites[ID Beneficiaire],A106)</f>
        <v>40</v>
      </c>
      <c r="BX106" s="36">
        <f>COUNTIF(tbl_Beneficiaires_Appuis[ID Beneficiaire],A106)</f>
        <v>40</v>
      </c>
      <c r="BY106" s="36" t="str">
        <f t="shared" si="11"/>
        <v/>
      </c>
      <c r="BZ106" s="37"/>
    </row>
    <row r="107" spans="1:78" ht="15" customHeight="1">
      <c r="A107" s="36" t="str">
        <f t="shared" si="6"/>
        <v/>
      </c>
      <c r="B107" s="37"/>
      <c r="C107" s="37"/>
      <c r="D107" s="37"/>
      <c r="E107" s="37"/>
      <c r="F107" s="37"/>
      <c r="G107" s="36" t="str">
        <f t="shared" si="7"/>
        <v/>
      </c>
      <c r="H107" s="37"/>
      <c r="I107" s="38"/>
      <c r="J107" s="36" t="str">
        <f t="shared" ca="1" si="8"/>
        <v/>
      </c>
      <c r="K107" s="36" t="str">
        <f t="shared" ca="1" si="9"/>
        <v/>
      </c>
      <c r="L107" s="37"/>
      <c r="M107" s="37"/>
      <c r="N107" s="37"/>
      <c r="O107" s="37"/>
      <c r="P107" s="39"/>
      <c r="Q107" s="37"/>
      <c r="R107" s="39"/>
      <c r="S107" s="39"/>
      <c r="T107" s="39"/>
      <c r="U107" s="39"/>
      <c r="V107" s="37"/>
      <c r="W107" s="37"/>
      <c r="X107" s="37"/>
      <c r="Y107" s="37"/>
      <c r="Z107" s="37"/>
      <c r="AA107" s="37"/>
      <c r="AB107" s="37"/>
      <c r="AC107" s="37"/>
      <c r="AD107" s="37"/>
      <c r="AE107" s="37"/>
      <c r="AF107" s="37"/>
      <c r="AG107" s="37"/>
      <c r="AH107" s="37"/>
      <c r="AI107" s="37"/>
      <c r="AJ107" s="37"/>
      <c r="AK107" s="37"/>
      <c r="AL107" s="37"/>
      <c r="AM107" s="36" t="str">
        <f>IFERROR(INDEX(PARAMETRES!$B$536:$B$586,MATCH(AL107,PARAMETRES!$J$536:$J$586,0)),"")</f>
        <v/>
      </c>
      <c r="AN107" s="36" t="str">
        <f>IFERROR(INDEX(PARAMETRES!$D$536:$D$586,MATCH(AL107,PARAMETRES!$J$536:$J$586,0)),"")</f>
        <v/>
      </c>
      <c r="AO107" s="36" t="str">
        <f>IFERROR(INDEX(PARAMETRES!$F$536:$F$586,MATCH(AL107,PARAMETRES!$J$536:$J$586,0)),"")</f>
        <v/>
      </c>
      <c r="AP107" s="36" t="str">
        <f>IFERROR(INDEX(PARAMETRES!$G$536:$G$586,MATCH(AL107,PARAMETRES!$J$536:$J$586,0)),"")</f>
        <v/>
      </c>
      <c r="AQ107" s="37"/>
      <c r="AR107" s="37"/>
      <c r="AS107" s="37"/>
      <c r="AT107" s="37"/>
      <c r="AU107" s="37"/>
      <c r="AV107" s="37"/>
      <c r="AW107" s="37"/>
      <c r="AX107" s="37"/>
      <c r="AY107" s="37"/>
      <c r="AZ107" s="37"/>
      <c r="BA107" s="37"/>
      <c r="BB107" s="38"/>
      <c r="BC107" s="37"/>
      <c r="BD107" s="37"/>
      <c r="BE107" s="38"/>
      <c r="BF107" s="38"/>
      <c r="BG107" s="37"/>
      <c r="BH107" s="37"/>
      <c r="BI107" s="37"/>
      <c r="BJ107" s="37"/>
      <c r="BK107" s="37"/>
      <c r="BL107" s="37"/>
      <c r="BM107" s="38"/>
      <c r="BN107" s="37"/>
      <c r="BO107" s="37"/>
      <c r="BP107" s="37"/>
      <c r="BQ107" s="37"/>
      <c r="BR107" s="37"/>
      <c r="BS107" s="37"/>
      <c r="BT107" s="37"/>
      <c r="BU107" s="38"/>
      <c r="BV107" s="36" t="str">
        <f t="shared" ca="1" si="10"/>
        <v/>
      </c>
      <c r="BW107" s="36">
        <f>COUNTIF(tbl_Beneficiaires_Activites[ID Beneficiaire],A107)</f>
        <v>40</v>
      </c>
      <c r="BX107" s="36">
        <f>COUNTIF(tbl_Beneficiaires_Appuis[ID Beneficiaire],A107)</f>
        <v>40</v>
      </c>
      <c r="BY107" s="36" t="str">
        <f t="shared" si="11"/>
        <v/>
      </c>
      <c r="BZ107" s="37"/>
    </row>
    <row r="108" spans="1:78" ht="15" customHeight="1">
      <c r="A108" s="36" t="str">
        <f t="shared" si="6"/>
        <v/>
      </c>
      <c r="B108" s="37"/>
      <c r="C108" s="37"/>
      <c r="D108" s="37"/>
      <c r="E108" s="37"/>
      <c r="F108" s="37"/>
      <c r="G108" s="36" t="str">
        <f t="shared" si="7"/>
        <v/>
      </c>
      <c r="H108" s="37"/>
      <c r="I108" s="38"/>
      <c r="J108" s="36" t="str">
        <f t="shared" ca="1" si="8"/>
        <v/>
      </c>
      <c r="K108" s="36" t="str">
        <f t="shared" ca="1" si="9"/>
        <v/>
      </c>
      <c r="L108" s="37"/>
      <c r="M108" s="37"/>
      <c r="N108" s="37"/>
      <c r="O108" s="37"/>
      <c r="P108" s="39"/>
      <c r="Q108" s="37"/>
      <c r="R108" s="39"/>
      <c r="S108" s="39"/>
      <c r="T108" s="39"/>
      <c r="U108" s="39"/>
      <c r="V108" s="37"/>
      <c r="W108" s="37"/>
      <c r="X108" s="37"/>
      <c r="Y108" s="37"/>
      <c r="Z108" s="37"/>
      <c r="AA108" s="37"/>
      <c r="AB108" s="37"/>
      <c r="AC108" s="37"/>
      <c r="AD108" s="37"/>
      <c r="AE108" s="37"/>
      <c r="AF108" s="37"/>
      <c r="AG108" s="37"/>
      <c r="AH108" s="37"/>
      <c r="AI108" s="37"/>
      <c r="AJ108" s="37"/>
      <c r="AK108" s="37"/>
      <c r="AL108" s="37"/>
      <c r="AM108" s="36" t="str">
        <f>IFERROR(INDEX(PARAMETRES!$B$536:$B$586,MATCH(AL108,PARAMETRES!$J$536:$J$586,0)),"")</f>
        <v/>
      </c>
      <c r="AN108" s="36" t="str">
        <f>IFERROR(INDEX(PARAMETRES!$D$536:$D$586,MATCH(AL108,PARAMETRES!$J$536:$J$586,0)),"")</f>
        <v/>
      </c>
      <c r="AO108" s="36" t="str">
        <f>IFERROR(INDEX(PARAMETRES!$F$536:$F$586,MATCH(AL108,PARAMETRES!$J$536:$J$586,0)),"")</f>
        <v/>
      </c>
      <c r="AP108" s="36" t="str">
        <f>IFERROR(INDEX(PARAMETRES!$G$536:$G$586,MATCH(AL108,PARAMETRES!$J$536:$J$586,0)),"")</f>
        <v/>
      </c>
      <c r="AQ108" s="37"/>
      <c r="AR108" s="37"/>
      <c r="AS108" s="37"/>
      <c r="AT108" s="37"/>
      <c r="AU108" s="37"/>
      <c r="AV108" s="37"/>
      <c r="AW108" s="37"/>
      <c r="AX108" s="37"/>
      <c r="AY108" s="37"/>
      <c r="AZ108" s="37"/>
      <c r="BA108" s="37"/>
      <c r="BB108" s="38"/>
      <c r="BC108" s="37"/>
      <c r="BD108" s="37"/>
      <c r="BE108" s="38"/>
      <c r="BF108" s="38"/>
      <c r="BG108" s="37"/>
      <c r="BH108" s="37"/>
      <c r="BI108" s="37"/>
      <c r="BJ108" s="37"/>
      <c r="BK108" s="37"/>
      <c r="BL108" s="37"/>
      <c r="BM108" s="38"/>
      <c r="BN108" s="37"/>
      <c r="BO108" s="37"/>
      <c r="BP108" s="37"/>
      <c r="BQ108" s="37"/>
      <c r="BR108" s="37"/>
      <c r="BS108" s="37"/>
      <c r="BT108" s="37"/>
      <c r="BU108" s="38"/>
      <c r="BV108" s="36" t="str">
        <f t="shared" ca="1" si="10"/>
        <v/>
      </c>
      <c r="BW108" s="36">
        <f>COUNTIF(tbl_Beneficiaires_Activites[ID Beneficiaire],A108)</f>
        <v>40</v>
      </c>
      <c r="BX108" s="36">
        <f>COUNTIF(tbl_Beneficiaires_Appuis[ID Beneficiaire],A108)</f>
        <v>40</v>
      </c>
      <c r="BY108" s="36" t="str">
        <f t="shared" si="11"/>
        <v/>
      </c>
      <c r="BZ108" s="37"/>
    </row>
    <row r="109" spans="1:78" ht="15" customHeight="1">
      <c r="A109" s="36" t="str">
        <f t="shared" si="6"/>
        <v/>
      </c>
      <c r="B109" s="37"/>
      <c r="C109" s="37"/>
      <c r="D109" s="37"/>
      <c r="E109" s="37"/>
      <c r="F109" s="37"/>
      <c r="G109" s="36" t="str">
        <f t="shared" si="7"/>
        <v/>
      </c>
      <c r="H109" s="37"/>
      <c r="I109" s="38"/>
      <c r="J109" s="36" t="str">
        <f t="shared" ca="1" si="8"/>
        <v/>
      </c>
      <c r="K109" s="36" t="str">
        <f t="shared" ca="1" si="9"/>
        <v/>
      </c>
      <c r="L109" s="37"/>
      <c r="M109" s="37"/>
      <c r="N109" s="37"/>
      <c r="O109" s="37"/>
      <c r="P109" s="39"/>
      <c r="Q109" s="37"/>
      <c r="R109" s="39"/>
      <c r="S109" s="39"/>
      <c r="T109" s="39"/>
      <c r="U109" s="39"/>
      <c r="V109" s="37"/>
      <c r="W109" s="37"/>
      <c r="X109" s="37"/>
      <c r="Y109" s="37"/>
      <c r="Z109" s="37"/>
      <c r="AA109" s="37"/>
      <c r="AB109" s="37"/>
      <c r="AC109" s="37"/>
      <c r="AD109" s="37"/>
      <c r="AE109" s="37"/>
      <c r="AF109" s="37"/>
      <c r="AG109" s="37"/>
      <c r="AH109" s="37"/>
      <c r="AI109" s="37"/>
      <c r="AJ109" s="37"/>
      <c r="AK109" s="37"/>
      <c r="AL109" s="37"/>
      <c r="AM109" s="36" t="str">
        <f>IFERROR(INDEX(PARAMETRES!$B$536:$B$586,MATCH(AL109,PARAMETRES!$J$536:$J$586,0)),"")</f>
        <v/>
      </c>
      <c r="AN109" s="36" t="str">
        <f>IFERROR(INDEX(PARAMETRES!$D$536:$D$586,MATCH(AL109,PARAMETRES!$J$536:$J$586,0)),"")</f>
        <v/>
      </c>
      <c r="AO109" s="36" t="str">
        <f>IFERROR(INDEX(PARAMETRES!$F$536:$F$586,MATCH(AL109,PARAMETRES!$J$536:$J$586,0)),"")</f>
        <v/>
      </c>
      <c r="AP109" s="36" t="str">
        <f>IFERROR(INDEX(PARAMETRES!$G$536:$G$586,MATCH(AL109,PARAMETRES!$J$536:$J$586,0)),"")</f>
        <v/>
      </c>
      <c r="AQ109" s="37"/>
      <c r="AR109" s="37"/>
      <c r="AS109" s="37"/>
      <c r="AT109" s="37"/>
      <c r="AU109" s="37"/>
      <c r="AV109" s="37"/>
      <c r="AW109" s="37"/>
      <c r="AX109" s="37"/>
      <c r="AY109" s="37"/>
      <c r="AZ109" s="37"/>
      <c r="BA109" s="37"/>
      <c r="BB109" s="38"/>
      <c r="BC109" s="37"/>
      <c r="BD109" s="37"/>
      <c r="BE109" s="38"/>
      <c r="BF109" s="38"/>
      <c r="BG109" s="37"/>
      <c r="BH109" s="37"/>
      <c r="BI109" s="37"/>
      <c r="BJ109" s="37"/>
      <c r="BK109" s="37"/>
      <c r="BL109" s="37"/>
      <c r="BM109" s="38"/>
      <c r="BN109" s="37"/>
      <c r="BO109" s="37"/>
      <c r="BP109" s="37"/>
      <c r="BQ109" s="37"/>
      <c r="BR109" s="37"/>
      <c r="BS109" s="37"/>
      <c r="BT109" s="37"/>
      <c r="BU109" s="38"/>
      <c r="BV109" s="36" t="str">
        <f t="shared" ca="1" si="10"/>
        <v/>
      </c>
      <c r="BW109" s="36">
        <f>COUNTIF(tbl_Beneficiaires_Activites[ID Beneficiaire],A109)</f>
        <v>40</v>
      </c>
      <c r="BX109" s="36">
        <f>COUNTIF(tbl_Beneficiaires_Appuis[ID Beneficiaire],A109)</f>
        <v>40</v>
      </c>
      <c r="BY109" s="36" t="str">
        <f t="shared" si="11"/>
        <v/>
      </c>
      <c r="BZ109" s="37"/>
    </row>
    <row r="110" spans="1:78" ht="15" customHeight="1">
      <c r="A110" s="36" t="str">
        <f t="shared" si="6"/>
        <v/>
      </c>
      <c r="B110" s="37"/>
      <c r="C110" s="37"/>
      <c r="D110" s="37"/>
      <c r="E110" s="37"/>
      <c r="F110" s="37"/>
      <c r="G110" s="36" t="str">
        <f t="shared" si="7"/>
        <v/>
      </c>
      <c r="H110" s="37"/>
      <c r="I110" s="38"/>
      <c r="J110" s="36" t="str">
        <f t="shared" ca="1" si="8"/>
        <v/>
      </c>
      <c r="K110" s="36" t="str">
        <f t="shared" ca="1" si="9"/>
        <v/>
      </c>
      <c r="L110" s="37"/>
      <c r="M110" s="37"/>
      <c r="N110" s="37"/>
      <c r="O110" s="37"/>
      <c r="P110" s="39"/>
      <c r="Q110" s="37"/>
      <c r="R110" s="39"/>
      <c r="S110" s="39"/>
      <c r="T110" s="39"/>
      <c r="U110" s="39"/>
      <c r="V110" s="37"/>
      <c r="W110" s="37"/>
      <c r="X110" s="37"/>
      <c r="Y110" s="37"/>
      <c r="Z110" s="37"/>
      <c r="AA110" s="37"/>
      <c r="AB110" s="37"/>
      <c r="AC110" s="37"/>
      <c r="AD110" s="37"/>
      <c r="AE110" s="37"/>
      <c r="AF110" s="37"/>
      <c r="AG110" s="37"/>
      <c r="AH110" s="37"/>
      <c r="AI110" s="37"/>
      <c r="AJ110" s="37"/>
      <c r="AK110" s="37"/>
      <c r="AL110" s="37"/>
      <c r="AM110" s="36" t="str">
        <f>IFERROR(INDEX(PARAMETRES!$B$536:$B$586,MATCH(AL110,PARAMETRES!$J$536:$J$586,0)),"")</f>
        <v/>
      </c>
      <c r="AN110" s="36" t="str">
        <f>IFERROR(INDEX(PARAMETRES!$D$536:$D$586,MATCH(AL110,PARAMETRES!$J$536:$J$586,0)),"")</f>
        <v/>
      </c>
      <c r="AO110" s="36" t="str">
        <f>IFERROR(INDEX(PARAMETRES!$F$536:$F$586,MATCH(AL110,PARAMETRES!$J$536:$J$586,0)),"")</f>
        <v/>
      </c>
      <c r="AP110" s="36" t="str">
        <f>IFERROR(INDEX(PARAMETRES!$G$536:$G$586,MATCH(AL110,PARAMETRES!$J$536:$J$586,0)),"")</f>
        <v/>
      </c>
      <c r="AQ110" s="37"/>
      <c r="AR110" s="37"/>
      <c r="AS110" s="37"/>
      <c r="AT110" s="37"/>
      <c r="AU110" s="37"/>
      <c r="AV110" s="37"/>
      <c r="AW110" s="37"/>
      <c r="AX110" s="37"/>
      <c r="AY110" s="37"/>
      <c r="AZ110" s="37"/>
      <c r="BA110" s="37"/>
      <c r="BB110" s="38"/>
      <c r="BC110" s="37"/>
      <c r="BD110" s="37"/>
      <c r="BE110" s="38"/>
      <c r="BF110" s="38"/>
      <c r="BG110" s="37"/>
      <c r="BH110" s="37"/>
      <c r="BI110" s="37"/>
      <c r="BJ110" s="37"/>
      <c r="BK110" s="37"/>
      <c r="BL110" s="37"/>
      <c r="BM110" s="38"/>
      <c r="BN110" s="37"/>
      <c r="BO110" s="37"/>
      <c r="BP110" s="37"/>
      <c r="BQ110" s="37"/>
      <c r="BR110" s="37"/>
      <c r="BS110" s="37"/>
      <c r="BT110" s="37"/>
      <c r="BU110" s="38"/>
      <c r="BV110" s="36" t="str">
        <f t="shared" ca="1" si="10"/>
        <v/>
      </c>
      <c r="BW110" s="36">
        <f>COUNTIF(tbl_Beneficiaires_Activites[ID Beneficiaire],A110)</f>
        <v>40</v>
      </c>
      <c r="BX110" s="36">
        <f>COUNTIF(tbl_Beneficiaires_Appuis[ID Beneficiaire],A110)</f>
        <v>40</v>
      </c>
      <c r="BY110" s="36" t="str">
        <f t="shared" si="11"/>
        <v/>
      </c>
      <c r="BZ110" s="37"/>
    </row>
    <row r="111" spans="1:78" ht="15" customHeight="1">
      <c r="A111" s="36" t="str">
        <f t="shared" si="6"/>
        <v/>
      </c>
      <c r="B111" s="37"/>
      <c r="C111" s="37"/>
      <c r="D111" s="37"/>
      <c r="E111" s="37"/>
      <c r="F111" s="37"/>
      <c r="G111" s="36" t="str">
        <f t="shared" si="7"/>
        <v/>
      </c>
      <c r="H111" s="37"/>
      <c r="I111" s="38"/>
      <c r="J111" s="36" t="str">
        <f t="shared" ca="1" si="8"/>
        <v/>
      </c>
      <c r="K111" s="36" t="str">
        <f t="shared" ca="1" si="9"/>
        <v/>
      </c>
      <c r="L111" s="37"/>
      <c r="M111" s="37"/>
      <c r="N111" s="37"/>
      <c r="O111" s="37"/>
      <c r="P111" s="39"/>
      <c r="Q111" s="37"/>
      <c r="R111" s="39"/>
      <c r="S111" s="39"/>
      <c r="T111" s="39"/>
      <c r="U111" s="39"/>
      <c r="V111" s="37"/>
      <c r="W111" s="37"/>
      <c r="X111" s="37"/>
      <c r="Y111" s="37"/>
      <c r="Z111" s="37"/>
      <c r="AA111" s="37"/>
      <c r="AB111" s="37"/>
      <c r="AC111" s="37"/>
      <c r="AD111" s="37"/>
      <c r="AE111" s="37"/>
      <c r="AF111" s="37"/>
      <c r="AG111" s="37"/>
      <c r="AH111" s="37"/>
      <c r="AI111" s="37"/>
      <c r="AJ111" s="37"/>
      <c r="AK111" s="37"/>
      <c r="AL111" s="37"/>
      <c r="AM111" s="36" t="str">
        <f>IFERROR(INDEX(PARAMETRES!$B$536:$B$586,MATCH(AL111,PARAMETRES!$J$536:$J$586,0)),"")</f>
        <v/>
      </c>
      <c r="AN111" s="36" t="str">
        <f>IFERROR(INDEX(PARAMETRES!$D$536:$D$586,MATCH(AL111,PARAMETRES!$J$536:$J$586,0)),"")</f>
        <v/>
      </c>
      <c r="AO111" s="36" t="str">
        <f>IFERROR(INDEX(PARAMETRES!$F$536:$F$586,MATCH(AL111,PARAMETRES!$J$536:$J$586,0)),"")</f>
        <v/>
      </c>
      <c r="AP111" s="36" t="str">
        <f>IFERROR(INDEX(PARAMETRES!$G$536:$G$586,MATCH(AL111,PARAMETRES!$J$536:$J$586,0)),"")</f>
        <v/>
      </c>
      <c r="AQ111" s="37"/>
      <c r="AR111" s="37"/>
      <c r="AS111" s="37"/>
      <c r="AT111" s="37"/>
      <c r="AU111" s="37"/>
      <c r="AV111" s="37"/>
      <c r="AW111" s="37"/>
      <c r="AX111" s="37"/>
      <c r="AY111" s="37"/>
      <c r="AZ111" s="37"/>
      <c r="BA111" s="37"/>
      <c r="BB111" s="38"/>
      <c r="BC111" s="37"/>
      <c r="BD111" s="37"/>
      <c r="BE111" s="38"/>
      <c r="BF111" s="38"/>
      <c r="BG111" s="37"/>
      <c r="BH111" s="37"/>
      <c r="BI111" s="37"/>
      <c r="BJ111" s="37"/>
      <c r="BK111" s="37"/>
      <c r="BL111" s="37"/>
      <c r="BM111" s="38"/>
      <c r="BN111" s="37"/>
      <c r="BO111" s="37"/>
      <c r="BP111" s="37"/>
      <c r="BQ111" s="37"/>
      <c r="BR111" s="37"/>
      <c r="BS111" s="37"/>
      <c r="BT111" s="37"/>
      <c r="BU111" s="38"/>
      <c r="BV111" s="36" t="str">
        <f t="shared" ca="1" si="10"/>
        <v/>
      </c>
      <c r="BW111" s="36">
        <f>COUNTIF(tbl_Beneficiaires_Activites[ID Beneficiaire],A111)</f>
        <v>40</v>
      </c>
      <c r="BX111" s="36">
        <f>COUNTIF(tbl_Beneficiaires_Appuis[ID Beneficiaire],A111)</f>
        <v>40</v>
      </c>
      <c r="BY111" s="36" t="str">
        <f t="shared" si="11"/>
        <v/>
      </c>
      <c r="BZ111" s="37"/>
    </row>
    <row r="112" spans="1:78" ht="15" customHeight="1">
      <c r="A112" s="36" t="str">
        <f t="shared" si="6"/>
        <v/>
      </c>
      <c r="B112" s="37"/>
      <c r="C112" s="37"/>
      <c r="D112" s="37"/>
      <c r="E112" s="37"/>
      <c r="F112" s="37"/>
      <c r="G112" s="36" t="str">
        <f t="shared" si="7"/>
        <v/>
      </c>
      <c r="H112" s="37"/>
      <c r="I112" s="38"/>
      <c r="J112" s="36" t="str">
        <f t="shared" ca="1" si="8"/>
        <v/>
      </c>
      <c r="K112" s="36" t="str">
        <f t="shared" ca="1" si="9"/>
        <v/>
      </c>
      <c r="L112" s="37"/>
      <c r="M112" s="37"/>
      <c r="N112" s="37"/>
      <c r="O112" s="37"/>
      <c r="P112" s="39"/>
      <c r="Q112" s="37"/>
      <c r="R112" s="39"/>
      <c r="S112" s="39"/>
      <c r="T112" s="39"/>
      <c r="U112" s="39"/>
      <c r="V112" s="37"/>
      <c r="W112" s="37"/>
      <c r="X112" s="37"/>
      <c r="Y112" s="37"/>
      <c r="Z112" s="37"/>
      <c r="AA112" s="37"/>
      <c r="AB112" s="37"/>
      <c r="AC112" s="37"/>
      <c r="AD112" s="37"/>
      <c r="AE112" s="37"/>
      <c r="AF112" s="37"/>
      <c r="AG112" s="37"/>
      <c r="AH112" s="37"/>
      <c r="AI112" s="37"/>
      <c r="AJ112" s="37"/>
      <c r="AK112" s="37"/>
      <c r="AL112" s="37"/>
      <c r="AM112" s="36" t="str">
        <f>IFERROR(INDEX(PARAMETRES!$B$536:$B$586,MATCH(AL112,PARAMETRES!$J$536:$J$586,0)),"")</f>
        <v/>
      </c>
      <c r="AN112" s="36" t="str">
        <f>IFERROR(INDEX(PARAMETRES!$D$536:$D$586,MATCH(AL112,PARAMETRES!$J$536:$J$586,0)),"")</f>
        <v/>
      </c>
      <c r="AO112" s="36" t="str">
        <f>IFERROR(INDEX(PARAMETRES!$F$536:$F$586,MATCH(AL112,PARAMETRES!$J$536:$J$586,0)),"")</f>
        <v/>
      </c>
      <c r="AP112" s="36" t="str">
        <f>IFERROR(INDEX(PARAMETRES!$G$536:$G$586,MATCH(AL112,PARAMETRES!$J$536:$J$586,0)),"")</f>
        <v/>
      </c>
      <c r="AQ112" s="37"/>
      <c r="AR112" s="37"/>
      <c r="AS112" s="37"/>
      <c r="AT112" s="37"/>
      <c r="AU112" s="37"/>
      <c r="AV112" s="37"/>
      <c r="AW112" s="37"/>
      <c r="AX112" s="37"/>
      <c r="AY112" s="37"/>
      <c r="AZ112" s="37"/>
      <c r="BA112" s="37"/>
      <c r="BB112" s="38"/>
      <c r="BC112" s="37"/>
      <c r="BD112" s="37"/>
      <c r="BE112" s="38"/>
      <c r="BF112" s="38"/>
      <c r="BG112" s="37"/>
      <c r="BH112" s="37"/>
      <c r="BI112" s="37"/>
      <c r="BJ112" s="37"/>
      <c r="BK112" s="37"/>
      <c r="BL112" s="37"/>
      <c r="BM112" s="38"/>
      <c r="BN112" s="37"/>
      <c r="BO112" s="37"/>
      <c r="BP112" s="37"/>
      <c r="BQ112" s="37"/>
      <c r="BR112" s="37"/>
      <c r="BS112" s="37"/>
      <c r="BT112" s="37"/>
      <c r="BU112" s="38"/>
      <c r="BV112" s="36" t="str">
        <f t="shared" ca="1" si="10"/>
        <v/>
      </c>
      <c r="BW112" s="36">
        <f>COUNTIF(tbl_Beneficiaires_Activites[ID Beneficiaire],A112)</f>
        <v>40</v>
      </c>
      <c r="BX112" s="36">
        <f>COUNTIF(tbl_Beneficiaires_Appuis[ID Beneficiaire],A112)</f>
        <v>40</v>
      </c>
      <c r="BY112" s="36" t="str">
        <f t="shared" si="11"/>
        <v/>
      </c>
      <c r="BZ112" s="37"/>
    </row>
    <row r="113" spans="1:78" ht="15" customHeight="1">
      <c r="A113" s="36" t="str">
        <f t="shared" si="6"/>
        <v/>
      </c>
      <c r="B113" s="37"/>
      <c r="C113" s="37"/>
      <c r="D113" s="37"/>
      <c r="E113" s="37"/>
      <c r="F113" s="37"/>
      <c r="G113" s="36" t="str">
        <f t="shared" si="7"/>
        <v/>
      </c>
      <c r="H113" s="37"/>
      <c r="I113" s="38"/>
      <c r="J113" s="36" t="str">
        <f t="shared" ca="1" si="8"/>
        <v/>
      </c>
      <c r="K113" s="36" t="str">
        <f t="shared" ca="1" si="9"/>
        <v/>
      </c>
      <c r="L113" s="37"/>
      <c r="M113" s="37"/>
      <c r="N113" s="37"/>
      <c r="O113" s="37"/>
      <c r="P113" s="39"/>
      <c r="Q113" s="37"/>
      <c r="R113" s="39"/>
      <c r="S113" s="39"/>
      <c r="T113" s="39"/>
      <c r="U113" s="39"/>
      <c r="V113" s="37"/>
      <c r="W113" s="37"/>
      <c r="X113" s="37"/>
      <c r="Y113" s="37"/>
      <c r="Z113" s="37"/>
      <c r="AA113" s="37"/>
      <c r="AB113" s="37"/>
      <c r="AC113" s="37"/>
      <c r="AD113" s="37"/>
      <c r="AE113" s="37"/>
      <c r="AF113" s="37"/>
      <c r="AG113" s="37"/>
      <c r="AH113" s="37"/>
      <c r="AI113" s="37"/>
      <c r="AJ113" s="37"/>
      <c r="AK113" s="37"/>
      <c r="AL113" s="37"/>
      <c r="AM113" s="36" t="str">
        <f>IFERROR(INDEX(PARAMETRES!$B$536:$B$586,MATCH(AL113,PARAMETRES!$J$536:$J$586,0)),"")</f>
        <v/>
      </c>
      <c r="AN113" s="36" t="str">
        <f>IFERROR(INDEX(PARAMETRES!$D$536:$D$586,MATCH(AL113,PARAMETRES!$J$536:$J$586,0)),"")</f>
        <v/>
      </c>
      <c r="AO113" s="36" t="str">
        <f>IFERROR(INDEX(PARAMETRES!$F$536:$F$586,MATCH(AL113,PARAMETRES!$J$536:$J$586,0)),"")</f>
        <v/>
      </c>
      <c r="AP113" s="36" t="str">
        <f>IFERROR(INDEX(PARAMETRES!$G$536:$G$586,MATCH(AL113,PARAMETRES!$J$536:$J$586,0)),"")</f>
        <v/>
      </c>
      <c r="AQ113" s="37"/>
      <c r="AR113" s="37"/>
      <c r="AS113" s="37"/>
      <c r="AT113" s="37"/>
      <c r="AU113" s="37"/>
      <c r="AV113" s="37"/>
      <c r="AW113" s="37"/>
      <c r="AX113" s="37"/>
      <c r="AY113" s="37"/>
      <c r="AZ113" s="37"/>
      <c r="BA113" s="37"/>
      <c r="BB113" s="38"/>
      <c r="BC113" s="37"/>
      <c r="BD113" s="37"/>
      <c r="BE113" s="38"/>
      <c r="BF113" s="38"/>
      <c r="BG113" s="37"/>
      <c r="BH113" s="37"/>
      <c r="BI113" s="37"/>
      <c r="BJ113" s="37"/>
      <c r="BK113" s="37"/>
      <c r="BL113" s="37"/>
      <c r="BM113" s="38"/>
      <c r="BN113" s="37"/>
      <c r="BO113" s="37"/>
      <c r="BP113" s="37"/>
      <c r="BQ113" s="37"/>
      <c r="BR113" s="37"/>
      <c r="BS113" s="37"/>
      <c r="BT113" s="37"/>
      <c r="BU113" s="38"/>
      <c r="BV113" s="36" t="str">
        <f t="shared" ca="1" si="10"/>
        <v/>
      </c>
      <c r="BW113" s="36">
        <f>COUNTIF(tbl_Beneficiaires_Activites[ID Beneficiaire],A113)</f>
        <v>40</v>
      </c>
      <c r="BX113" s="36">
        <f>COUNTIF(tbl_Beneficiaires_Appuis[ID Beneficiaire],A113)</f>
        <v>40</v>
      </c>
      <c r="BY113" s="36" t="str">
        <f t="shared" si="11"/>
        <v/>
      </c>
      <c r="BZ113" s="37"/>
    </row>
    <row r="114" spans="1:78" ht="15" customHeight="1">
      <c r="A114" s="36" t="str">
        <f t="shared" si="6"/>
        <v/>
      </c>
      <c r="B114" s="37"/>
      <c r="C114" s="37"/>
      <c r="D114" s="37"/>
      <c r="E114" s="37"/>
      <c r="F114" s="37"/>
      <c r="G114" s="36" t="str">
        <f t="shared" si="7"/>
        <v/>
      </c>
      <c r="H114" s="37"/>
      <c r="I114" s="38"/>
      <c r="J114" s="36" t="str">
        <f t="shared" ca="1" si="8"/>
        <v/>
      </c>
      <c r="K114" s="36" t="str">
        <f t="shared" ca="1" si="9"/>
        <v/>
      </c>
      <c r="L114" s="37"/>
      <c r="M114" s="37"/>
      <c r="N114" s="37"/>
      <c r="O114" s="37"/>
      <c r="P114" s="39"/>
      <c r="Q114" s="37"/>
      <c r="R114" s="39"/>
      <c r="S114" s="39"/>
      <c r="T114" s="39"/>
      <c r="U114" s="39"/>
      <c r="V114" s="37"/>
      <c r="W114" s="37"/>
      <c r="X114" s="37"/>
      <c r="Y114" s="37"/>
      <c r="Z114" s="37"/>
      <c r="AA114" s="37"/>
      <c r="AB114" s="37"/>
      <c r="AC114" s="37"/>
      <c r="AD114" s="37"/>
      <c r="AE114" s="37"/>
      <c r="AF114" s="37"/>
      <c r="AG114" s="37"/>
      <c r="AH114" s="37"/>
      <c r="AI114" s="37"/>
      <c r="AJ114" s="37"/>
      <c r="AK114" s="37"/>
      <c r="AL114" s="37"/>
      <c r="AM114" s="36" t="str">
        <f>IFERROR(INDEX(PARAMETRES!$B$536:$B$586,MATCH(AL114,PARAMETRES!$J$536:$J$586,0)),"")</f>
        <v/>
      </c>
      <c r="AN114" s="36" t="str">
        <f>IFERROR(INDEX(PARAMETRES!$D$536:$D$586,MATCH(AL114,PARAMETRES!$J$536:$J$586,0)),"")</f>
        <v/>
      </c>
      <c r="AO114" s="36" t="str">
        <f>IFERROR(INDEX(PARAMETRES!$F$536:$F$586,MATCH(AL114,PARAMETRES!$J$536:$J$586,0)),"")</f>
        <v/>
      </c>
      <c r="AP114" s="36" t="str">
        <f>IFERROR(INDEX(PARAMETRES!$G$536:$G$586,MATCH(AL114,PARAMETRES!$J$536:$J$586,0)),"")</f>
        <v/>
      </c>
      <c r="AQ114" s="37"/>
      <c r="AR114" s="37"/>
      <c r="AS114" s="37"/>
      <c r="AT114" s="37"/>
      <c r="AU114" s="37"/>
      <c r="AV114" s="37"/>
      <c r="AW114" s="37"/>
      <c r="AX114" s="37"/>
      <c r="AY114" s="37"/>
      <c r="AZ114" s="37"/>
      <c r="BA114" s="37"/>
      <c r="BB114" s="38"/>
      <c r="BC114" s="37"/>
      <c r="BD114" s="37"/>
      <c r="BE114" s="38"/>
      <c r="BF114" s="38"/>
      <c r="BG114" s="37"/>
      <c r="BH114" s="37"/>
      <c r="BI114" s="37"/>
      <c r="BJ114" s="37"/>
      <c r="BK114" s="37"/>
      <c r="BL114" s="37"/>
      <c r="BM114" s="38"/>
      <c r="BN114" s="37"/>
      <c r="BO114" s="37"/>
      <c r="BP114" s="37"/>
      <c r="BQ114" s="37"/>
      <c r="BR114" s="37"/>
      <c r="BS114" s="37"/>
      <c r="BT114" s="37"/>
      <c r="BU114" s="38"/>
      <c r="BV114" s="36" t="str">
        <f t="shared" ca="1" si="10"/>
        <v/>
      </c>
      <c r="BW114" s="36">
        <f>COUNTIF(tbl_Beneficiaires_Activites[ID Beneficiaire],A114)</f>
        <v>40</v>
      </c>
      <c r="BX114" s="36">
        <f>COUNTIF(tbl_Beneficiaires_Appuis[ID Beneficiaire],A114)</f>
        <v>40</v>
      </c>
      <c r="BY114" s="36" t="str">
        <f t="shared" si="11"/>
        <v/>
      </c>
      <c r="BZ114" s="37"/>
    </row>
    <row r="115" spans="1:78" ht="15" customHeight="1">
      <c r="A115" s="36" t="str">
        <f t="shared" si="6"/>
        <v/>
      </c>
      <c r="B115" s="37"/>
      <c r="C115" s="37"/>
      <c r="D115" s="37"/>
      <c r="E115" s="37"/>
      <c r="F115" s="37"/>
      <c r="G115" s="36" t="str">
        <f t="shared" si="7"/>
        <v/>
      </c>
      <c r="H115" s="37"/>
      <c r="I115" s="38"/>
      <c r="J115" s="36" t="str">
        <f t="shared" ca="1" si="8"/>
        <v/>
      </c>
      <c r="K115" s="36" t="str">
        <f t="shared" ca="1" si="9"/>
        <v/>
      </c>
      <c r="L115" s="37"/>
      <c r="M115" s="37"/>
      <c r="N115" s="37"/>
      <c r="O115" s="37"/>
      <c r="P115" s="39"/>
      <c r="Q115" s="37"/>
      <c r="R115" s="39"/>
      <c r="S115" s="39"/>
      <c r="T115" s="39"/>
      <c r="U115" s="39"/>
      <c r="V115" s="37"/>
      <c r="W115" s="37"/>
      <c r="X115" s="37"/>
      <c r="Y115" s="37"/>
      <c r="Z115" s="37"/>
      <c r="AA115" s="37"/>
      <c r="AB115" s="37"/>
      <c r="AC115" s="37"/>
      <c r="AD115" s="37"/>
      <c r="AE115" s="37"/>
      <c r="AF115" s="37"/>
      <c r="AG115" s="37"/>
      <c r="AH115" s="37"/>
      <c r="AI115" s="37"/>
      <c r="AJ115" s="37"/>
      <c r="AK115" s="37"/>
      <c r="AL115" s="37"/>
      <c r="AM115" s="36" t="str">
        <f>IFERROR(INDEX(PARAMETRES!$B$536:$B$586,MATCH(AL115,PARAMETRES!$J$536:$J$586,0)),"")</f>
        <v/>
      </c>
      <c r="AN115" s="36" t="str">
        <f>IFERROR(INDEX(PARAMETRES!$D$536:$D$586,MATCH(AL115,PARAMETRES!$J$536:$J$586,0)),"")</f>
        <v/>
      </c>
      <c r="AO115" s="36" t="str">
        <f>IFERROR(INDEX(PARAMETRES!$F$536:$F$586,MATCH(AL115,PARAMETRES!$J$536:$J$586,0)),"")</f>
        <v/>
      </c>
      <c r="AP115" s="36" t="str">
        <f>IFERROR(INDEX(PARAMETRES!$G$536:$G$586,MATCH(AL115,PARAMETRES!$J$536:$J$586,0)),"")</f>
        <v/>
      </c>
      <c r="AQ115" s="37"/>
      <c r="AR115" s="37"/>
      <c r="AS115" s="37"/>
      <c r="AT115" s="37"/>
      <c r="AU115" s="37"/>
      <c r="AV115" s="37"/>
      <c r="AW115" s="37"/>
      <c r="AX115" s="37"/>
      <c r="AY115" s="37"/>
      <c r="AZ115" s="37"/>
      <c r="BA115" s="37"/>
      <c r="BB115" s="38"/>
      <c r="BC115" s="37"/>
      <c r="BD115" s="37"/>
      <c r="BE115" s="38"/>
      <c r="BF115" s="38"/>
      <c r="BG115" s="37"/>
      <c r="BH115" s="37"/>
      <c r="BI115" s="37"/>
      <c r="BJ115" s="37"/>
      <c r="BK115" s="37"/>
      <c r="BL115" s="37"/>
      <c r="BM115" s="38"/>
      <c r="BN115" s="37"/>
      <c r="BO115" s="37"/>
      <c r="BP115" s="37"/>
      <c r="BQ115" s="37"/>
      <c r="BR115" s="37"/>
      <c r="BS115" s="37"/>
      <c r="BT115" s="37"/>
      <c r="BU115" s="38"/>
      <c r="BV115" s="36" t="str">
        <f t="shared" ca="1" si="10"/>
        <v/>
      </c>
      <c r="BW115" s="36">
        <f>COUNTIF(tbl_Beneficiaires_Activites[ID Beneficiaire],A115)</f>
        <v>40</v>
      </c>
      <c r="BX115" s="36">
        <f>COUNTIF(tbl_Beneficiaires_Appuis[ID Beneficiaire],A115)</f>
        <v>40</v>
      </c>
      <c r="BY115" s="36" t="str">
        <f t="shared" si="11"/>
        <v/>
      </c>
      <c r="BZ115" s="37"/>
    </row>
    <row r="118" spans="1:78" ht="19.5" customHeight="1">
      <c r="A118" s="289" t="s">
        <v>1619</v>
      </c>
      <c r="B118" s="262"/>
      <c r="C118" s="262"/>
      <c r="D118" s="262"/>
      <c r="E118" s="262"/>
      <c r="F118" s="262"/>
      <c r="G118" s="262"/>
      <c r="H118" s="262"/>
      <c r="I118" s="262"/>
    </row>
    <row r="119" spans="1:78" ht="24" customHeight="1">
      <c r="A119" s="32" t="s">
        <v>1620</v>
      </c>
      <c r="B119" s="32" t="s">
        <v>1545</v>
      </c>
      <c r="C119" s="32" t="s">
        <v>1621</v>
      </c>
      <c r="D119" s="32" t="s">
        <v>1622</v>
      </c>
      <c r="E119" s="32" t="s">
        <v>1623</v>
      </c>
      <c r="F119" s="32" t="s">
        <v>1624</v>
      </c>
      <c r="G119" s="32" t="s">
        <v>1625</v>
      </c>
      <c r="H119" s="32" t="s">
        <v>1626</v>
      </c>
      <c r="I119" s="32" t="s">
        <v>1503</v>
      </c>
    </row>
    <row r="120" spans="1:78" ht="15" customHeight="1">
      <c r="A120" s="40" t="str">
        <f t="shared" ref="A120:A159" si="12">IF(B120="","","PART"&amp;TEXT(ROW()-119,"00000"))</f>
        <v/>
      </c>
      <c r="B120" s="35"/>
      <c r="C120" s="35"/>
      <c r="D120" s="35"/>
      <c r="E120" s="35"/>
      <c r="F120" s="41"/>
      <c r="G120" s="35"/>
      <c r="H120" s="35"/>
      <c r="I120" s="35"/>
    </row>
    <row r="121" spans="1:78" ht="15" customHeight="1">
      <c r="A121" s="40" t="str">
        <f t="shared" si="12"/>
        <v/>
      </c>
      <c r="B121" s="35"/>
      <c r="C121" s="35"/>
      <c r="D121" s="35"/>
      <c r="E121" s="35"/>
      <c r="F121" s="41"/>
      <c r="G121" s="35"/>
      <c r="H121" s="35"/>
      <c r="I121" s="35"/>
    </row>
    <row r="122" spans="1:78" ht="15" customHeight="1">
      <c r="A122" s="40" t="str">
        <f t="shared" si="12"/>
        <v/>
      </c>
      <c r="B122" s="35"/>
      <c r="C122" s="35"/>
      <c r="D122" s="35"/>
      <c r="E122" s="35"/>
      <c r="F122" s="41"/>
      <c r="G122" s="35"/>
      <c r="H122" s="35"/>
      <c r="I122" s="35"/>
    </row>
    <row r="123" spans="1:78" ht="15" customHeight="1">
      <c r="A123" s="40" t="str">
        <f t="shared" si="12"/>
        <v/>
      </c>
      <c r="B123" s="35"/>
      <c r="C123" s="35"/>
      <c r="D123" s="35"/>
      <c r="E123" s="35"/>
      <c r="F123" s="41"/>
      <c r="G123" s="35"/>
      <c r="H123" s="35"/>
      <c r="I123" s="35"/>
    </row>
    <row r="124" spans="1:78" ht="15" customHeight="1">
      <c r="A124" s="40" t="str">
        <f t="shared" si="12"/>
        <v/>
      </c>
      <c r="B124" s="35"/>
      <c r="C124" s="35"/>
      <c r="D124" s="35"/>
      <c r="E124" s="35"/>
      <c r="F124" s="41"/>
      <c r="G124" s="35"/>
      <c r="H124" s="35"/>
      <c r="I124" s="35"/>
    </row>
    <row r="125" spans="1:78" ht="15" customHeight="1">
      <c r="A125" s="40" t="str">
        <f t="shared" si="12"/>
        <v/>
      </c>
      <c r="B125" s="35"/>
      <c r="C125" s="35"/>
      <c r="D125" s="35"/>
      <c r="E125" s="35"/>
      <c r="F125" s="41"/>
      <c r="G125" s="35"/>
      <c r="H125" s="35"/>
      <c r="I125" s="35"/>
    </row>
    <row r="126" spans="1:78" ht="15" customHeight="1">
      <c r="A126" s="40" t="str">
        <f t="shared" si="12"/>
        <v/>
      </c>
      <c r="B126" s="35"/>
      <c r="C126" s="35"/>
      <c r="D126" s="35"/>
      <c r="E126" s="35"/>
      <c r="F126" s="41"/>
      <c r="G126" s="35"/>
      <c r="H126" s="35"/>
      <c r="I126" s="35"/>
    </row>
    <row r="127" spans="1:78" ht="15" customHeight="1">
      <c r="A127" s="40" t="str">
        <f t="shared" si="12"/>
        <v/>
      </c>
      <c r="B127" s="35"/>
      <c r="C127" s="35"/>
      <c r="D127" s="35"/>
      <c r="E127" s="35"/>
      <c r="F127" s="41"/>
      <c r="G127" s="35"/>
      <c r="H127" s="35"/>
      <c r="I127" s="35"/>
    </row>
    <row r="128" spans="1:78" ht="15" customHeight="1">
      <c r="A128" s="40" t="str">
        <f t="shared" si="12"/>
        <v/>
      </c>
      <c r="B128" s="35"/>
      <c r="C128" s="35"/>
      <c r="D128" s="35"/>
      <c r="E128" s="35"/>
      <c r="F128" s="41"/>
      <c r="G128" s="35"/>
      <c r="H128" s="35"/>
      <c r="I128" s="35"/>
    </row>
    <row r="129" spans="1:9" ht="15" customHeight="1">
      <c r="A129" s="40" t="str">
        <f t="shared" si="12"/>
        <v/>
      </c>
      <c r="B129" s="35"/>
      <c r="C129" s="35"/>
      <c r="D129" s="35"/>
      <c r="E129" s="35"/>
      <c r="F129" s="41"/>
      <c r="G129" s="35"/>
      <c r="H129" s="35"/>
      <c r="I129" s="35"/>
    </row>
    <row r="130" spans="1:9" ht="15" customHeight="1">
      <c r="A130" s="40" t="str">
        <f t="shared" si="12"/>
        <v/>
      </c>
      <c r="B130" s="35"/>
      <c r="C130" s="35"/>
      <c r="D130" s="35"/>
      <c r="E130" s="35"/>
      <c r="F130" s="41"/>
      <c r="G130" s="35"/>
      <c r="H130" s="35"/>
      <c r="I130" s="35"/>
    </row>
    <row r="131" spans="1:9" ht="15" customHeight="1">
      <c r="A131" s="40" t="str">
        <f t="shared" si="12"/>
        <v/>
      </c>
      <c r="B131" s="35"/>
      <c r="C131" s="35"/>
      <c r="D131" s="35"/>
      <c r="E131" s="35"/>
      <c r="F131" s="41"/>
      <c r="G131" s="35"/>
      <c r="H131" s="35"/>
      <c r="I131" s="35"/>
    </row>
    <row r="132" spans="1:9" ht="15" customHeight="1">
      <c r="A132" s="40" t="str">
        <f t="shared" si="12"/>
        <v/>
      </c>
      <c r="B132" s="35"/>
      <c r="C132" s="35"/>
      <c r="D132" s="35"/>
      <c r="E132" s="35"/>
      <c r="F132" s="41"/>
      <c r="G132" s="35"/>
      <c r="H132" s="35"/>
      <c r="I132" s="35"/>
    </row>
    <row r="133" spans="1:9" ht="15" customHeight="1">
      <c r="A133" s="40" t="str">
        <f t="shared" si="12"/>
        <v/>
      </c>
      <c r="B133" s="35"/>
      <c r="C133" s="35"/>
      <c r="D133" s="35"/>
      <c r="E133" s="35"/>
      <c r="F133" s="41"/>
      <c r="G133" s="35"/>
      <c r="H133" s="35"/>
      <c r="I133" s="35"/>
    </row>
    <row r="134" spans="1:9" ht="15" customHeight="1">
      <c r="A134" s="40" t="str">
        <f t="shared" si="12"/>
        <v/>
      </c>
      <c r="B134" s="35"/>
      <c r="C134" s="35"/>
      <c r="D134" s="35"/>
      <c r="E134" s="35"/>
      <c r="F134" s="41"/>
      <c r="G134" s="35"/>
      <c r="H134" s="35"/>
      <c r="I134" s="35"/>
    </row>
    <row r="135" spans="1:9" ht="15" customHeight="1">
      <c r="A135" s="40" t="str">
        <f t="shared" si="12"/>
        <v/>
      </c>
      <c r="B135" s="35"/>
      <c r="C135" s="35"/>
      <c r="D135" s="35"/>
      <c r="E135" s="35"/>
      <c r="F135" s="41"/>
      <c r="G135" s="35"/>
      <c r="H135" s="35"/>
      <c r="I135" s="35"/>
    </row>
    <row r="136" spans="1:9" ht="15" customHeight="1">
      <c r="A136" s="40" t="str">
        <f t="shared" si="12"/>
        <v/>
      </c>
      <c r="B136" s="35"/>
      <c r="C136" s="35"/>
      <c r="D136" s="35"/>
      <c r="E136" s="35"/>
      <c r="F136" s="41"/>
      <c r="G136" s="35"/>
      <c r="H136" s="35"/>
      <c r="I136" s="35"/>
    </row>
    <row r="137" spans="1:9" ht="15" customHeight="1">
      <c r="A137" s="40" t="str">
        <f t="shared" si="12"/>
        <v/>
      </c>
      <c r="B137" s="35"/>
      <c r="C137" s="35"/>
      <c r="D137" s="35"/>
      <c r="E137" s="35"/>
      <c r="F137" s="41"/>
      <c r="G137" s="35"/>
      <c r="H137" s="35"/>
      <c r="I137" s="35"/>
    </row>
    <row r="138" spans="1:9" ht="15" customHeight="1">
      <c r="A138" s="40" t="str">
        <f t="shared" si="12"/>
        <v/>
      </c>
      <c r="B138" s="35"/>
      <c r="C138" s="35"/>
      <c r="D138" s="35"/>
      <c r="E138" s="35"/>
      <c r="F138" s="41"/>
      <c r="G138" s="35"/>
      <c r="H138" s="35"/>
      <c r="I138" s="35"/>
    </row>
    <row r="139" spans="1:9" ht="15" customHeight="1">
      <c r="A139" s="40" t="str">
        <f t="shared" si="12"/>
        <v/>
      </c>
      <c r="B139" s="35"/>
      <c r="C139" s="35"/>
      <c r="D139" s="35"/>
      <c r="E139" s="35"/>
      <c r="F139" s="41"/>
      <c r="G139" s="35"/>
      <c r="H139" s="35"/>
      <c r="I139" s="35"/>
    </row>
    <row r="140" spans="1:9" ht="15" customHeight="1">
      <c r="A140" s="40" t="str">
        <f t="shared" si="12"/>
        <v/>
      </c>
      <c r="B140" s="35"/>
      <c r="C140" s="35"/>
      <c r="D140" s="35"/>
      <c r="E140" s="35"/>
      <c r="F140" s="41"/>
      <c r="G140" s="35"/>
      <c r="H140" s="35"/>
      <c r="I140" s="35"/>
    </row>
    <row r="141" spans="1:9" ht="15" customHeight="1">
      <c r="A141" s="40" t="str">
        <f t="shared" si="12"/>
        <v/>
      </c>
      <c r="B141" s="35"/>
      <c r="C141" s="35"/>
      <c r="D141" s="35"/>
      <c r="E141" s="35"/>
      <c r="F141" s="41"/>
      <c r="G141" s="35"/>
      <c r="H141" s="35"/>
      <c r="I141" s="35"/>
    </row>
    <row r="142" spans="1:9" ht="15" customHeight="1">
      <c r="A142" s="40" t="str">
        <f t="shared" si="12"/>
        <v/>
      </c>
      <c r="B142" s="35"/>
      <c r="C142" s="35"/>
      <c r="D142" s="35"/>
      <c r="E142" s="35"/>
      <c r="F142" s="41"/>
      <c r="G142" s="35"/>
      <c r="H142" s="35"/>
      <c r="I142" s="35"/>
    </row>
    <row r="143" spans="1:9" ht="15" customHeight="1">
      <c r="A143" s="40" t="str">
        <f t="shared" si="12"/>
        <v/>
      </c>
      <c r="B143" s="35"/>
      <c r="C143" s="35"/>
      <c r="D143" s="35"/>
      <c r="E143" s="35"/>
      <c r="F143" s="41"/>
      <c r="G143" s="35"/>
      <c r="H143" s="35"/>
      <c r="I143" s="35"/>
    </row>
    <row r="144" spans="1:9" ht="15" customHeight="1">
      <c r="A144" s="40" t="str">
        <f t="shared" si="12"/>
        <v/>
      </c>
      <c r="B144" s="35"/>
      <c r="C144" s="35"/>
      <c r="D144" s="35"/>
      <c r="E144" s="35"/>
      <c r="F144" s="41"/>
      <c r="G144" s="35"/>
      <c r="H144" s="35"/>
      <c r="I144" s="35"/>
    </row>
    <row r="145" spans="1:9" ht="15" customHeight="1">
      <c r="A145" s="40" t="str">
        <f t="shared" si="12"/>
        <v/>
      </c>
      <c r="B145" s="35"/>
      <c r="C145" s="35"/>
      <c r="D145" s="35"/>
      <c r="E145" s="35"/>
      <c r="F145" s="41"/>
      <c r="G145" s="35"/>
      <c r="H145" s="35"/>
      <c r="I145" s="35"/>
    </row>
    <row r="146" spans="1:9" ht="15" customHeight="1">
      <c r="A146" s="40" t="str">
        <f t="shared" si="12"/>
        <v/>
      </c>
      <c r="B146" s="35"/>
      <c r="C146" s="35"/>
      <c r="D146" s="35"/>
      <c r="E146" s="35"/>
      <c r="F146" s="41"/>
      <c r="G146" s="35"/>
      <c r="H146" s="35"/>
      <c r="I146" s="35"/>
    </row>
    <row r="147" spans="1:9" ht="15" customHeight="1">
      <c r="A147" s="40" t="str">
        <f t="shared" si="12"/>
        <v/>
      </c>
      <c r="B147" s="35"/>
      <c r="C147" s="35"/>
      <c r="D147" s="35"/>
      <c r="E147" s="35"/>
      <c r="F147" s="41"/>
      <c r="G147" s="35"/>
      <c r="H147" s="35"/>
      <c r="I147" s="35"/>
    </row>
    <row r="148" spans="1:9" ht="15" customHeight="1">
      <c r="A148" s="40" t="str">
        <f t="shared" si="12"/>
        <v/>
      </c>
      <c r="B148" s="35"/>
      <c r="C148" s="35"/>
      <c r="D148" s="35"/>
      <c r="E148" s="35"/>
      <c r="F148" s="41"/>
      <c r="G148" s="35"/>
      <c r="H148" s="35"/>
      <c r="I148" s="35"/>
    </row>
    <row r="149" spans="1:9" ht="15" customHeight="1">
      <c r="A149" s="40" t="str">
        <f t="shared" si="12"/>
        <v/>
      </c>
      <c r="B149" s="35"/>
      <c r="C149" s="35"/>
      <c r="D149" s="35"/>
      <c r="E149" s="35"/>
      <c r="F149" s="41"/>
      <c r="G149" s="35"/>
      <c r="H149" s="35"/>
      <c r="I149" s="35"/>
    </row>
    <row r="150" spans="1:9" ht="15" customHeight="1">
      <c r="A150" s="40" t="str">
        <f t="shared" si="12"/>
        <v/>
      </c>
      <c r="B150" s="35"/>
      <c r="C150" s="35"/>
      <c r="D150" s="35"/>
      <c r="E150" s="35"/>
      <c r="F150" s="41"/>
      <c r="G150" s="35"/>
      <c r="H150" s="35"/>
      <c r="I150" s="35"/>
    </row>
    <row r="151" spans="1:9" ht="15" customHeight="1">
      <c r="A151" s="40" t="str">
        <f t="shared" si="12"/>
        <v/>
      </c>
      <c r="B151" s="35"/>
      <c r="C151" s="35"/>
      <c r="D151" s="35"/>
      <c r="E151" s="35"/>
      <c r="F151" s="41"/>
      <c r="G151" s="35"/>
      <c r="H151" s="35"/>
      <c r="I151" s="35"/>
    </row>
    <row r="152" spans="1:9" ht="15" customHeight="1">
      <c r="A152" s="40" t="str">
        <f t="shared" si="12"/>
        <v/>
      </c>
      <c r="B152" s="35"/>
      <c r="C152" s="35"/>
      <c r="D152" s="35"/>
      <c r="E152" s="35"/>
      <c r="F152" s="41"/>
      <c r="G152" s="35"/>
      <c r="H152" s="35"/>
      <c r="I152" s="35"/>
    </row>
    <row r="153" spans="1:9" ht="15" customHeight="1">
      <c r="A153" s="40" t="str">
        <f t="shared" si="12"/>
        <v/>
      </c>
      <c r="B153" s="35"/>
      <c r="C153" s="35"/>
      <c r="D153" s="35"/>
      <c r="E153" s="35"/>
      <c r="F153" s="41"/>
      <c r="G153" s="35"/>
      <c r="H153" s="35"/>
      <c r="I153" s="35"/>
    </row>
    <row r="154" spans="1:9" ht="15" customHeight="1">
      <c r="A154" s="40" t="str">
        <f t="shared" si="12"/>
        <v/>
      </c>
      <c r="B154" s="35"/>
      <c r="C154" s="35"/>
      <c r="D154" s="35"/>
      <c r="E154" s="35"/>
      <c r="F154" s="41"/>
      <c r="G154" s="35"/>
      <c r="H154" s="35"/>
      <c r="I154" s="35"/>
    </row>
    <row r="155" spans="1:9" ht="15" customHeight="1">
      <c r="A155" s="40" t="str">
        <f t="shared" si="12"/>
        <v/>
      </c>
      <c r="B155" s="35"/>
      <c r="C155" s="35"/>
      <c r="D155" s="35"/>
      <c r="E155" s="35"/>
      <c r="F155" s="41"/>
      <c r="G155" s="35"/>
      <c r="H155" s="35"/>
      <c r="I155" s="35"/>
    </row>
    <row r="156" spans="1:9" ht="15" customHeight="1">
      <c r="A156" s="40" t="str">
        <f t="shared" si="12"/>
        <v/>
      </c>
      <c r="B156" s="35"/>
      <c r="C156" s="35"/>
      <c r="D156" s="35"/>
      <c r="E156" s="35"/>
      <c r="F156" s="41"/>
      <c r="G156" s="35"/>
      <c r="H156" s="35"/>
      <c r="I156" s="35"/>
    </row>
    <row r="157" spans="1:9" ht="15" customHeight="1">
      <c r="A157" s="40" t="str">
        <f t="shared" si="12"/>
        <v/>
      </c>
      <c r="B157" s="35"/>
      <c r="C157" s="35"/>
      <c r="D157" s="35"/>
      <c r="E157" s="35"/>
      <c r="F157" s="41"/>
      <c r="G157" s="35"/>
      <c r="H157" s="35"/>
      <c r="I157" s="35"/>
    </row>
    <row r="158" spans="1:9" ht="15" customHeight="1">
      <c r="A158" s="40" t="str">
        <f t="shared" si="12"/>
        <v/>
      </c>
      <c r="B158" s="35"/>
      <c r="C158" s="35"/>
      <c r="D158" s="35"/>
      <c r="E158" s="35"/>
      <c r="F158" s="41"/>
      <c r="G158" s="35"/>
      <c r="H158" s="35"/>
      <c r="I158" s="35"/>
    </row>
    <row r="159" spans="1:9" ht="15" customHeight="1">
      <c r="A159" s="40" t="str">
        <f t="shared" si="12"/>
        <v/>
      </c>
      <c r="B159" s="35"/>
      <c r="C159" s="35"/>
      <c r="D159" s="35"/>
      <c r="E159" s="35"/>
      <c r="F159" s="41"/>
      <c r="G159" s="35"/>
      <c r="H159" s="35"/>
      <c r="I159" s="35"/>
    </row>
    <row r="162" spans="1:8" ht="19.5" customHeight="1">
      <c r="A162" s="289" t="s">
        <v>1627</v>
      </c>
      <c r="B162" s="262"/>
      <c r="C162" s="262"/>
      <c r="D162" s="262"/>
      <c r="E162" s="262"/>
      <c r="F162" s="262"/>
      <c r="G162" s="262"/>
      <c r="H162" s="262"/>
    </row>
    <row r="163" spans="1:8" ht="24" customHeight="1">
      <c r="A163" s="32" t="s">
        <v>1628</v>
      </c>
      <c r="B163" s="32" t="s">
        <v>1545</v>
      </c>
      <c r="C163" s="32" t="s">
        <v>1428</v>
      </c>
      <c r="D163" s="32" t="s">
        <v>1629</v>
      </c>
      <c r="E163" s="32" t="s">
        <v>1630</v>
      </c>
      <c r="F163" s="32" t="s">
        <v>1631</v>
      </c>
      <c r="G163" s="32" t="s">
        <v>872</v>
      </c>
      <c r="H163" s="32" t="s">
        <v>1503</v>
      </c>
    </row>
    <row r="164" spans="1:8" ht="15" customHeight="1">
      <c r="A164" s="40" t="str">
        <f t="shared" ref="A164:A203" si="13">IF(B164="","","APP"&amp;TEXT(ROW()-163,"00000"))</f>
        <v/>
      </c>
      <c r="B164" s="35"/>
      <c r="C164" s="41"/>
      <c r="D164" s="35"/>
      <c r="E164" s="42"/>
      <c r="F164" s="42"/>
      <c r="G164" s="35"/>
      <c r="H164" s="35"/>
    </row>
    <row r="165" spans="1:8" ht="15" customHeight="1">
      <c r="A165" s="40" t="str">
        <f t="shared" si="13"/>
        <v/>
      </c>
      <c r="B165" s="35"/>
      <c r="C165" s="41"/>
      <c r="D165" s="35"/>
      <c r="E165" s="42"/>
      <c r="F165" s="42"/>
      <c r="G165" s="35"/>
      <c r="H165" s="35"/>
    </row>
    <row r="166" spans="1:8" ht="15" customHeight="1">
      <c r="A166" s="40" t="str">
        <f t="shared" si="13"/>
        <v/>
      </c>
      <c r="B166" s="35"/>
      <c r="C166" s="41"/>
      <c r="D166" s="35"/>
      <c r="E166" s="42"/>
      <c r="F166" s="42"/>
      <c r="G166" s="35"/>
      <c r="H166" s="35"/>
    </row>
    <row r="167" spans="1:8" ht="15" customHeight="1">
      <c r="A167" s="40" t="str">
        <f t="shared" si="13"/>
        <v/>
      </c>
      <c r="B167" s="35"/>
      <c r="C167" s="41"/>
      <c r="D167" s="35"/>
      <c r="E167" s="42"/>
      <c r="F167" s="42"/>
      <c r="G167" s="35"/>
      <c r="H167" s="35"/>
    </row>
    <row r="168" spans="1:8" ht="15" customHeight="1">
      <c r="A168" s="40" t="str">
        <f t="shared" si="13"/>
        <v/>
      </c>
      <c r="B168" s="35"/>
      <c r="C168" s="41"/>
      <c r="D168" s="35"/>
      <c r="E168" s="42"/>
      <c r="F168" s="42"/>
      <c r="G168" s="35"/>
      <c r="H168" s="35"/>
    </row>
    <row r="169" spans="1:8" ht="15" customHeight="1">
      <c r="A169" s="40" t="str">
        <f t="shared" si="13"/>
        <v/>
      </c>
      <c r="B169" s="35"/>
      <c r="C169" s="41"/>
      <c r="D169" s="35"/>
      <c r="E169" s="42"/>
      <c r="F169" s="42"/>
      <c r="G169" s="35"/>
      <c r="H169" s="35"/>
    </row>
    <row r="170" spans="1:8" ht="15" customHeight="1">
      <c r="A170" s="40" t="str">
        <f t="shared" si="13"/>
        <v/>
      </c>
      <c r="B170" s="35"/>
      <c r="C170" s="41"/>
      <c r="D170" s="35"/>
      <c r="E170" s="42"/>
      <c r="F170" s="42"/>
      <c r="G170" s="35"/>
      <c r="H170" s="35"/>
    </row>
    <row r="171" spans="1:8" ht="15" customHeight="1">
      <c r="A171" s="40" t="str">
        <f t="shared" si="13"/>
        <v/>
      </c>
      <c r="B171" s="35"/>
      <c r="C171" s="41"/>
      <c r="D171" s="35"/>
      <c r="E171" s="42"/>
      <c r="F171" s="42"/>
      <c r="G171" s="35"/>
      <c r="H171" s="35"/>
    </row>
    <row r="172" spans="1:8" ht="15" customHeight="1">
      <c r="A172" s="40" t="str">
        <f t="shared" si="13"/>
        <v/>
      </c>
      <c r="B172" s="35"/>
      <c r="C172" s="41"/>
      <c r="D172" s="35"/>
      <c r="E172" s="42"/>
      <c r="F172" s="42"/>
      <c r="G172" s="35"/>
      <c r="H172" s="35"/>
    </row>
    <row r="173" spans="1:8" ht="15" customHeight="1">
      <c r="A173" s="40" t="str">
        <f t="shared" si="13"/>
        <v/>
      </c>
      <c r="B173" s="35"/>
      <c r="C173" s="41"/>
      <c r="D173" s="35"/>
      <c r="E173" s="42"/>
      <c r="F173" s="42"/>
      <c r="G173" s="35"/>
      <c r="H173" s="35"/>
    </row>
    <row r="174" spans="1:8" ht="15" customHeight="1">
      <c r="A174" s="40" t="str">
        <f t="shared" si="13"/>
        <v/>
      </c>
      <c r="B174" s="35"/>
      <c r="C174" s="41"/>
      <c r="D174" s="35"/>
      <c r="E174" s="42"/>
      <c r="F174" s="42"/>
      <c r="G174" s="35"/>
      <c r="H174" s="35"/>
    </row>
    <row r="175" spans="1:8" ht="15" customHeight="1">
      <c r="A175" s="40" t="str">
        <f t="shared" si="13"/>
        <v/>
      </c>
      <c r="B175" s="35"/>
      <c r="C175" s="41"/>
      <c r="D175" s="35"/>
      <c r="E175" s="42"/>
      <c r="F175" s="42"/>
      <c r="G175" s="35"/>
      <c r="H175" s="35"/>
    </row>
    <row r="176" spans="1:8" ht="15" customHeight="1">
      <c r="A176" s="40" t="str">
        <f t="shared" si="13"/>
        <v/>
      </c>
      <c r="B176" s="35"/>
      <c r="C176" s="41"/>
      <c r="D176" s="35"/>
      <c r="E176" s="42"/>
      <c r="F176" s="42"/>
      <c r="G176" s="35"/>
      <c r="H176" s="35"/>
    </row>
    <row r="177" spans="1:8" ht="15" customHeight="1">
      <c r="A177" s="40" t="str">
        <f t="shared" si="13"/>
        <v/>
      </c>
      <c r="B177" s="35"/>
      <c r="C177" s="41"/>
      <c r="D177" s="35"/>
      <c r="E177" s="42"/>
      <c r="F177" s="42"/>
      <c r="G177" s="35"/>
      <c r="H177" s="35"/>
    </row>
    <row r="178" spans="1:8" ht="15" customHeight="1">
      <c r="A178" s="40" t="str">
        <f t="shared" si="13"/>
        <v/>
      </c>
      <c r="B178" s="35"/>
      <c r="C178" s="41"/>
      <c r="D178" s="35"/>
      <c r="E178" s="42"/>
      <c r="F178" s="42"/>
      <c r="G178" s="35"/>
      <c r="H178" s="35"/>
    </row>
    <row r="179" spans="1:8" ht="15" customHeight="1">
      <c r="A179" s="40" t="str">
        <f t="shared" si="13"/>
        <v/>
      </c>
      <c r="B179" s="35"/>
      <c r="C179" s="41"/>
      <c r="D179" s="35"/>
      <c r="E179" s="42"/>
      <c r="F179" s="42"/>
      <c r="G179" s="35"/>
      <c r="H179" s="35"/>
    </row>
    <row r="180" spans="1:8" ht="15" customHeight="1">
      <c r="A180" s="40" t="str">
        <f t="shared" si="13"/>
        <v/>
      </c>
      <c r="B180" s="35"/>
      <c r="C180" s="41"/>
      <c r="D180" s="35"/>
      <c r="E180" s="42"/>
      <c r="F180" s="42"/>
      <c r="G180" s="35"/>
      <c r="H180" s="35"/>
    </row>
    <row r="181" spans="1:8" ht="15" customHeight="1">
      <c r="A181" s="40" t="str">
        <f t="shared" si="13"/>
        <v/>
      </c>
      <c r="B181" s="35"/>
      <c r="C181" s="41"/>
      <c r="D181" s="35"/>
      <c r="E181" s="42"/>
      <c r="F181" s="42"/>
      <c r="G181" s="35"/>
      <c r="H181" s="35"/>
    </row>
    <row r="182" spans="1:8" ht="15" customHeight="1">
      <c r="A182" s="40" t="str">
        <f t="shared" si="13"/>
        <v/>
      </c>
      <c r="B182" s="35"/>
      <c r="C182" s="41"/>
      <c r="D182" s="35"/>
      <c r="E182" s="42"/>
      <c r="F182" s="42"/>
      <c r="G182" s="35"/>
      <c r="H182" s="35"/>
    </row>
    <row r="183" spans="1:8" ht="15" customHeight="1">
      <c r="A183" s="40" t="str">
        <f t="shared" si="13"/>
        <v/>
      </c>
      <c r="B183" s="35"/>
      <c r="C183" s="41"/>
      <c r="D183" s="35"/>
      <c r="E183" s="42"/>
      <c r="F183" s="42"/>
      <c r="G183" s="35"/>
      <c r="H183" s="35"/>
    </row>
    <row r="184" spans="1:8" ht="15" customHeight="1">
      <c r="A184" s="40" t="str">
        <f t="shared" si="13"/>
        <v/>
      </c>
      <c r="B184" s="35"/>
      <c r="C184" s="41"/>
      <c r="D184" s="35"/>
      <c r="E184" s="42"/>
      <c r="F184" s="42"/>
      <c r="G184" s="35"/>
      <c r="H184" s="35"/>
    </row>
    <row r="185" spans="1:8" ht="15" customHeight="1">
      <c r="A185" s="40" t="str">
        <f t="shared" si="13"/>
        <v/>
      </c>
      <c r="B185" s="35"/>
      <c r="C185" s="41"/>
      <c r="D185" s="35"/>
      <c r="E185" s="42"/>
      <c r="F185" s="42"/>
      <c r="G185" s="35"/>
      <c r="H185" s="35"/>
    </row>
    <row r="186" spans="1:8" ht="15" customHeight="1">
      <c r="A186" s="40" t="str">
        <f t="shared" si="13"/>
        <v/>
      </c>
      <c r="B186" s="35"/>
      <c r="C186" s="41"/>
      <c r="D186" s="35"/>
      <c r="E186" s="42"/>
      <c r="F186" s="42"/>
      <c r="G186" s="35"/>
      <c r="H186" s="35"/>
    </row>
    <row r="187" spans="1:8" ht="15" customHeight="1">
      <c r="A187" s="40" t="str">
        <f t="shared" si="13"/>
        <v/>
      </c>
      <c r="B187" s="35"/>
      <c r="C187" s="41"/>
      <c r="D187" s="35"/>
      <c r="E187" s="42"/>
      <c r="F187" s="42"/>
      <c r="G187" s="35"/>
      <c r="H187" s="35"/>
    </row>
    <row r="188" spans="1:8" ht="15" customHeight="1">
      <c r="A188" s="40" t="str">
        <f t="shared" si="13"/>
        <v/>
      </c>
      <c r="B188" s="35"/>
      <c r="C188" s="41"/>
      <c r="D188" s="35"/>
      <c r="E188" s="42"/>
      <c r="F188" s="42"/>
      <c r="G188" s="35"/>
      <c r="H188" s="35"/>
    </row>
    <row r="189" spans="1:8" ht="15" customHeight="1">
      <c r="A189" s="40" t="str">
        <f t="shared" si="13"/>
        <v/>
      </c>
      <c r="B189" s="35"/>
      <c r="C189" s="41"/>
      <c r="D189" s="35"/>
      <c r="E189" s="42"/>
      <c r="F189" s="42"/>
      <c r="G189" s="35"/>
      <c r="H189" s="35"/>
    </row>
    <row r="190" spans="1:8" ht="15" customHeight="1">
      <c r="A190" s="40" t="str">
        <f t="shared" si="13"/>
        <v/>
      </c>
      <c r="B190" s="35"/>
      <c r="C190" s="41"/>
      <c r="D190" s="35"/>
      <c r="E190" s="42"/>
      <c r="F190" s="42"/>
      <c r="G190" s="35"/>
      <c r="H190" s="35"/>
    </row>
    <row r="191" spans="1:8" ht="15" customHeight="1">
      <c r="A191" s="40" t="str">
        <f t="shared" si="13"/>
        <v/>
      </c>
      <c r="B191" s="35"/>
      <c r="C191" s="41"/>
      <c r="D191" s="35"/>
      <c r="E191" s="42"/>
      <c r="F191" s="42"/>
      <c r="G191" s="35"/>
      <c r="H191" s="35"/>
    </row>
    <row r="192" spans="1:8" ht="15" customHeight="1">
      <c r="A192" s="40" t="str">
        <f t="shared" si="13"/>
        <v/>
      </c>
      <c r="B192" s="35"/>
      <c r="C192" s="41"/>
      <c r="D192" s="35"/>
      <c r="E192" s="42"/>
      <c r="F192" s="42"/>
      <c r="G192" s="35"/>
      <c r="H192" s="35"/>
    </row>
    <row r="193" spans="1:8" ht="15" customHeight="1">
      <c r="A193" s="40" t="str">
        <f t="shared" si="13"/>
        <v/>
      </c>
      <c r="B193" s="35"/>
      <c r="C193" s="41"/>
      <c r="D193" s="35"/>
      <c r="E193" s="42"/>
      <c r="F193" s="42"/>
      <c r="G193" s="35"/>
      <c r="H193" s="35"/>
    </row>
    <row r="194" spans="1:8" ht="15" customHeight="1">
      <c r="A194" s="40" t="str">
        <f t="shared" si="13"/>
        <v/>
      </c>
      <c r="B194" s="35"/>
      <c r="C194" s="41"/>
      <c r="D194" s="35"/>
      <c r="E194" s="42"/>
      <c r="F194" s="42"/>
      <c r="G194" s="35"/>
      <c r="H194" s="35"/>
    </row>
    <row r="195" spans="1:8" ht="15" customHeight="1">
      <c r="A195" s="40" t="str">
        <f t="shared" si="13"/>
        <v/>
      </c>
      <c r="B195" s="35"/>
      <c r="C195" s="41"/>
      <c r="D195" s="35"/>
      <c r="E195" s="42"/>
      <c r="F195" s="42"/>
      <c r="G195" s="35"/>
      <c r="H195" s="35"/>
    </row>
    <row r="196" spans="1:8" ht="15" customHeight="1">
      <c r="A196" s="40" t="str">
        <f t="shared" si="13"/>
        <v/>
      </c>
      <c r="B196" s="35"/>
      <c r="C196" s="41"/>
      <c r="D196" s="35"/>
      <c r="E196" s="42"/>
      <c r="F196" s="42"/>
      <c r="G196" s="35"/>
      <c r="H196" s="35"/>
    </row>
    <row r="197" spans="1:8" ht="15" customHeight="1">
      <c r="A197" s="40" t="str">
        <f t="shared" si="13"/>
        <v/>
      </c>
      <c r="B197" s="35"/>
      <c r="C197" s="41"/>
      <c r="D197" s="35"/>
      <c r="E197" s="42"/>
      <c r="F197" s="42"/>
      <c r="G197" s="35"/>
      <c r="H197" s="35"/>
    </row>
    <row r="198" spans="1:8" ht="15" customHeight="1">
      <c r="A198" s="40" t="str">
        <f t="shared" si="13"/>
        <v/>
      </c>
      <c r="B198" s="35"/>
      <c r="C198" s="41"/>
      <c r="D198" s="35"/>
      <c r="E198" s="42"/>
      <c r="F198" s="42"/>
      <c r="G198" s="35"/>
      <c r="H198" s="35"/>
    </row>
    <row r="199" spans="1:8" ht="15" customHeight="1">
      <c r="A199" s="40" t="str">
        <f t="shared" si="13"/>
        <v/>
      </c>
      <c r="B199" s="35"/>
      <c r="C199" s="41"/>
      <c r="D199" s="35"/>
      <c r="E199" s="42"/>
      <c r="F199" s="42"/>
      <c r="G199" s="35"/>
      <c r="H199" s="35"/>
    </row>
    <row r="200" spans="1:8" ht="15" customHeight="1">
      <c r="A200" s="40" t="str">
        <f t="shared" si="13"/>
        <v/>
      </c>
      <c r="B200" s="35"/>
      <c r="C200" s="41"/>
      <c r="D200" s="35"/>
      <c r="E200" s="42"/>
      <c r="F200" s="42"/>
      <c r="G200" s="35"/>
      <c r="H200" s="35"/>
    </row>
    <row r="201" spans="1:8" ht="15" customHeight="1">
      <c r="A201" s="40" t="str">
        <f t="shared" si="13"/>
        <v/>
      </c>
      <c r="B201" s="35"/>
      <c r="C201" s="41"/>
      <c r="D201" s="35"/>
      <c r="E201" s="42"/>
      <c r="F201" s="42"/>
      <c r="G201" s="35"/>
      <c r="H201" s="35"/>
    </row>
    <row r="202" spans="1:8" ht="15" customHeight="1">
      <c r="A202" s="40" t="str">
        <f t="shared" si="13"/>
        <v/>
      </c>
      <c r="B202" s="35"/>
      <c r="C202" s="41"/>
      <c r="D202" s="35"/>
      <c r="E202" s="42"/>
      <c r="F202" s="42"/>
      <c r="G202" s="35"/>
      <c r="H202" s="35"/>
    </row>
    <row r="203" spans="1:8" ht="15" customHeight="1">
      <c r="A203" s="40" t="str">
        <f t="shared" si="13"/>
        <v/>
      </c>
      <c r="B203" s="35"/>
      <c r="C203" s="41"/>
      <c r="D203" s="35"/>
      <c r="E203" s="42"/>
      <c r="F203" s="42"/>
      <c r="G203" s="35"/>
      <c r="H203" s="35"/>
    </row>
    <row r="206" spans="1:8" ht="21.75" customHeight="1">
      <c r="A206" s="287" t="s">
        <v>1632</v>
      </c>
      <c r="B206" s="262"/>
      <c r="C206" s="262"/>
      <c r="D206" s="262"/>
      <c r="E206" s="262"/>
      <c r="F206" s="262"/>
      <c r="G206" s="262"/>
      <c r="H206" s="262"/>
    </row>
  </sheetData>
  <mergeCells count="16">
    <mergeCell ref="A206:H206"/>
    <mergeCell ref="O2:P2"/>
    <mergeCell ref="A162:H162"/>
    <mergeCell ref="Q1:R1"/>
    <mergeCell ref="D2:E2"/>
    <mergeCell ref="A1:P1"/>
    <mergeCell ref="I2:J2"/>
    <mergeCell ref="A10:R10"/>
    <mergeCell ref="A54:BZ54"/>
    <mergeCell ref="A118:I118"/>
    <mergeCell ref="F2:H2"/>
    <mergeCell ref="G23:H23"/>
    <mergeCell ref="K2:N2"/>
    <mergeCell ref="A6:R6"/>
    <mergeCell ref="A2:C2"/>
    <mergeCell ref="A4:R4"/>
  </mergeCells>
  <dataValidations count="24">
    <dataValidation type="list" allowBlank="1" showErrorMessage="1" sqref="B56:B115">
      <formula1>"Individu,Menage,Famille,Groupe,Association,Communaute,Institution,Entrepreneur,Organisation communautaire,Autre"</formula1>
      <formula2>0</formula2>
    </dataValidation>
    <dataValidation type="list" allowBlank="1" showErrorMessage="1" sqref="C56:C115">
      <formula1>Liste_CategoriesBeneficiaires</formula1>
      <formula2>0</formula2>
    </dataValidation>
    <dataValidation type="list" allowBlank="1" showErrorMessage="1" sqref="H56:H115">
      <formula1>Liste_Sexe</formula1>
      <formula2>0</formula2>
    </dataValidation>
    <dataValidation type="list" allowBlank="1" showErrorMessage="1" sqref="L56:L115">
      <formula1>"Celibataire,Marie(e),Divorce(e),Veuf(ve),Union libre,Autre"</formula1>
      <formula2>0</formula2>
    </dataValidation>
    <dataValidation type="list" allowBlank="1" showErrorMessage="1" sqref="Q56:Q115 G120:G159 BT56:BT115 BH56:BK115 AI56:AI115 V56:AA115">
      <formula1>"Oui,Non"</formula1>
      <formula2>0</formula2>
    </dataValidation>
    <dataValidation type="list" allowBlank="1" showErrorMessage="1" sqref="AC56:AC115">
      <formula1>"Aucun,Primaire,Secondaire,Superieur,Alphabetisation,Non precise"</formula1>
      <formula2>0</formula2>
    </dataValidation>
    <dataValidation type="list" allowBlank="1" showErrorMessage="1" sqref="AD56:AD115">
      <formula1>"En emploi,Sans emploi,Etudiant/Eleve,Retraite,Inactif,Autre"</formula1>
      <formula2>0</formula2>
    </dataValidation>
    <dataValidation type="list" allowBlank="1" showErrorMessage="1" sqref="AG56:AG115">
      <formula1>"Salarie,Independant,Employeur,Aide familial,Autre"</formula1>
      <formula2>0</formula2>
    </dataValidation>
    <dataValidation type="list" allowBlank="1" showErrorMessage="1" sqref="AH56:AH115">
      <formula1>"Faible,Moyen,Eleve,Non precise"</formula1>
      <formula2>0</formula2>
    </dataValidation>
    <dataValidation type="list" allowBlank="1" showErrorMessage="1" sqref="AJ56:AJ115">
      <formula1>"Non entrepreneur,Porteur de projet,Entrepreneur debutant,Entrepreneur confirme"</formula1>
      <formula2>0</formula2>
    </dataValidation>
    <dataValidation type="list" allowBlank="1" showErrorMessage="1" sqref="AK56:AK115">
      <formula1>"Vulnerable,Stable,Aisee,Non precisee"</formula1>
      <formula2>0</formula2>
    </dataValidation>
    <dataValidation type="list" allowBlank="1" showErrorMessage="1" sqref="AL56:AL115">
      <formula1>Liste_ZonesGeo</formula1>
      <formula2>0</formula2>
    </dataValidation>
    <dataValidation type="list" allowBlank="1" showErrorMessage="1" sqref="AS56:AS115">
      <formula1>Liste_Departements</formula1>
      <formula2>0</formula2>
    </dataValidation>
    <dataValidation type="list" allowBlank="1" showErrorMessage="1" sqref="BA56:BA115">
      <formula1>Liste_Domaines</formula1>
      <formula2>0</formula2>
    </dataValidation>
    <dataValidation type="list" allowBlank="1" showErrorMessage="1" sqref="BC56:BC115">
      <formula1>Liste_StatutsGeneraux</formula1>
      <formula2>0</formula2>
    </dataValidation>
    <dataValidation type="list" allowBlank="1" showErrorMessage="1" sqref="BD56:BD115">
      <formula1>"Actif,En attente,Suspendu,Sorti du programme,Termine,Inactif,Decede,Autre"</formula1>
      <formula2>0</formula2>
    </dataValidation>
    <dataValidation type="list" allowBlank="1" showErrorMessage="1" sqref="BG56:BG115">
      <formula1>"Programme termine,Objectif atteint,Demenagement,Abandon,Ineligibilite,Deces,Transfert,Autre"</formula1>
      <formula2>0</formula2>
    </dataValidation>
    <dataValidation type="list" allowBlank="1" showErrorMessage="1" sqref="BL56:BL115">
      <formula1>"Enregistrement terrain,Enquete,Formulaire,Entretien,Partenaire,Importation,Autre"</formula1>
      <formula2>0</formula2>
    </dataValidation>
    <dataValidation type="list" allowBlank="1" showErrorMessage="1" sqref="BP56:BP115">
      <formula1>Liste_Fonctions</formula1>
      <formula2>0</formula2>
    </dataValidation>
    <dataValidation type="list" allowBlank="1" showErrorMessage="1" sqref="BQ56:BQ115">
      <formula1>"Terrain,Enquete,Formulaire papier,Formulaire numerique,Entretien,Autre"</formula1>
      <formula2>0</formula2>
    </dataValidation>
    <dataValidation type="list" allowBlank="1" showErrorMessage="1" sqref="BR56:BR115">
      <formula1>Liste_TypesDocuments</formula1>
      <formula2>0</formula2>
    </dataValidation>
    <dataValidation type="list" allowBlank="1" showErrorMessage="1" sqref="E120:E159">
      <formula1>Liste_TypesActivites</formula1>
      <formula2>0</formula2>
    </dataValidation>
    <dataValidation type="list" allowBlank="1" showErrorMessage="1" sqref="D164:D203">
      <formula1>"Formation,Accompagnement,Equipement,Materiel,Distribution,Appui financier,Appui technique,Sensibilisation,Conseil,Orientation,Autre"</formula1>
      <formula2>0</formula2>
    </dataValidation>
    <dataValidation type="list" errorTitle="Année invalide" error="Choisissez une année entre 2024 et 2033 ou Total." promptTitle="Filtre par année" prompt="Sélectionnez l’année à afficher dans la synthèse." sqref="N7">
      <formula1>"2024,2025,2026,2027,2028,2029,2030,2031,2032,2033,Total"</formula1>
      <formula2>0</formula2>
    </dataValidation>
  </dataValidations>
  <hyperlinks>
    <hyperlink ref="Q1" location="ONG!A1" display="-&gt; ONG"/>
    <hyperlink ref="Q2" location="PARAMETRES!A1" display="-&gt; PARAMETRES"/>
  </hyperlinks>
  <pageMargins left="0.75" right="0.75" top="1" bottom="1" header="0.511811023622047" footer="0.511811023622047"/>
  <pageSetup paperSize="9" orientation="portrait" horizontalDpi="300" verticalDpi="300"/>
  <tableParts count="3">
    <tablePart r:id="rId1"/>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435"/>
  <sheetViews>
    <sheetView showGridLines="0" topLeftCell="I1" zoomScaleNormal="100" workbookViewId="0">
      <pane ySplit="2" topLeftCell="A3" activePane="bottomLeft" state="frozen"/>
      <selection activeCell="I1" sqref="I1"/>
      <selection pane="bottomLeft" activeCell="L7" sqref="L7"/>
    </sheetView>
  </sheetViews>
  <sheetFormatPr baseColWidth="10" defaultColWidth="8.7109375" defaultRowHeight="15" customHeight="1"/>
  <cols>
    <col min="1" max="1" width="12" customWidth="1"/>
    <col min="2" max="2" width="20" customWidth="1"/>
    <col min="3" max="3" width="18" customWidth="1"/>
    <col min="4" max="4" width="14" customWidth="1"/>
    <col min="5" max="5" width="18" customWidth="1"/>
    <col min="6" max="6" width="28" customWidth="1"/>
    <col min="7" max="7" width="12" customWidth="1"/>
    <col min="8" max="8" width="24" customWidth="1"/>
    <col min="9" max="9" width="18" customWidth="1"/>
    <col min="10" max="10" width="10" customWidth="1"/>
    <col min="11" max="11" width="18" customWidth="1"/>
    <col min="12" max="12" width="14" customWidth="1"/>
    <col min="13" max="13" width="18" customWidth="1"/>
    <col min="14" max="14" width="20" customWidth="1"/>
    <col min="15" max="15" width="18" customWidth="1"/>
    <col min="16" max="16" width="14" customWidth="1"/>
    <col min="17" max="18" width="20" customWidth="1"/>
    <col min="19" max="19" width="12" customWidth="1"/>
    <col min="20" max="20" width="14" customWidth="1"/>
    <col min="21" max="22" width="16" customWidth="1"/>
    <col min="23" max="23" width="18" customWidth="1"/>
    <col min="24" max="27" width="14" customWidth="1"/>
    <col min="28" max="29" width="12" customWidth="1"/>
    <col min="30" max="30" width="18" customWidth="1"/>
    <col min="31" max="31" width="14" customWidth="1"/>
    <col min="32" max="37" width="16" customWidth="1"/>
    <col min="38" max="39" width="14" customWidth="1"/>
    <col min="40" max="44" width="12" customWidth="1"/>
    <col min="45" max="45" width="14" customWidth="1"/>
    <col min="46" max="47" width="12" customWidth="1"/>
    <col min="48" max="49" width="14" customWidth="1"/>
    <col min="50" max="54" width="12" customWidth="1"/>
    <col min="55" max="56" width="14" customWidth="1"/>
    <col min="57" max="57" width="12" customWidth="1"/>
    <col min="58" max="60" width="14" customWidth="1"/>
    <col min="61" max="61" width="28" customWidth="1"/>
  </cols>
  <sheetData>
    <row r="1" spans="1:18" ht="25.5" customHeight="1">
      <c r="A1" s="292" t="s">
        <v>1633</v>
      </c>
      <c r="B1" s="262"/>
      <c r="C1" s="262"/>
      <c r="D1" s="262"/>
      <c r="E1" s="262"/>
      <c r="F1" s="262"/>
      <c r="G1" s="262"/>
      <c r="H1" s="262"/>
      <c r="I1" s="262"/>
      <c r="J1" s="262"/>
      <c r="K1" s="262"/>
      <c r="L1" s="262"/>
      <c r="M1" s="262"/>
      <c r="N1" s="262"/>
      <c r="O1" s="262"/>
      <c r="P1" s="262"/>
      <c r="Q1" s="43" t="s">
        <v>1523</v>
      </c>
      <c r="R1" s="43" t="s">
        <v>1634</v>
      </c>
    </row>
    <row r="2" spans="1:18" ht="15.75" customHeight="1">
      <c r="A2" s="294" t="s">
        <v>1635</v>
      </c>
      <c r="B2" s="262"/>
      <c r="C2" s="262"/>
      <c r="D2" s="262"/>
      <c r="E2" s="262"/>
      <c r="F2" s="262"/>
      <c r="G2" s="262"/>
      <c r="H2" s="262"/>
      <c r="I2" s="262"/>
      <c r="J2" s="262"/>
      <c r="K2" s="262"/>
      <c r="L2" s="262"/>
      <c r="M2" s="262"/>
      <c r="N2" s="262"/>
      <c r="O2" s="262"/>
      <c r="P2" s="262"/>
      <c r="Q2" s="262"/>
      <c r="R2" s="262"/>
    </row>
    <row r="4" spans="1:18" ht="15" customHeight="1">
      <c r="A4" s="297" t="s">
        <v>1527</v>
      </c>
      <c r="B4" s="262"/>
      <c r="C4" s="262"/>
      <c r="D4" s="262"/>
      <c r="E4" s="262"/>
      <c r="F4" s="262"/>
      <c r="G4" s="262"/>
      <c r="H4" s="262"/>
      <c r="I4" s="262"/>
      <c r="J4" s="262"/>
      <c r="K4" s="262"/>
      <c r="L4" s="262"/>
      <c r="M4" s="262"/>
      <c r="N4" s="262"/>
      <c r="O4" s="262"/>
      <c r="P4" s="262"/>
      <c r="Q4" s="262"/>
      <c r="R4" s="262"/>
    </row>
    <row r="6" spans="1:18" ht="19.5" customHeight="1">
      <c r="A6" s="289" t="s">
        <v>1636</v>
      </c>
      <c r="B6" s="262"/>
      <c r="C6" s="262"/>
      <c r="D6" s="262"/>
      <c r="E6" s="262"/>
      <c r="F6" s="262"/>
      <c r="G6" s="262"/>
      <c r="H6" s="262"/>
      <c r="I6" s="262"/>
      <c r="J6" s="262"/>
      <c r="K6" s="262"/>
      <c r="L6" s="262"/>
      <c r="M6" s="262"/>
      <c r="N6" s="262"/>
      <c r="O6" s="262"/>
      <c r="P6" s="262"/>
      <c r="Q6" s="262"/>
      <c r="R6" s="262"/>
    </row>
    <row r="7" spans="1:18" ht="30" customHeight="1">
      <c r="A7" s="44" t="s">
        <v>1637</v>
      </c>
      <c r="B7" s="44" t="s">
        <v>211</v>
      </c>
      <c r="C7" s="44" t="s">
        <v>215</v>
      </c>
      <c r="D7" s="44" t="s">
        <v>1638</v>
      </c>
      <c r="E7" s="44" t="s">
        <v>13</v>
      </c>
      <c r="F7" s="44" t="s">
        <v>1639</v>
      </c>
      <c r="G7" s="44" t="s">
        <v>1640</v>
      </c>
      <c r="H7" s="44" t="s">
        <v>1641</v>
      </c>
      <c r="I7" s="44" t="s">
        <v>1642</v>
      </c>
      <c r="J7" s="44" t="s">
        <v>1643</v>
      </c>
      <c r="K7" s="44" t="s">
        <v>1519</v>
      </c>
      <c r="L7" s="45" t="s">
        <v>1282</v>
      </c>
    </row>
    <row r="8" spans="1:18" ht="21.75" customHeight="1">
      <c r="A8" s="46">
        <f>IF($L$7="Total",COUNTIF(A56:A95,"PROJ*"),COUNTIFS(A56:A95,"PROJ*",X56:X95,"&gt;="&amp;DATE(VALUE($L$7),1,1),X56:X95,"&lt;"&amp;DATE(VALUE($L$7)+1,1,1)))</f>
        <v>1</v>
      </c>
      <c r="B8" s="46">
        <f>IF($L$7="Total",COUNTIFS(A56:A95,"PROJ*",AD56:AD95,"En preparation"),COUNTIFS(A56:A95,"PROJ*",AD56:AD95,"En preparation",X56:X95,"&gt;="&amp;DATE(VALUE($L$7),1,1),X56:X95,"&lt;"&amp;DATE(VALUE($L$7)+1,1,1)))</f>
        <v>0</v>
      </c>
      <c r="C8" s="46">
        <f>IF($L$7="Total",COUNTIFS(A56:A95,"PROJ*",AD56:AD95,"Soumis"),COUNTIFS(A56:A95,"PROJ*",AD56:AD95,"Soumis",X56:X95,"&gt;="&amp;DATE(VALUE($L$7),1,1),X56:X95,"&lt;"&amp;DATE(VALUE($L$7)+1,1,1)))</f>
        <v>0</v>
      </c>
      <c r="D8" s="46">
        <f>IF($L$7="Total",COUNTIFS(A56:A95,"PROJ*",AD56:AD95,"Approuve"),COUNTIFS(A56:A95,"PROJ*",AD56:AD95,"Approuve",X56:X95,"&gt;="&amp;DATE(VALUE($L$7),1,1),X56:X95,"&lt;"&amp;DATE(VALUE($L$7)+1,1,1)))</f>
        <v>0</v>
      </c>
      <c r="E8" s="46">
        <f>IF($L$7="Total",COUNTIFS(A56:A95,"PROJ*",AD56:AD95,"En cours"),COUNTIFS(A56:A95,"PROJ*",AD56:AD95,"En cours",X56:X95,"&gt;="&amp;DATE(VALUE($L$7),1,1),X56:X95,"&lt;"&amp;DATE(VALUE($L$7)+1,1,1)))</f>
        <v>1</v>
      </c>
      <c r="F8" s="46">
        <f>IF($L$7="Total",COUNTIFS(A56:A95,"PROJ*",AD56:AD95,"Termine"),COUNTIFS(A56:A95,"PROJ*",AD56:AD95,"Termine",X56:X95,"&gt;="&amp;DATE(VALUE($L$7),1,1),X56:X95,"&lt;"&amp;DATE(VALUE($L$7)+1,1,1)))</f>
        <v>0</v>
      </c>
      <c r="G8" s="46">
        <f>IF($L$7="Total",COUNTIFS(A56:A95,"PROJ*",AD56:AD95,"Suspendu"),COUNTIFS(A56:A95,"PROJ*",AD56:AD95,"Suspendu",X56:X95,"&gt;="&amp;DATE(VALUE($L$7),1,1),X56:X95,"&lt;"&amp;DATE(VALUE($L$7)+1,1,1)))</f>
        <v>0</v>
      </c>
      <c r="H8" s="47">
        <f>IF($L$7="Total",SUM(AG56:AG95),SUMIFS(AG56:AG95,A56:A95,"PROJ*",X56:X95,"&gt;="&amp;DATE(VALUE($L$7),1,1),X56:X95,"&lt;"&amp;DATE(VALUE($L$7)+1,1,1)))</f>
        <v>11000000</v>
      </c>
      <c r="I8" s="47">
        <f>IF($L$7="Total",SUMIF(A56:A95,"PROJ*",AH56:AH95),SUMIFS(AH56:AH95,A56:A95,"PROJ*",X56:X95,"&gt;="&amp;DATE(VALUE($L$7),1,1),X56:X95,"&lt;"&amp;DATE(VALUE($L$7)+1,1,1)))</f>
        <v>6000000</v>
      </c>
      <c r="J8" s="48">
        <f>IF($L$7="Total",IFERROR(AVERAGEIF(A56:A95,"PROJ*",BD56:BD95),0),IFERROR(AVERAGEIFS(BD56:BD95,A56:A95,"PROJ*",X56:X95,"&gt;="&amp;DATE(VALUE($L$7),1,1),X56:X95,"&lt;"&amp;DATE(VALUE($L$7)+1,1,1)),0))</f>
        <v>0.45</v>
      </c>
    </row>
    <row r="10" spans="1:18" ht="19.5" customHeight="1">
      <c r="A10" s="289" t="s">
        <v>1644</v>
      </c>
      <c r="B10" s="262"/>
      <c r="C10" s="262"/>
      <c r="D10" s="262"/>
      <c r="E10" s="262"/>
      <c r="F10" s="262"/>
      <c r="G10" s="262"/>
      <c r="H10" s="262"/>
      <c r="I10" s="262"/>
      <c r="J10" s="262"/>
      <c r="K10" s="262"/>
      <c r="L10" s="262"/>
      <c r="M10" s="262"/>
      <c r="N10" s="262"/>
      <c r="O10" s="262"/>
      <c r="P10" s="262"/>
      <c r="Q10" s="262"/>
      <c r="R10" s="262"/>
    </row>
    <row r="11" spans="1:18" ht="23.25" customHeight="1">
      <c r="A11" s="32" t="s">
        <v>1645</v>
      </c>
      <c r="B11" s="32" t="s">
        <v>1646</v>
      </c>
      <c r="D11" s="32" t="s">
        <v>1540</v>
      </c>
      <c r="E11" s="32" t="s">
        <v>1646</v>
      </c>
    </row>
    <row r="12" spans="1:18" ht="15" customHeight="1">
      <c r="A12" s="33" t="s">
        <v>177</v>
      </c>
      <c r="B12" s="34">
        <f>COUNTIFS(tbl_Projets[Statut du projet],A12)</f>
        <v>0</v>
      </c>
      <c r="D12" s="33" t="s">
        <v>11</v>
      </c>
      <c r="E12" s="34">
        <f>COUNTIFS(tbl_Projets[Domaine d''intervention],D12)</f>
        <v>1</v>
      </c>
    </row>
    <row r="13" spans="1:18" ht="15" customHeight="1">
      <c r="A13" s="33" t="s">
        <v>177</v>
      </c>
      <c r="B13" s="34">
        <f>COUNTIFS(tbl_Projets[Statut du projet],A13)</f>
        <v>0</v>
      </c>
      <c r="D13" s="33" t="s">
        <v>15</v>
      </c>
      <c r="E13" s="34">
        <f>COUNTIFS(tbl_Projets[Domaine d''intervention],D13)</f>
        <v>0</v>
      </c>
    </row>
    <row r="14" spans="1:18" ht="15" customHeight="1">
      <c r="A14" s="33" t="s">
        <v>177</v>
      </c>
      <c r="B14" s="34">
        <f>COUNTIFS(tbl_Projets[Statut du projet],A14)</f>
        <v>0</v>
      </c>
      <c r="D14" s="33" t="s">
        <v>19</v>
      </c>
      <c r="E14" s="34">
        <f>COUNTIFS(tbl_Projets[Domaine d''intervention],D14)</f>
        <v>0</v>
      </c>
    </row>
    <row r="15" spans="1:18" ht="15" customHeight="1">
      <c r="A15" s="33" t="s">
        <v>177</v>
      </c>
      <c r="B15" s="34">
        <f>COUNTIFS(tbl_Projets[Statut du projet],A15)</f>
        <v>0</v>
      </c>
      <c r="D15" s="33" t="s">
        <v>24</v>
      </c>
      <c r="E15" s="34">
        <f>COUNTIFS(tbl_Projets[Domaine d''intervention],D15)</f>
        <v>0</v>
      </c>
    </row>
    <row r="16" spans="1:18" ht="15" customHeight="1">
      <c r="A16" s="33" t="s">
        <v>177</v>
      </c>
      <c r="B16" s="34">
        <f>COUNTIFS(tbl_Projets[Statut du projet],A16)</f>
        <v>0</v>
      </c>
      <c r="D16" s="33" t="s">
        <v>32</v>
      </c>
      <c r="E16" s="34">
        <f>COUNTIFS(tbl_Projets[Domaine d''intervention],D16)</f>
        <v>0</v>
      </c>
    </row>
    <row r="17" spans="1:5" ht="15" customHeight="1">
      <c r="A17" s="33" t="s">
        <v>177</v>
      </c>
      <c r="B17" s="34">
        <f>COUNTIFS(tbl_Projets[Statut du projet],A17)</f>
        <v>0</v>
      </c>
      <c r="D17" s="33" t="s">
        <v>34</v>
      </c>
      <c r="E17" s="34">
        <f>COUNTIFS(tbl_Projets[Domaine d''intervention],D17)</f>
        <v>0</v>
      </c>
    </row>
    <row r="18" spans="1:5" ht="15" customHeight="1">
      <c r="A18" s="33" t="s">
        <v>177</v>
      </c>
      <c r="B18" s="34">
        <f>COUNTIFS(tbl_Projets[Statut du projet],A18)</f>
        <v>0</v>
      </c>
      <c r="D18" s="33" t="s">
        <v>36</v>
      </c>
      <c r="E18" s="34">
        <f>COUNTIFS(tbl_Projets[Domaine d''intervention],D18)</f>
        <v>0</v>
      </c>
    </row>
    <row r="19" spans="1:5" ht="15" customHeight="1">
      <c r="A19" s="33" t="s">
        <v>177</v>
      </c>
      <c r="B19" s="34">
        <f>COUNTIFS(tbl_Projets[Statut du projet],A19)</f>
        <v>0</v>
      </c>
      <c r="D19" s="33" t="s">
        <v>38</v>
      </c>
      <c r="E19" s="34">
        <f>COUNTIFS(tbl_Projets[Domaine d''intervention],D19)</f>
        <v>0</v>
      </c>
    </row>
    <row r="20" spans="1:5" ht="15" customHeight="1">
      <c r="A20" s="33" t="s">
        <v>177</v>
      </c>
      <c r="B20" s="34">
        <f>COUNTIFS(tbl_Projets[Statut du projet],A20)</f>
        <v>0</v>
      </c>
      <c r="D20" s="33" t="s">
        <v>46</v>
      </c>
      <c r="E20" s="34">
        <f>COUNTIFS(tbl_Projets[Domaine d''intervention],D20)</f>
        <v>0</v>
      </c>
    </row>
    <row r="21" spans="1:5" ht="15" customHeight="1">
      <c r="A21" s="33" t="s">
        <v>177</v>
      </c>
      <c r="B21" s="34">
        <f>COUNTIFS(tbl_Projets[Statut du projet],A21)</f>
        <v>0</v>
      </c>
      <c r="D21" s="33" t="s">
        <v>48</v>
      </c>
      <c r="E21" s="34">
        <f>COUNTIFS(tbl_Projets[Domaine d''intervention],D21)</f>
        <v>0</v>
      </c>
    </row>
    <row r="22" spans="1:5" ht="15" customHeight="1">
      <c r="A22" s="33" t="s">
        <v>177</v>
      </c>
      <c r="B22" s="34">
        <f>COUNTIFS(tbl_Projets[Statut du projet],A22)</f>
        <v>0</v>
      </c>
      <c r="D22" s="33" t="s">
        <v>50</v>
      </c>
      <c r="E22" s="34">
        <f>COUNTIFS(tbl_Projets[Domaine d''intervention],D22)</f>
        <v>0</v>
      </c>
    </row>
    <row r="23" spans="1:5" ht="15" customHeight="1">
      <c r="A23" s="33" t="s">
        <v>177</v>
      </c>
      <c r="B23" s="34">
        <f>COUNTIFS(tbl_Projets[Statut du projet],A23)</f>
        <v>0</v>
      </c>
      <c r="D23" s="33" t="s">
        <v>52</v>
      </c>
      <c r="E23" s="34">
        <f>COUNTIFS(tbl_Projets[Domaine d''intervention],D23)</f>
        <v>0</v>
      </c>
    </row>
    <row r="24" spans="1:5" ht="15" customHeight="1">
      <c r="A24" s="33" t="s">
        <v>177</v>
      </c>
      <c r="B24" s="34">
        <f>COUNTIFS(tbl_Projets[Statut du projet],A24)</f>
        <v>0</v>
      </c>
      <c r="D24" s="33" t="s">
        <v>53</v>
      </c>
      <c r="E24" s="34">
        <f>COUNTIFS(tbl_Projets[Domaine d''intervention],D24)</f>
        <v>0</v>
      </c>
    </row>
    <row r="25" spans="1:5" ht="15" customHeight="1">
      <c r="A25" s="33" t="s">
        <v>177</v>
      </c>
      <c r="B25" s="34">
        <f>COUNTIFS(tbl_Projets[Statut du projet],A25)</f>
        <v>0</v>
      </c>
      <c r="D25" s="33" t="s">
        <v>60</v>
      </c>
      <c r="E25" s="34">
        <f>COUNTIFS(tbl_Projets[Domaine d''intervention],D25)</f>
        <v>0</v>
      </c>
    </row>
    <row r="26" spans="1:5" ht="15" customHeight="1">
      <c r="A26" s="33" t="s">
        <v>177</v>
      </c>
      <c r="B26" s="34">
        <f>COUNTIFS(tbl_Projets[Statut du projet],A26)</f>
        <v>0</v>
      </c>
      <c r="D26" s="33" t="s">
        <v>61</v>
      </c>
      <c r="E26" s="34">
        <f>COUNTIFS(tbl_Projets[Domaine d''intervention],D26)</f>
        <v>0</v>
      </c>
    </row>
    <row r="27" spans="1:5" ht="15" customHeight="1">
      <c r="D27" s="33" t="s">
        <v>62</v>
      </c>
      <c r="E27" s="34">
        <f>COUNTIFS(tbl_Projets[Domaine d''intervention],D27)</f>
        <v>0</v>
      </c>
    </row>
    <row r="28" spans="1:5" ht="15" customHeight="1">
      <c r="D28" s="33" t="s">
        <v>63</v>
      </c>
      <c r="E28" s="34">
        <f>COUNTIFS(tbl_Projets[Domaine d''intervention],D28)</f>
        <v>0</v>
      </c>
    </row>
    <row r="29" spans="1:5" ht="15" customHeight="1">
      <c r="D29" s="33" t="s">
        <v>64</v>
      </c>
      <c r="E29" s="34">
        <f>COUNTIFS(tbl_Projets[Domaine d''intervention],D29)</f>
        <v>0</v>
      </c>
    </row>
    <row r="30" spans="1:5" ht="15" customHeight="1">
      <c r="D30" s="33" t="s">
        <v>67</v>
      </c>
      <c r="E30" s="34">
        <f>COUNTIFS(tbl_Projets[Domaine d''intervention],D30)</f>
        <v>0</v>
      </c>
    </row>
    <row r="31" spans="1:5" ht="15" customHeight="1">
      <c r="D31" s="33" t="s">
        <v>68</v>
      </c>
      <c r="E31" s="34">
        <f>COUNTIFS(tbl_Projets[Domaine d''intervention],D31)</f>
        <v>0</v>
      </c>
    </row>
    <row r="32" spans="1:5" ht="15" customHeight="1">
      <c r="D32" s="33" t="s">
        <v>69</v>
      </c>
      <c r="E32" s="34">
        <f>COUNTIFS(tbl_Projets[Domaine d''intervention],D32)</f>
        <v>0</v>
      </c>
    </row>
    <row r="33" spans="4:5" ht="15" customHeight="1">
      <c r="D33" s="33" t="s">
        <v>70</v>
      </c>
      <c r="E33" s="34">
        <f>COUNTIFS(tbl_Projets[Domaine d''intervention],D33)</f>
        <v>0</v>
      </c>
    </row>
    <row r="34" spans="4:5" ht="15" customHeight="1">
      <c r="D34" s="33" t="s">
        <v>71</v>
      </c>
      <c r="E34" s="34">
        <f>COUNTIFS(tbl_Projets[Domaine d''intervention],D34)</f>
        <v>0</v>
      </c>
    </row>
    <row r="35" spans="4:5" ht="15" customHeight="1">
      <c r="D35" s="33" t="s">
        <v>72</v>
      </c>
      <c r="E35" s="34">
        <f>COUNTIFS(tbl_Projets[Domaine d''intervention],D35)</f>
        <v>0</v>
      </c>
    </row>
    <row r="36" spans="4:5" ht="15" customHeight="1">
      <c r="D36" s="33" t="s">
        <v>73</v>
      </c>
      <c r="E36" s="34">
        <f>COUNTIFS(tbl_Projets[Domaine d''intervention],D36)</f>
        <v>0</v>
      </c>
    </row>
    <row r="37" spans="4:5" ht="15" customHeight="1">
      <c r="D37" s="33" t="s">
        <v>74</v>
      </c>
      <c r="E37" s="34">
        <f>COUNTIFS(tbl_Projets[Domaine d''intervention],D37)</f>
        <v>0</v>
      </c>
    </row>
    <row r="38" spans="4:5" ht="15" customHeight="1">
      <c r="D38" s="33" t="s">
        <v>75</v>
      </c>
      <c r="E38" s="34">
        <f>COUNTIFS(tbl_Projets[Domaine d''intervention],D38)</f>
        <v>0</v>
      </c>
    </row>
    <row r="39" spans="4:5" ht="15" customHeight="1">
      <c r="D39" s="33" t="s">
        <v>76</v>
      </c>
      <c r="E39" s="34">
        <f>COUNTIFS(tbl_Projets[Domaine d''intervention],D39)</f>
        <v>0</v>
      </c>
    </row>
    <row r="40" spans="4:5" ht="15" customHeight="1">
      <c r="D40" s="33" t="s">
        <v>77</v>
      </c>
      <c r="E40" s="34">
        <f>COUNTIFS(tbl_Projets[Domaine d''intervention],D40)</f>
        <v>0</v>
      </c>
    </row>
    <row r="41" spans="4:5" ht="15" customHeight="1">
      <c r="D41" s="33" t="s">
        <v>78</v>
      </c>
      <c r="E41" s="34">
        <f>COUNTIFS(tbl_Projets[Domaine d''intervention],D41)</f>
        <v>0</v>
      </c>
    </row>
    <row r="42" spans="4:5" ht="15" customHeight="1">
      <c r="D42" s="33" t="s">
        <v>79</v>
      </c>
      <c r="E42" s="34">
        <f>COUNTIFS(tbl_Projets[Domaine d''intervention],D42)</f>
        <v>0</v>
      </c>
    </row>
    <row r="43" spans="4:5" ht="15" customHeight="1">
      <c r="D43" s="33" t="s">
        <v>80</v>
      </c>
      <c r="E43" s="34">
        <f>COUNTIFS(tbl_Projets[Domaine d''intervention],D43)</f>
        <v>0</v>
      </c>
    </row>
    <row r="44" spans="4:5" ht="15" customHeight="1">
      <c r="D44" s="33" t="s">
        <v>81</v>
      </c>
      <c r="E44" s="34">
        <f>COUNTIFS(tbl_Projets[Domaine d''intervention],D44)</f>
        <v>0</v>
      </c>
    </row>
    <row r="45" spans="4:5" ht="15" customHeight="1">
      <c r="D45" s="33" t="s">
        <v>83</v>
      </c>
      <c r="E45" s="34">
        <f>COUNTIFS(tbl_Projets[Domaine d''intervention],D45)</f>
        <v>0</v>
      </c>
    </row>
    <row r="46" spans="4:5" ht="15" customHeight="1">
      <c r="D46" s="33" t="s">
        <v>88</v>
      </c>
      <c r="E46" s="34">
        <f>COUNTIFS(tbl_Projets[Domaine d''intervention],D46)</f>
        <v>0</v>
      </c>
    </row>
    <row r="47" spans="4:5" ht="15" customHeight="1">
      <c r="D47" s="33" t="s">
        <v>91</v>
      </c>
      <c r="E47" s="34">
        <f>COUNTIFS(tbl_Projets[Domaine d''intervention],D47)</f>
        <v>0</v>
      </c>
    </row>
    <row r="48" spans="4:5" ht="15" customHeight="1">
      <c r="D48" s="33" t="s">
        <v>94</v>
      </c>
      <c r="E48" s="34">
        <f>COUNTIFS(tbl_Projets[Domaine d''intervention],D48)</f>
        <v>0</v>
      </c>
    </row>
    <row r="49" spans="1:61" ht="15" customHeight="1">
      <c r="D49" s="33" t="s">
        <v>96</v>
      </c>
      <c r="E49" s="34">
        <f>COUNTIFS(tbl_Projets[Domaine d''intervention],D49)</f>
        <v>0</v>
      </c>
    </row>
    <row r="50" spans="1:61" ht="15" customHeight="1">
      <c r="D50" s="33" t="s">
        <v>98</v>
      </c>
      <c r="E50" s="34">
        <f>COUNTIFS(tbl_Projets[Domaine d''intervention],D50)</f>
        <v>0</v>
      </c>
    </row>
    <row r="51" spans="1:61" ht="15" customHeight="1">
      <c r="D51" s="33" t="s">
        <v>100</v>
      </c>
      <c r="E51" s="34">
        <f>COUNTIFS(tbl_Projets[Domaine d''intervention],D51)</f>
        <v>0</v>
      </c>
    </row>
    <row r="54" spans="1:61" ht="19.5" customHeight="1">
      <c r="A54" s="289" t="s">
        <v>1647</v>
      </c>
      <c r="B54" s="262"/>
      <c r="C54" s="262"/>
      <c r="D54" s="262"/>
      <c r="E54" s="262"/>
      <c r="F54" s="262"/>
      <c r="G54" s="262"/>
      <c r="H54" s="262"/>
      <c r="I54" s="262"/>
      <c r="J54" s="262"/>
      <c r="K54" s="262"/>
      <c r="L54" s="262"/>
      <c r="M54" s="262"/>
      <c r="N54" s="262"/>
      <c r="O54" s="262"/>
      <c r="P54" s="262"/>
      <c r="Q54" s="262"/>
      <c r="R54" s="262"/>
      <c r="S54" s="262"/>
      <c r="T54" s="262"/>
      <c r="U54" s="262"/>
      <c r="V54" s="262"/>
      <c r="W54" s="262"/>
      <c r="X54" s="262"/>
      <c r="Y54" s="262"/>
      <c r="Z54" s="262"/>
      <c r="AA54" s="262"/>
      <c r="AB54" s="262"/>
      <c r="AC54" s="262"/>
      <c r="AD54" s="262"/>
      <c r="AE54" s="262"/>
      <c r="AF54" s="262"/>
      <c r="AG54" s="262"/>
      <c r="AH54" s="262"/>
      <c r="AI54" s="262"/>
      <c r="AJ54" s="262"/>
      <c r="AK54" s="262"/>
      <c r="AL54" s="262"/>
      <c r="AM54" s="262"/>
      <c r="AN54" s="262"/>
      <c r="AO54" s="262"/>
      <c r="AP54" s="262"/>
      <c r="AQ54" s="262"/>
      <c r="AR54" s="262"/>
      <c r="AS54" s="262"/>
      <c r="AT54" s="262"/>
      <c r="AU54" s="262"/>
      <c r="AV54" s="262"/>
      <c r="AW54" s="262"/>
      <c r="AX54" s="262"/>
      <c r="AY54" s="262"/>
      <c r="AZ54" s="262"/>
      <c r="BA54" s="262"/>
      <c r="BB54" s="262"/>
      <c r="BC54" s="262"/>
      <c r="BD54" s="262"/>
      <c r="BE54" s="262"/>
      <c r="BF54" s="262"/>
      <c r="BG54" s="262"/>
      <c r="BH54" s="262"/>
      <c r="BI54" s="262"/>
    </row>
    <row r="55" spans="1:61" ht="25.5" customHeight="1">
      <c r="A55" s="32" t="s">
        <v>1648</v>
      </c>
      <c r="B55" s="32" t="s">
        <v>1649</v>
      </c>
      <c r="C55" s="32" t="s">
        <v>1650</v>
      </c>
      <c r="D55" s="32" t="s">
        <v>1651</v>
      </c>
      <c r="E55" s="32" t="s">
        <v>1652</v>
      </c>
      <c r="F55" s="32" t="s">
        <v>1653</v>
      </c>
      <c r="G55" s="32" t="s">
        <v>1654</v>
      </c>
      <c r="H55" s="32" t="s">
        <v>1655</v>
      </c>
      <c r="I55" s="32" t="s">
        <v>1656</v>
      </c>
      <c r="J55" s="32" t="s">
        <v>1540</v>
      </c>
      <c r="K55" s="32" t="s">
        <v>1657</v>
      </c>
      <c r="L55" s="32" t="s">
        <v>1658</v>
      </c>
      <c r="M55" s="32" t="s">
        <v>1659</v>
      </c>
      <c r="N55" s="32" t="s">
        <v>1660</v>
      </c>
      <c r="O55" s="32" t="s">
        <v>1661</v>
      </c>
      <c r="P55" s="32" t="s">
        <v>1662</v>
      </c>
      <c r="Q55" s="32" t="s">
        <v>1663</v>
      </c>
      <c r="R55" s="32" t="s">
        <v>949</v>
      </c>
      <c r="S55" s="32" t="s">
        <v>941</v>
      </c>
      <c r="T55" s="32" t="s">
        <v>943</v>
      </c>
      <c r="U55" s="32" t="s">
        <v>945</v>
      </c>
      <c r="V55" s="32" t="s">
        <v>947</v>
      </c>
      <c r="W55" s="32" t="s">
        <v>1664</v>
      </c>
      <c r="X55" s="32" t="s">
        <v>1665</v>
      </c>
      <c r="Y55" s="32" t="s">
        <v>1666</v>
      </c>
      <c r="Z55" s="32" t="s">
        <v>1667</v>
      </c>
      <c r="AA55" s="32" t="s">
        <v>1668</v>
      </c>
      <c r="AB55" s="32" t="s">
        <v>1669</v>
      </c>
      <c r="AC55" s="32" t="s">
        <v>1670</v>
      </c>
      <c r="AD55" s="32" t="s">
        <v>1645</v>
      </c>
      <c r="AE55" s="32" t="s">
        <v>1671</v>
      </c>
      <c r="AF55" s="32" t="s">
        <v>1672</v>
      </c>
      <c r="AG55" s="32" t="s">
        <v>1673</v>
      </c>
      <c r="AH55" s="32" t="s">
        <v>1674</v>
      </c>
      <c r="AI55" s="32" t="s">
        <v>1675</v>
      </c>
      <c r="AJ55" s="32" t="s">
        <v>1676</v>
      </c>
      <c r="AK55" s="32" t="s">
        <v>1677</v>
      </c>
      <c r="AL55" s="32" t="s">
        <v>1678</v>
      </c>
      <c r="AM55" s="32" t="s">
        <v>1679</v>
      </c>
      <c r="AN55" s="32" t="s">
        <v>1680</v>
      </c>
      <c r="AO55" s="32" t="s">
        <v>1681</v>
      </c>
      <c r="AP55" s="32" t="s">
        <v>1682</v>
      </c>
      <c r="AQ55" s="32" t="s">
        <v>1683</v>
      </c>
      <c r="AR55" s="32" t="s">
        <v>1684</v>
      </c>
      <c r="AS55" s="32" t="s">
        <v>1685</v>
      </c>
      <c r="AT55" s="32" t="s">
        <v>1686</v>
      </c>
      <c r="AU55" s="32" t="s">
        <v>1687</v>
      </c>
      <c r="AV55" s="32" t="s">
        <v>1688</v>
      </c>
      <c r="AW55" s="32" t="s">
        <v>1689</v>
      </c>
      <c r="AX55" s="32" t="s">
        <v>1690</v>
      </c>
      <c r="AY55" s="32" t="s">
        <v>1691</v>
      </c>
      <c r="AZ55" s="32" t="s">
        <v>1692</v>
      </c>
      <c r="BA55" s="32" t="s">
        <v>1693</v>
      </c>
      <c r="BB55" s="32" t="s">
        <v>1694</v>
      </c>
      <c r="BC55" s="32" t="s">
        <v>1695</v>
      </c>
      <c r="BD55" s="32" t="s">
        <v>1696</v>
      </c>
      <c r="BE55" s="32" t="s">
        <v>1697</v>
      </c>
      <c r="BF55" s="32" t="s">
        <v>1698</v>
      </c>
      <c r="BG55" s="32" t="s">
        <v>1699</v>
      </c>
      <c r="BH55" s="32" t="s">
        <v>1700</v>
      </c>
      <c r="BI55" s="32" t="s">
        <v>1611</v>
      </c>
    </row>
    <row r="56" spans="1:61" ht="15" customHeight="1">
      <c r="A56" s="34" t="str">
        <f t="shared" ref="A56:A95" si="0">IF(C56="","","PROJ"&amp;TEXT(ROW()-55,"0000"))</f>
        <v>PROJ0001</v>
      </c>
      <c r="B56" s="37" t="s">
        <v>1701</v>
      </c>
      <c r="C56" s="37" t="s">
        <v>1618</v>
      </c>
      <c r="D56" s="37" t="s">
        <v>1702</v>
      </c>
      <c r="E56" s="49" t="s">
        <v>1703</v>
      </c>
      <c r="F56" s="49"/>
      <c r="G56" s="49"/>
      <c r="H56" s="49"/>
      <c r="I56" s="49"/>
      <c r="J56" s="37" t="s">
        <v>11</v>
      </c>
      <c r="K56" s="37" t="s">
        <v>343</v>
      </c>
      <c r="L56" s="49" t="s">
        <v>1704</v>
      </c>
      <c r="M56" s="37"/>
      <c r="N56" s="37" t="s">
        <v>1705</v>
      </c>
      <c r="O56" s="37" t="s">
        <v>1706</v>
      </c>
      <c r="P56" s="37"/>
      <c r="Q56" s="37"/>
      <c r="R56" s="37" t="s">
        <v>960</v>
      </c>
      <c r="S56" s="34" t="str">
        <f>IFERROR(INDEX(PARAMETRES!$B$536:$B$586,MATCH(R56,PARAMETRES!$J$536:$J$586,0)),"")</f>
        <v>Congo</v>
      </c>
      <c r="T56" s="34" t="str">
        <f>IFERROR(INDEX(PARAMETRES!$D$536:$D$586,MATCH(R56,PARAMETRES!$J$536:$J$586,0)),"")</f>
        <v>Brazzaville</v>
      </c>
      <c r="U56" s="34" t="str">
        <f>IFERROR(INDEX(PARAMETRES!$F$536:$F$586,MATCH(R56,PARAMETRES!$J$536:$J$586,0)),"")</f>
        <v>Brazzaville</v>
      </c>
      <c r="V56" s="34" t="str">
        <f>IFERROR(INDEX(PARAMETRES!$G$536:$G$586,MATCH(R56,PARAMETRES!$J$536:$J$586,0)),"")</f>
        <v>ARR02</v>
      </c>
      <c r="W56" s="37"/>
      <c r="X56" s="50">
        <v>45292</v>
      </c>
      <c r="Y56" s="50"/>
      <c r="Z56" s="50">
        <v>45657</v>
      </c>
      <c r="AA56" s="50"/>
      <c r="AB56" s="34">
        <f t="shared" ref="AB56:AB95" si="1">IF(OR(X56="",Z56=""),"",Z56-X56)</f>
        <v>365</v>
      </c>
      <c r="AC56" s="34" t="str">
        <f t="shared" ref="AC56:AC95" si="2">IF(OR(Y56="",AA56=""),"",AA56-Y56)</f>
        <v/>
      </c>
      <c r="AD56" s="37" t="s">
        <v>13</v>
      </c>
      <c r="AE56" s="37" t="s">
        <v>785</v>
      </c>
      <c r="AF56" s="51">
        <v>12000000</v>
      </c>
      <c r="AG56" s="51">
        <v>11000000</v>
      </c>
      <c r="AH56" s="52">
        <f>IF(A56="",0,SUMIF(tbl_Projets_Financements[ID Projet],A56,tbl_Projets_Financements[Montant recu]))</f>
        <v>6000000</v>
      </c>
      <c r="AI56" s="51">
        <v>4000000</v>
      </c>
      <c r="AJ56" s="52">
        <f t="shared" ref="AJ56:AJ95" si="3">IF(AG56="",0,AG56)-IF(AI56="",0,AI56)</f>
        <v>7000000</v>
      </c>
      <c r="AK56" s="52">
        <f t="shared" ref="AK56:AK95" si="4">AH56-AI56</f>
        <v>2000000</v>
      </c>
      <c r="AL56" s="53">
        <f t="shared" ref="AL56:AL95" si="5">IF(OR(AG56="",AG56=0),0,AI56/AG56)</f>
        <v>0.36363636363636365</v>
      </c>
      <c r="AM56" s="51">
        <v>100</v>
      </c>
      <c r="AN56" s="51">
        <v>50</v>
      </c>
      <c r="AO56" s="51">
        <v>50</v>
      </c>
      <c r="AP56" s="51"/>
      <c r="AQ56" s="51"/>
      <c r="AR56" s="51"/>
      <c r="AS56" s="34">
        <f>IF(A56="",0,COUNTIFS(tbl_Beneficiaires[ID projet],A56))</f>
        <v>1</v>
      </c>
      <c r="AT56" s="34">
        <f>IF(A56="",0,COUNTIFS(tbl_Beneficiaires[ID projet],A56,tbl_Beneficiaires[Sexe],"Feminin"))</f>
        <v>1</v>
      </c>
      <c r="AU56" s="34">
        <f>IF(A56="",0,COUNTIFS(tbl_Beneficiaires[ID projet],A56,tbl_Beneficiaires[Sexe],"Masculin"))</f>
        <v>0</v>
      </c>
      <c r="AV56" s="34">
        <f>IF(A56="",0,COUNTIFS(tbl_Beneficiaires[ID projet],A56,tbl_Beneficiaires[Menage vulnerable],"Oui"))</f>
        <v>0</v>
      </c>
      <c r="AW56" s="34">
        <f>IF(A56="",0,COUNTIFS(tbl_Beneficiaires[ID projet],A56,tbl_Beneficiaires[Handicap],"Oui"))</f>
        <v>0</v>
      </c>
      <c r="AX56" s="51">
        <v>10</v>
      </c>
      <c r="AY56" s="51">
        <v>9</v>
      </c>
      <c r="AZ56" s="51">
        <v>5</v>
      </c>
      <c r="BA56" s="51">
        <v>3</v>
      </c>
      <c r="BB56" s="51">
        <v>1</v>
      </c>
      <c r="BC56" s="53">
        <f t="shared" ref="BC56:BC95" si="6">IF(OR(AX56="",AX56=0),0,BA56/AX56)</f>
        <v>0.3</v>
      </c>
      <c r="BD56" s="54">
        <v>0.45</v>
      </c>
      <c r="BE56" s="34" t="str">
        <f t="shared" ref="BE56:BE95" ca="1" si="7">IF(A56="","",IF(AND(Z56&lt;&gt;"",TODAY()&gt;Z56,NOT(OR(AD56="Termine",AD56="Cloture",AD56="Annule",AD56="Non retenu"))),"OUI","NON"))</f>
        <v>OUI</v>
      </c>
      <c r="BF56" s="34" t="str">
        <f t="shared" ref="BF56:BF95" ca="1" si="8">IF(A56="","",IF(AND(Z56&lt;&gt;"",(Z56-TODAY())&gt;=0,(Z56-TODAY())&lt;=30,NOT(OR(AD56="Termine",AD56="Cloture",AD56="Annule",AD56="Non retenu"))),"OUI","NON"))</f>
        <v>NON</v>
      </c>
      <c r="BG56" s="34" t="str">
        <f t="shared" ref="BG56:BG95" si="9">IF(A56="","",IF(AI56&gt;AG56,"OUI","NON"))</f>
        <v>NON</v>
      </c>
      <c r="BH56" s="34" t="str">
        <f t="shared" ref="BH56:BH95" si="10">IF(A56="","",IF(AH56&lt;AG56,"OUI","NON"))</f>
        <v>OUI</v>
      </c>
      <c r="BI56" s="49"/>
    </row>
    <row r="57" spans="1:61" ht="15" customHeight="1">
      <c r="A57" s="34" t="str">
        <f t="shared" si="0"/>
        <v/>
      </c>
      <c r="B57" s="37"/>
      <c r="C57" s="37"/>
      <c r="D57" s="37"/>
      <c r="E57" s="49"/>
      <c r="F57" s="49"/>
      <c r="G57" s="49"/>
      <c r="H57" s="49"/>
      <c r="I57" s="49"/>
      <c r="J57" s="37"/>
      <c r="K57" s="37"/>
      <c r="L57" s="49"/>
      <c r="M57" s="37"/>
      <c r="N57" s="37"/>
      <c r="O57" s="37"/>
      <c r="P57" s="37"/>
      <c r="Q57" s="37"/>
      <c r="R57" s="37"/>
      <c r="S57" s="34" t="str">
        <f>IFERROR(INDEX(PARAMETRES!$B$536:$B$586,MATCH(R57,PARAMETRES!$J$536:$J$586,0)),"")</f>
        <v/>
      </c>
      <c r="T57" s="34" t="str">
        <f>IFERROR(INDEX(PARAMETRES!$D$536:$D$586,MATCH(R57,PARAMETRES!$J$536:$J$586,0)),"")</f>
        <v/>
      </c>
      <c r="U57" s="34" t="str">
        <f>IFERROR(INDEX(PARAMETRES!$F$536:$F$586,MATCH(R57,PARAMETRES!$J$536:$J$586,0)),"")</f>
        <v/>
      </c>
      <c r="V57" s="34" t="str">
        <f>IFERROR(INDEX(PARAMETRES!$G$536:$G$586,MATCH(R57,PARAMETRES!$J$536:$J$586,0)),"")</f>
        <v/>
      </c>
      <c r="W57" s="37"/>
      <c r="X57" s="50"/>
      <c r="Y57" s="50"/>
      <c r="Z57" s="50"/>
      <c r="AA57" s="50"/>
      <c r="AB57" s="34" t="str">
        <f t="shared" si="1"/>
        <v/>
      </c>
      <c r="AC57" s="34" t="str">
        <f t="shared" si="2"/>
        <v/>
      </c>
      <c r="AD57" s="37"/>
      <c r="AE57" s="37"/>
      <c r="AF57" s="51"/>
      <c r="AG57" s="51"/>
      <c r="AH57" s="52">
        <f>IF(A57="",0,SUMIF(tbl_Projets_Financements[ID Projet],A57,tbl_Projets_Financements[Montant recu]))</f>
        <v>0</v>
      </c>
      <c r="AI57" s="51"/>
      <c r="AJ57" s="52">
        <f t="shared" si="3"/>
        <v>0</v>
      </c>
      <c r="AK57" s="52">
        <f t="shared" si="4"/>
        <v>0</v>
      </c>
      <c r="AL57" s="53">
        <f t="shared" si="5"/>
        <v>0</v>
      </c>
      <c r="AM57" s="51"/>
      <c r="AN57" s="51"/>
      <c r="AO57" s="51"/>
      <c r="AP57" s="51"/>
      <c r="AQ57" s="51"/>
      <c r="AR57" s="51"/>
      <c r="AS57" s="34">
        <f>IF(A57="",0,COUNTIFS(tbl_Beneficiaires[ID projet],A57))</f>
        <v>0</v>
      </c>
      <c r="AT57" s="34">
        <f>IF(A57="",0,COUNTIFS(tbl_Beneficiaires[ID projet],A57,tbl_Beneficiaires[Sexe],"Feminin"))</f>
        <v>0</v>
      </c>
      <c r="AU57" s="34">
        <f>IF(A57="",0,COUNTIFS(tbl_Beneficiaires[ID projet],A57,tbl_Beneficiaires[Sexe],"Masculin"))</f>
        <v>0</v>
      </c>
      <c r="AV57" s="34">
        <f>IF(A57="",0,COUNTIFS(tbl_Beneficiaires[ID projet],A57,tbl_Beneficiaires[Menage vulnerable],"Oui"))</f>
        <v>0</v>
      </c>
      <c r="AW57" s="34">
        <f>IF(A57="",0,COUNTIFS(tbl_Beneficiaires[ID projet],A57,tbl_Beneficiaires[Handicap],"Oui"))</f>
        <v>0</v>
      </c>
      <c r="AX57" s="51"/>
      <c r="AY57" s="51"/>
      <c r="AZ57" s="51"/>
      <c r="BA57" s="51"/>
      <c r="BB57" s="51"/>
      <c r="BC57" s="53">
        <f t="shared" si="6"/>
        <v>0</v>
      </c>
      <c r="BD57" s="54"/>
      <c r="BE57" s="34" t="str">
        <f t="shared" ca="1" si="7"/>
        <v/>
      </c>
      <c r="BF57" s="34" t="str">
        <f t="shared" ca="1" si="8"/>
        <v/>
      </c>
      <c r="BG57" s="34" t="str">
        <f t="shared" si="9"/>
        <v/>
      </c>
      <c r="BH57" s="34" t="str">
        <f t="shared" si="10"/>
        <v/>
      </c>
      <c r="BI57" s="49"/>
    </row>
    <row r="58" spans="1:61" ht="15" customHeight="1">
      <c r="A58" s="34" t="str">
        <f t="shared" si="0"/>
        <v/>
      </c>
      <c r="B58" s="37"/>
      <c r="C58" s="37"/>
      <c r="D58" s="37"/>
      <c r="E58" s="49"/>
      <c r="F58" s="49"/>
      <c r="G58" s="49"/>
      <c r="H58" s="49"/>
      <c r="I58" s="49"/>
      <c r="J58" s="37"/>
      <c r="K58" s="37"/>
      <c r="L58" s="49"/>
      <c r="M58" s="37"/>
      <c r="N58" s="37"/>
      <c r="O58" s="37"/>
      <c r="P58" s="37"/>
      <c r="Q58" s="37"/>
      <c r="R58" s="37"/>
      <c r="S58" s="34" t="str">
        <f>IFERROR(INDEX(PARAMETRES!$B$536:$B$586,MATCH(R58,PARAMETRES!$J$536:$J$586,0)),"")</f>
        <v/>
      </c>
      <c r="T58" s="34" t="str">
        <f>IFERROR(INDEX(PARAMETRES!$D$536:$D$586,MATCH(R58,PARAMETRES!$J$536:$J$586,0)),"")</f>
        <v/>
      </c>
      <c r="U58" s="34" t="str">
        <f>IFERROR(INDEX(PARAMETRES!$F$536:$F$586,MATCH(R58,PARAMETRES!$J$536:$J$586,0)),"")</f>
        <v/>
      </c>
      <c r="V58" s="34" t="str">
        <f>IFERROR(INDEX(PARAMETRES!$G$536:$G$586,MATCH(R58,PARAMETRES!$J$536:$J$586,0)),"")</f>
        <v/>
      </c>
      <c r="W58" s="37"/>
      <c r="X58" s="50"/>
      <c r="Y58" s="50"/>
      <c r="Z58" s="50"/>
      <c r="AA58" s="50"/>
      <c r="AB58" s="34" t="str">
        <f t="shared" si="1"/>
        <v/>
      </c>
      <c r="AC58" s="34" t="str">
        <f t="shared" si="2"/>
        <v/>
      </c>
      <c r="AD58" s="37"/>
      <c r="AE58" s="37"/>
      <c r="AF58" s="51"/>
      <c r="AG58" s="51"/>
      <c r="AH58" s="52">
        <f>IF(A58="",0,SUMIF(tbl_Projets_Financements[ID Projet],A58,tbl_Projets_Financements[Montant recu]))</f>
        <v>0</v>
      </c>
      <c r="AI58" s="51"/>
      <c r="AJ58" s="52">
        <f t="shared" si="3"/>
        <v>0</v>
      </c>
      <c r="AK58" s="52">
        <f t="shared" si="4"/>
        <v>0</v>
      </c>
      <c r="AL58" s="53">
        <f t="shared" si="5"/>
        <v>0</v>
      </c>
      <c r="AM58" s="51"/>
      <c r="AN58" s="51"/>
      <c r="AO58" s="51"/>
      <c r="AP58" s="51"/>
      <c r="AQ58" s="51"/>
      <c r="AR58" s="51"/>
      <c r="AS58" s="34">
        <f>IF(A58="",0,COUNTIFS(tbl_Beneficiaires[ID projet],A58))</f>
        <v>0</v>
      </c>
      <c r="AT58" s="34">
        <f>IF(A58="",0,COUNTIFS(tbl_Beneficiaires[ID projet],A58,tbl_Beneficiaires[Sexe],"Feminin"))</f>
        <v>0</v>
      </c>
      <c r="AU58" s="34">
        <f>IF(A58="",0,COUNTIFS(tbl_Beneficiaires[ID projet],A58,tbl_Beneficiaires[Sexe],"Masculin"))</f>
        <v>0</v>
      </c>
      <c r="AV58" s="34">
        <f>IF(A58="",0,COUNTIFS(tbl_Beneficiaires[ID projet],A58,tbl_Beneficiaires[Menage vulnerable],"Oui"))</f>
        <v>0</v>
      </c>
      <c r="AW58" s="34">
        <f>IF(A58="",0,COUNTIFS(tbl_Beneficiaires[ID projet],A58,tbl_Beneficiaires[Handicap],"Oui"))</f>
        <v>0</v>
      </c>
      <c r="AX58" s="51"/>
      <c r="AY58" s="51"/>
      <c r="AZ58" s="51"/>
      <c r="BA58" s="51"/>
      <c r="BB58" s="51"/>
      <c r="BC58" s="53">
        <f t="shared" si="6"/>
        <v>0</v>
      </c>
      <c r="BD58" s="54"/>
      <c r="BE58" s="34" t="str">
        <f t="shared" ca="1" si="7"/>
        <v/>
      </c>
      <c r="BF58" s="34" t="str">
        <f t="shared" ca="1" si="8"/>
        <v/>
      </c>
      <c r="BG58" s="34" t="str">
        <f t="shared" si="9"/>
        <v/>
      </c>
      <c r="BH58" s="34" t="str">
        <f t="shared" si="10"/>
        <v/>
      </c>
      <c r="BI58" s="49"/>
    </row>
    <row r="59" spans="1:61" ht="15" customHeight="1">
      <c r="A59" s="34" t="str">
        <f t="shared" si="0"/>
        <v/>
      </c>
      <c r="B59" s="37"/>
      <c r="C59" s="37"/>
      <c r="D59" s="37"/>
      <c r="E59" s="49"/>
      <c r="F59" s="49"/>
      <c r="G59" s="49"/>
      <c r="H59" s="49"/>
      <c r="I59" s="49"/>
      <c r="J59" s="37"/>
      <c r="K59" s="37"/>
      <c r="L59" s="49"/>
      <c r="M59" s="37"/>
      <c r="N59" s="37"/>
      <c r="O59" s="37"/>
      <c r="P59" s="37"/>
      <c r="Q59" s="37"/>
      <c r="R59" s="37"/>
      <c r="S59" s="34" t="str">
        <f>IFERROR(INDEX(PARAMETRES!$B$536:$B$586,MATCH(R59,PARAMETRES!$J$536:$J$586,0)),"")</f>
        <v/>
      </c>
      <c r="T59" s="34" t="str">
        <f>IFERROR(INDEX(PARAMETRES!$D$536:$D$586,MATCH(R59,PARAMETRES!$J$536:$J$586,0)),"")</f>
        <v/>
      </c>
      <c r="U59" s="34" t="str">
        <f>IFERROR(INDEX(PARAMETRES!$F$536:$F$586,MATCH(R59,PARAMETRES!$J$536:$J$586,0)),"")</f>
        <v/>
      </c>
      <c r="V59" s="34" t="str">
        <f>IFERROR(INDEX(PARAMETRES!$G$536:$G$586,MATCH(R59,PARAMETRES!$J$536:$J$586,0)),"")</f>
        <v/>
      </c>
      <c r="W59" s="37"/>
      <c r="X59" s="50"/>
      <c r="Y59" s="50"/>
      <c r="Z59" s="50"/>
      <c r="AA59" s="50"/>
      <c r="AB59" s="34" t="str">
        <f t="shared" si="1"/>
        <v/>
      </c>
      <c r="AC59" s="34" t="str">
        <f t="shared" si="2"/>
        <v/>
      </c>
      <c r="AD59" s="37"/>
      <c r="AE59" s="37"/>
      <c r="AF59" s="51"/>
      <c r="AG59" s="51"/>
      <c r="AH59" s="52">
        <f>IF(A59="",0,SUMIF(tbl_Projets_Financements[ID Projet],A59,tbl_Projets_Financements[Montant recu]))</f>
        <v>0</v>
      </c>
      <c r="AI59" s="51"/>
      <c r="AJ59" s="52">
        <f t="shared" si="3"/>
        <v>0</v>
      </c>
      <c r="AK59" s="52">
        <f t="shared" si="4"/>
        <v>0</v>
      </c>
      <c r="AL59" s="53">
        <f t="shared" si="5"/>
        <v>0</v>
      </c>
      <c r="AM59" s="51"/>
      <c r="AN59" s="51"/>
      <c r="AO59" s="51"/>
      <c r="AP59" s="51"/>
      <c r="AQ59" s="51"/>
      <c r="AR59" s="51"/>
      <c r="AS59" s="34">
        <f>IF(A59="",0,COUNTIFS(tbl_Beneficiaires[ID projet],A59))</f>
        <v>0</v>
      </c>
      <c r="AT59" s="34">
        <f>IF(A59="",0,COUNTIFS(tbl_Beneficiaires[ID projet],A59,tbl_Beneficiaires[Sexe],"Feminin"))</f>
        <v>0</v>
      </c>
      <c r="AU59" s="34">
        <f>IF(A59="",0,COUNTIFS(tbl_Beneficiaires[ID projet],A59,tbl_Beneficiaires[Sexe],"Masculin"))</f>
        <v>0</v>
      </c>
      <c r="AV59" s="34">
        <f>IF(A59="",0,COUNTIFS(tbl_Beneficiaires[ID projet],A59,tbl_Beneficiaires[Menage vulnerable],"Oui"))</f>
        <v>0</v>
      </c>
      <c r="AW59" s="34">
        <f>IF(A59="",0,COUNTIFS(tbl_Beneficiaires[ID projet],A59,tbl_Beneficiaires[Handicap],"Oui"))</f>
        <v>0</v>
      </c>
      <c r="AX59" s="51"/>
      <c r="AY59" s="51"/>
      <c r="AZ59" s="51"/>
      <c r="BA59" s="51"/>
      <c r="BB59" s="51"/>
      <c r="BC59" s="53">
        <f t="shared" si="6"/>
        <v>0</v>
      </c>
      <c r="BD59" s="54"/>
      <c r="BE59" s="34" t="str">
        <f t="shared" ca="1" si="7"/>
        <v/>
      </c>
      <c r="BF59" s="34" t="str">
        <f t="shared" ca="1" si="8"/>
        <v/>
      </c>
      <c r="BG59" s="34" t="str">
        <f t="shared" si="9"/>
        <v/>
      </c>
      <c r="BH59" s="34" t="str">
        <f t="shared" si="10"/>
        <v/>
      </c>
      <c r="BI59" s="49"/>
    </row>
    <row r="60" spans="1:61" ht="15" customHeight="1">
      <c r="A60" s="34" t="str">
        <f t="shared" si="0"/>
        <v/>
      </c>
      <c r="B60" s="37"/>
      <c r="C60" s="37"/>
      <c r="D60" s="37"/>
      <c r="E60" s="49"/>
      <c r="F60" s="49"/>
      <c r="G60" s="49"/>
      <c r="H60" s="49"/>
      <c r="I60" s="49"/>
      <c r="J60" s="37"/>
      <c r="K60" s="37"/>
      <c r="L60" s="49"/>
      <c r="M60" s="37"/>
      <c r="N60" s="37"/>
      <c r="O60" s="37"/>
      <c r="P60" s="37"/>
      <c r="Q60" s="37"/>
      <c r="R60" s="37"/>
      <c r="S60" s="34" t="str">
        <f>IFERROR(INDEX(PARAMETRES!$B$536:$B$586,MATCH(R60,PARAMETRES!$J$536:$J$586,0)),"")</f>
        <v/>
      </c>
      <c r="T60" s="34" t="str">
        <f>IFERROR(INDEX(PARAMETRES!$D$536:$D$586,MATCH(R60,PARAMETRES!$J$536:$J$586,0)),"")</f>
        <v/>
      </c>
      <c r="U60" s="34" t="str">
        <f>IFERROR(INDEX(PARAMETRES!$F$536:$F$586,MATCH(R60,PARAMETRES!$J$536:$J$586,0)),"")</f>
        <v/>
      </c>
      <c r="V60" s="34" t="str">
        <f>IFERROR(INDEX(PARAMETRES!$G$536:$G$586,MATCH(R60,PARAMETRES!$J$536:$J$586,0)),"")</f>
        <v/>
      </c>
      <c r="W60" s="37"/>
      <c r="X60" s="50"/>
      <c r="Y60" s="50"/>
      <c r="Z60" s="50"/>
      <c r="AA60" s="50"/>
      <c r="AB60" s="34" t="str">
        <f t="shared" si="1"/>
        <v/>
      </c>
      <c r="AC60" s="34" t="str">
        <f t="shared" si="2"/>
        <v/>
      </c>
      <c r="AD60" s="37"/>
      <c r="AE60" s="37"/>
      <c r="AF60" s="51"/>
      <c r="AG60" s="51"/>
      <c r="AH60" s="52">
        <f>IF(A60="",0,SUMIF(tbl_Projets_Financements[ID Projet],A60,tbl_Projets_Financements[Montant recu]))</f>
        <v>0</v>
      </c>
      <c r="AI60" s="51"/>
      <c r="AJ60" s="52">
        <f t="shared" si="3"/>
        <v>0</v>
      </c>
      <c r="AK60" s="52">
        <f t="shared" si="4"/>
        <v>0</v>
      </c>
      <c r="AL60" s="53">
        <f t="shared" si="5"/>
        <v>0</v>
      </c>
      <c r="AM60" s="51"/>
      <c r="AN60" s="51"/>
      <c r="AO60" s="51"/>
      <c r="AP60" s="51"/>
      <c r="AQ60" s="51"/>
      <c r="AR60" s="51"/>
      <c r="AS60" s="34">
        <f>IF(A60="",0,COUNTIFS(tbl_Beneficiaires[ID projet],A60))</f>
        <v>0</v>
      </c>
      <c r="AT60" s="34">
        <f>IF(A60="",0,COUNTIFS(tbl_Beneficiaires[ID projet],A60,tbl_Beneficiaires[Sexe],"Feminin"))</f>
        <v>0</v>
      </c>
      <c r="AU60" s="34">
        <f>IF(A60="",0,COUNTIFS(tbl_Beneficiaires[ID projet],A60,tbl_Beneficiaires[Sexe],"Masculin"))</f>
        <v>0</v>
      </c>
      <c r="AV60" s="34">
        <f>IF(A60="",0,COUNTIFS(tbl_Beneficiaires[ID projet],A60,tbl_Beneficiaires[Menage vulnerable],"Oui"))</f>
        <v>0</v>
      </c>
      <c r="AW60" s="34">
        <f>IF(A60="",0,COUNTIFS(tbl_Beneficiaires[ID projet],A60,tbl_Beneficiaires[Handicap],"Oui"))</f>
        <v>0</v>
      </c>
      <c r="AX60" s="51"/>
      <c r="AY60" s="51"/>
      <c r="AZ60" s="51"/>
      <c r="BA60" s="51"/>
      <c r="BB60" s="51"/>
      <c r="BC60" s="53">
        <f t="shared" si="6"/>
        <v>0</v>
      </c>
      <c r="BD60" s="54"/>
      <c r="BE60" s="34" t="str">
        <f t="shared" ca="1" si="7"/>
        <v/>
      </c>
      <c r="BF60" s="34" t="str">
        <f t="shared" ca="1" si="8"/>
        <v/>
      </c>
      <c r="BG60" s="34" t="str">
        <f t="shared" si="9"/>
        <v/>
      </c>
      <c r="BH60" s="34" t="str">
        <f t="shared" si="10"/>
        <v/>
      </c>
      <c r="BI60" s="49"/>
    </row>
    <row r="61" spans="1:61" ht="15" customHeight="1">
      <c r="A61" s="34" t="str">
        <f t="shared" si="0"/>
        <v/>
      </c>
      <c r="B61" s="37"/>
      <c r="C61" s="37"/>
      <c r="D61" s="37"/>
      <c r="E61" s="49"/>
      <c r="F61" s="49"/>
      <c r="G61" s="49"/>
      <c r="H61" s="49"/>
      <c r="I61" s="49"/>
      <c r="J61" s="37"/>
      <c r="K61" s="37"/>
      <c r="L61" s="49"/>
      <c r="M61" s="37"/>
      <c r="N61" s="37"/>
      <c r="O61" s="37"/>
      <c r="P61" s="37"/>
      <c r="Q61" s="37"/>
      <c r="R61" s="37"/>
      <c r="S61" s="34" t="str">
        <f>IFERROR(INDEX(PARAMETRES!$B$536:$B$586,MATCH(R61,PARAMETRES!$J$536:$J$586,0)),"")</f>
        <v/>
      </c>
      <c r="T61" s="34" t="str">
        <f>IFERROR(INDEX(PARAMETRES!$D$536:$D$586,MATCH(R61,PARAMETRES!$J$536:$J$586,0)),"")</f>
        <v/>
      </c>
      <c r="U61" s="34" t="str">
        <f>IFERROR(INDEX(PARAMETRES!$F$536:$F$586,MATCH(R61,PARAMETRES!$J$536:$J$586,0)),"")</f>
        <v/>
      </c>
      <c r="V61" s="34" t="str">
        <f>IFERROR(INDEX(PARAMETRES!$G$536:$G$586,MATCH(R61,PARAMETRES!$J$536:$J$586,0)),"")</f>
        <v/>
      </c>
      <c r="W61" s="37"/>
      <c r="X61" s="50"/>
      <c r="Y61" s="50"/>
      <c r="Z61" s="50"/>
      <c r="AA61" s="50"/>
      <c r="AB61" s="34" t="str">
        <f t="shared" si="1"/>
        <v/>
      </c>
      <c r="AC61" s="34" t="str">
        <f t="shared" si="2"/>
        <v/>
      </c>
      <c r="AD61" s="37"/>
      <c r="AE61" s="37"/>
      <c r="AF61" s="51"/>
      <c r="AG61" s="51"/>
      <c r="AH61" s="52">
        <f>IF(A61="",0,SUMIF(tbl_Projets_Financements[ID Projet],A61,tbl_Projets_Financements[Montant recu]))</f>
        <v>0</v>
      </c>
      <c r="AI61" s="51"/>
      <c r="AJ61" s="52">
        <f t="shared" si="3"/>
        <v>0</v>
      </c>
      <c r="AK61" s="52">
        <f t="shared" si="4"/>
        <v>0</v>
      </c>
      <c r="AL61" s="53">
        <f t="shared" si="5"/>
        <v>0</v>
      </c>
      <c r="AM61" s="51"/>
      <c r="AN61" s="51"/>
      <c r="AO61" s="51"/>
      <c r="AP61" s="51"/>
      <c r="AQ61" s="51"/>
      <c r="AR61" s="51"/>
      <c r="AS61" s="34">
        <f>IF(A61="",0,COUNTIFS(tbl_Beneficiaires[ID projet],A61))</f>
        <v>0</v>
      </c>
      <c r="AT61" s="34">
        <f>IF(A61="",0,COUNTIFS(tbl_Beneficiaires[ID projet],A61,tbl_Beneficiaires[Sexe],"Feminin"))</f>
        <v>0</v>
      </c>
      <c r="AU61" s="34">
        <f>IF(A61="",0,COUNTIFS(tbl_Beneficiaires[ID projet],A61,tbl_Beneficiaires[Sexe],"Masculin"))</f>
        <v>0</v>
      </c>
      <c r="AV61" s="34">
        <f>IF(A61="",0,COUNTIFS(tbl_Beneficiaires[ID projet],A61,tbl_Beneficiaires[Menage vulnerable],"Oui"))</f>
        <v>0</v>
      </c>
      <c r="AW61" s="34">
        <f>IF(A61="",0,COUNTIFS(tbl_Beneficiaires[ID projet],A61,tbl_Beneficiaires[Handicap],"Oui"))</f>
        <v>0</v>
      </c>
      <c r="AX61" s="51"/>
      <c r="AY61" s="51"/>
      <c r="AZ61" s="51"/>
      <c r="BA61" s="51"/>
      <c r="BB61" s="51"/>
      <c r="BC61" s="53">
        <f t="shared" si="6"/>
        <v>0</v>
      </c>
      <c r="BD61" s="54"/>
      <c r="BE61" s="34" t="str">
        <f t="shared" ca="1" si="7"/>
        <v/>
      </c>
      <c r="BF61" s="34" t="str">
        <f t="shared" ca="1" si="8"/>
        <v/>
      </c>
      <c r="BG61" s="34" t="str">
        <f t="shared" si="9"/>
        <v/>
      </c>
      <c r="BH61" s="34" t="str">
        <f t="shared" si="10"/>
        <v/>
      </c>
      <c r="BI61" s="49"/>
    </row>
    <row r="62" spans="1:61" ht="15" customHeight="1">
      <c r="A62" s="34" t="str">
        <f t="shared" si="0"/>
        <v/>
      </c>
      <c r="B62" s="37"/>
      <c r="C62" s="37"/>
      <c r="D62" s="37"/>
      <c r="E62" s="49"/>
      <c r="F62" s="49"/>
      <c r="G62" s="49"/>
      <c r="H62" s="49"/>
      <c r="I62" s="49"/>
      <c r="J62" s="37"/>
      <c r="K62" s="37"/>
      <c r="L62" s="49"/>
      <c r="M62" s="37"/>
      <c r="N62" s="37"/>
      <c r="O62" s="37"/>
      <c r="P62" s="37"/>
      <c r="Q62" s="37"/>
      <c r="R62" s="37"/>
      <c r="S62" s="34" t="str">
        <f>IFERROR(INDEX(PARAMETRES!$B$536:$B$586,MATCH(R62,PARAMETRES!$J$536:$J$586,0)),"")</f>
        <v/>
      </c>
      <c r="T62" s="34" t="str">
        <f>IFERROR(INDEX(PARAMETRES!$D$536:$D$586,MATCH(R62,PARAMETRES!$J$536:$J$586,0)),"")</f>
        <v/>
      </c>
      <c r="U62" s="34" t="str">
        <f>IFERROR(INDEX(PARAMETRES!$F$536:$F$586,MATCH(R62,PARAMETRES!$J$536:$J$586,0)),"")</f>
        <v/>
      </c>
      <c r="V62" s="34" t="str">
        <f>IFERROR(INDEX(PARAMETRES!$G$536:$G$586,MATCH(R62,PARAMETRES!$J$536:$J$586,0)),"")</f>
        <v/>
      </c>
      <c r="W62" s="37"/>
      <c r="X62" s="50"/>
      <c r="Y62" s="50"/>
      <c r="Z62" s="50"/>
      <c r="AA62" s="50"/>
      <c r="AB62" s="34" t="str">
        <f t="shared" si="1"/>
        <v/>
      </c>
      <c r="AC62" s="34" t="str">
        <f t="shared" si="2"/>
        <v/>
      </c>
      <c r="AD62" s="37"/>
      <c r="AE62" s="37"/>
      <c r="AF62" s="51"/>
      <c r="AG62" s="51"/>
      <c r="AH62" s="52">
        <f>IF(A62="",0,SUMIF(tbl_Projets_Financements[ID Projet],A62,tbl_Projets_Financements[Montant recu]))</f>
        <v>0</v>
      </c>
      <c r="AI62" s="51"/>
      <c r="AJ62" s="52">
        <f t="shared" si="3"/>
        <v>0</v>
      </c>
      <c r="AK62" s="52">
        <f t="shared" si="4"/>
        <v>0</v>
      </c>
      <c r="AL62" s="53">
        <f t="shared" si="5"/>
        <v>0</v>
      </c>
      <c r="AM62" s="51"/>
      <c r="AN62" s="51"/>
      <c r="AO62" s="51"/>
      <c r="AP62" s="51"/>
      <c r="AQ62" s="51"/>
      <c r="AR62" s="51"/>
      <c r="AS62" s="34">
        <f>IF(A62="",0,COUNTIFS(tbl_Beneficiaires[ID projet],A62))</f>
        <v>0</v>
      </c>
      <c r="AT62" s="34">
        <f>IF(A62="",0,COUNTIFS(tbl_Beneficiaires[ID projet],A62,tbl_Beneficiaires[Sexe],"Feminin"))</f>
        <v>0</v>
      </c>
      <c r="AU62" s="34">
        <f>IF(A62="",0,COUNTIFS(tbl_Beneficiaires[ID projet],A62,tbl_Beneficiaires[Sexe],"Masculin"))</f>
        <v>0</v>
      </c>
      <c r="AV62" s="34">
        <f>IF(A62="",0,COUNTIFS(tbl_Beneficiaires[ID projet],A62,tbl_Beneficiaires[Menage vulnerable],"Oui"))</f>
        <v>0</v>
      </c>
      <c r="AW62" s="34">
        <f>IF(A62="",0,COUNTIFS(tbl_Beneficiaires[ID projet],A62,tbl_Beneficiaires[Handicap],"Oui"))</f>
        <v>0</v>
      </c>
      <c r="AX62" s="51"/>
      <c r="AY62" s="51"/>
      <c r="AZ62" s="51"/>
      <c r="BA62" s="51"/>
      <c r="BB62" s="51"/>
      <c r="BC62" s="53">
        <f t="shared" si="6"/>
        <v>0</v>
      </c>
      <c r="BD62" s="54"/>
      <c r="BE62" s="34" t="str">
        <f t="shared" ca="1" si="7"/>
        <v/>
      </c>
      <c r="BF62" s="34" t="str">
        <f t="shared" ca="1" si="8"/>
        <v/>
      </c>
      <c r="BG62" s="34" t="str">
        <f t="shared" si="9"/>
        <v/>
      </c>
      <c r="BH62" s="34" t="str">
        <f t="shared" si="10"/>
        <v/>
      </c>
      <c r="BI62" s="49"/>
    </row>
    <row r="63" spans="1:61" ht="15" customHeight="1">
      <c r="A63" s="34" t="str">
        <f t="shared" si="0"/>
        <v/>
      </c>
      <c r="B63" s="37"/>
      <c r="C63" s="37"/>
      <c r="D63" s="37"/>
      <c r="E63" s="49"/>
      <c r="F63" s="49"/>
      <c r="G63" s="49"/>
      <c r="H63" s="49"/>
      <c r="I63" s="49"/>
      <c r="J63" s="37"/>
      <c r="K63" s="37"/>
      <c r="L63" s="49"/>
      <c r="M63" s="37"/>
      <c r="N63" s="37"/>
      <c r="O63" s="37"/>
      <c r="P63" s="37"/>
      <c r="Q63" s="37"/>
      <c r="R63" s="37"/>
      <c r="S63" s="34" t="str">
        <f>IFERROR(INDEX(PARAMETRES!$B$536:$B$586,MATCH(R63,PARAMETRES!$J$536:$J$586,0)),"")</f>
        <v/>
      </c>
      <c r="T63" s="34" t="str">
        <f>IFERROR(INDEX(PARAMETRES!$D$536:$D$586,MATCH(R63,PARAMETRES!$J$536:$J$586,0)),"")</f>
        <v/>
      </c>
      <c r="U63" s="34" t="str">
        <f>IFERROR(INDEX(PARAMETRES!$F$536:$F$586,MATCH(R63,PARAMETRES!$J$536:$J$586,0)),"")</f>
        <v/>
      </c>
      <c r="V63" s="34" t="str">
        <f>IFERROR(INDEX(PARAMETRES!$G$536:$G$586,MATCH(R63,PARAMETRES!$J$536:$J$586,0)),"")</f>
        <v/>
      </c>
      <c r="W63" s="37"/>
      <c r="X63" s="50"/>
      <c r="Y63" s="50"/>
      <c r="Z63" s="50"/>
      <c r="AA63" s="50"/>
      <c r="AB63" s="34" t="str">
        <f t="shared" si="1"/>
        <v/>
      </c>
      <c r="AC63" s="34" t="str">
        <f t="shared" si="2"/>
        <v/>
      </c>
      <c r="AD63" s="37"/>
      <c r="AE63" s="37"/>
      <c r="AF63" s="51"/>
      <c r="AG63" s="51"/>
      <c r="AH63" s="52">
        <f>IF(A63="",0,SUMIF(tbl_Projets_Financements[ID Projet],A63,tbl_Projets_Financements[Montant recu]))</f>
        <v>0</v>
      </c>
      <c r="AI63" s="51"/>
      <c r="AJ63" s="52">
        <f t="shared" si="3"/>
        <v>0</v>
      </c>
      <c r="AK63" s="52">
        <f t="shared" si="4"/>
        <v>0</v>
      </c>
      <c r="AL63" s="53">
        <f t="shared" si="5"/>
        <v>0</v>
      </c>
      <c r="AM63" s="51"/>
      <c r="AN63" s="51"/>
      <c r="AO63" s="51"/>
      <c r="AP63" s="51"/>
      <c r="AQ63" s="51"/>
      <c r="AR63" s="51"/>
      <c r="AS63" s="34">
        <f>IF(A63="",0,COUNTIFS(tbl_Beneficiaires[ID projet],A63))</f>
        <v>0</v>
      </c>
      <c r="AT63" s="34">
        <f>IF(A63="",0,COUNTIFS(tbl_Beneficiaires[ID projet],A63,tbl_Beneficiaires[Sexe],"Feminin"))</f>
        <v>0</v>
      </c>
      <c r="AU63" s="34">
        <f>IF(A63="",0,COUNTIFS(tbl_Beneficiaires[ID projet],A63,tbl_Beneficiaires[Sexe],"Masculin"))</f>
        <v>0</v>
      </c>
      <c r="AV63" s="34">
        <f>IF(A63="",0,COUNTIFS(tbl_Beneficiaires[ID projet],A63,tbl_Beneficiaires[Menage vulnerable],"Oui"))</f>
        <v>0</v>
      </c>
      <c r="AW63" s="34">
        <f>IF(A63="",0,COUNTIFS(tbl_Beneficiaires[ID projet],A63,tbl_Beneficiaires[Handicap],"Oui"))</f>
        <v>0</v>
      </c>
      <c r="AX63" s="51"/>
      <c r="AY63" s="51"/>
      <c r="AZ63" s="51"/>
      <c r="BA63" s="51"/>
      <c r="BB63" s="51"/>
      <c r="BC63" s="53">
        <f t="shared" si="6"/>
        <v>0</v>
      </c>
      <c r="BD63" s="54"/>
      <c r="BE63" s="34" t="str">
        <f t="shared" ca="1" si="7"/>
        <v/>
      </c>
      <c r="BF63" s="34" t="str">
        <f t="shared" ca="1" si="8"/>
        <v/>
      </c>
      <c r="BG63" s="34" t="str">
        <f t="shared" si="9"/>
        <v/>
      </c>
      <c r="BH63" s="34" t="str">
        <f t="shared" si="10"/>
        <v/>
      </c>
      <c r="BI63" s="49"/>
    </row>
    <row r="64" spans="1:61" ht="15" customHeight="1">
      <c r="A64" s="34" t="str">
        <f t="shared" si="0"/>
        <v/>
      </c>
      <c r="B64" s="37"/>
      <c r="C64" s="37"/>
      <c r="D64" s="37"/>
      <c r="E64" s="49"/>
      <c r="F64" s="49"/>
      <c r="G64" s="49"/>
      <c r="H64" s="49"/>
      <c r="I64" s="49"/>
      <c r="J64" s="37"/>
      <c r="K64" s="37"/>
      <c r="L64" s="49"/>
      <c r="M64" s="37"/>
      <c r="N64" s="37"/>
      <c r="O64" s="37"/>
      <c r="P64" s="37"/>
      <c r="Q64" s="37"/>
      <c r="R64" s="37"/>
      <c r="S64" s="34" t="str">
        <f>IFERROR(INDEX(PARAMETRES!$B$536:$B$586,MATCH(R64,PARAMETRES!$J$536:$J$586,0)),"")</f>
        <v/>
      </c>
      <c r="T64" s="34" t="str">
        <f>IFERROR(INDEX(PARAMETRES!$D$536:$D$586,MATCH(R64,PARAMETRES!$J$536:$J$586,0)),"")</f>
        <v/>
      </c>
      <c r="U64" s="34" t="str">
        <f>IFERROR(INDEX(PARAMETRES!$F$536:$F$586,MATCH(R64,PARAMETRES!$J$536:$J$586,0)),"")</f>
        <v/>
      </c>
      <c r="V64" s="34" t="str">
        <f>IFERROR(INDEX(PARAMETRES!$G$536:$G$586,MATCH(R64,PARAMETRES!$J$536:$J$586,0)),"")</f>
        <v/>
      </c>
      <c r="W64" s="37"/>
      <c r="X64" s="50"/>
      <c r="Y64" s="50"/>
      <c r="Z64" s="50"/>
      <c r="AA64" s="50"/>
      <c r="AB64" s="34" t="str">
        <f t="shared" si="1"/>
        <v/>
      </c>
      <c r="AC64" s="34" t="str">
        <f t="shared" si="2"/>
        <v/>
      </c>
      <c r="AD64" s="37"/>
      <c r="AE64" s="37"/>
      <c r="AF64" s="51"/>
      <c r="AG64" s="51"/>
      <c r="AH64" s="52">
        <f>IF(A64="",0,SUMIF(tbl_Projets_Financements[ID Projet],A64,tbl_Projets_Financements[Montant recu]))</f>
        <v>0</v>
      </c>
      <c r="AI64" s="51"/>
      <c r="AJ64" s="52">
        <f t="shared" si="3"/>
        <v>0</v>
      </c>
      <c r="AK64" s="52">
        <f t="shared" si="4"/>
        <v>0</v>
      </c>
      <c r="AL64" s="53">
        <f t="shared" si="5"/>
        <v>0</v>
      </c>
      <c r="AM64" s="51"/>
      <c r="AN64" s="51"/>
      <c r="AO64" s="51"/>
      <c r="AP64" s="51"/>
      <c r="AQ64" s="51"/>
      <c r="AR64" s="51"/>
      <c r="AS64" s="34">
        <f>IF(A64="",0,COUNTIFS(tbl_Beneficiaires[ID projet],A64))</f>
        <v>0</v>
      </c>
      <c r="AT64" s="34">
        <f>IF(A64="",0,COUNTIFS(tbl_Beneficiaires[ID projet],A64,tbl_Beneficiaires[Sexe],"Feminin"))</f>
        <v>0</v>
      </c>
      <c r="AU64" s="34">
        <f>IF(A64="",0,COUNTIFS(tbl_Beneficiaires[ID projet],A64,tbl_Beneficiaires[Sexe],"Masculin"))</f>
        <v>0</v>
      </c>
      <c r="AV64" s="34">
        <f>IF(A64="",0,COUNTIFS(tbl_Beneficiaires[ID projet],A64,tbl_Beneficiaires[Menage vulnerable],"Oui"))</f>
        <v>0</v>
      </c>
      <c r="AW64" s="34">
        <f>IF(A64="",0,COUNTIFS(tbl_Beneficiaires[ID projet],A64,tbl_Beneficiaires[Handicap],"Oui"))</f>
        <v>0</v>
      </c>
      <c r="AX64" s="51"/>
      <c r="AY64" s="51"/>
      <c r="AZ64" s="51"/>
      <c r="BA64" s="51"/>
      <c r="BB64" s="51"/>
      <c r="BC64" s="53">
        <f t="shared" si="6"/>
        <v>0</v>
      </c>
      <c r="BD64" s="54"/>
      <c r="BE64" s="34" t="str">
        <f t="shared" ca="1" si="7"/>
        <v/>
      </c>
      <c r="BF64" s="34" t="str">
        <f t="shared" ca="1" si="8"/>
        <v/>
      </c>
      <c r="BG64" s="34" t="str">
        <f t="shared" si="9"/>
        <v/>
      </c>
      <c r="BH64" s="34" t="str">
        <f t="shared" si="10"/>
        <v/>
      </c>
      <c r="BI64" s="49"/>
    </row>
    <row r="65" spans="1:61" ht="15" customHeight="1">
      <c r="A65" s="34" t="str">
        <f t="shared" si="0"/>
        <v/>
      </c>
      <c r="B65" s="37"/>
      <c r="C65" s="37"/>
      <c r="D65" s="37"/>
      <c r="E65" s="49"/>
      <c r="F65" s="49"/>
      <c r="G65" s="49"/>
      <c r="H65" s="49"/>
      <c r="I65" s="49"/>
      <c r="J65" s="37"/>
      <c r="K65" s="37"/>
      <c r="L65" s="49"/>
      <c r="M65" s="37"/>
      <c r="N65" s="37"/>
      <c r="O65" s="37"/>
      <c r="P65" s="37"/>
      <c r="Q65" s="37"/>
      <c r="R65" s="37"/>
      <c r="S65" s="34" t="str">
        <f>IFERROR(INDEX(PARAMETRES!$B$536:$B$586,MATCH(R65,PARAMETRES!$J$536:$J$586,0)),"")</f>
        <v/>
      </c>
      <c r="T65" s="34" t="str">
        <f>IFERROR(INDEX(PARAMETRES!$D$536:$D$586,MATCH(R65,PARAMETRES!$J$536:$J$586,0)),"")</f>
        <v/>
      </c>
      <c r="U65" s="34" t="str">
        <f>IFERROR(INDEX(PARAMETRES!$F$536:$F$586,MATCH(R65,PARAMETRES!$J$536:$J$586,0)),"")</f>
        <v/>
      </c>
      <c r="V65" s="34" t="str">
        <f>IFERROR(INDEX(PARAMETRES!$G$536:$G$586,MATCH(R65,PARAMETRES!$J$536:$J$586,0)),"")</f>
        <v/>
      </c>
      <c r="W65" s="37"/>
      <c r="X65" s="50"/>
      <c r="Y65" s="50"/>
      <c r="Z65" s="50"/>
      <c r="AA65" s="50"/>
      <c r="AB65" s="34" t="str">
        <f t="shared" si="1"/>
        <v/>
      </c>
      <c r="AC65" s="34" t="str">
        <f t="shared" si="2"/>
        <v/>
      </c>
      <c r="AD65" s="37"/>
      <c r="AE65" s="37"/>
      <c r="AF65" s="51"/>
      <c r="AG65" s="51"/>
      <c r="AH65" s="52">
        <f>IF(A65="",0,SUMIF(tbl_Projets_Financements[ID Projet],A65,tbl_Projets_Financements[Montant recu]))</f>
        <v>0</v>
      </c>
      <c r="AI65" s="51"/>
      <c r="AJ65" s="52">
        <f t="shared" si="3"/>
        <v>0</v>
      </c>
      <c r="AK65" s="52">
        <f t="shared" si="4"/>
        <v>0</v>
      </c>
      <c r="AL65" s="53">
        <f t="shared" si="5"/>
        <v>0</v>
      </c>
      <c r="AM65" s="51"/>
      <c r="AN65" s="51"/>
      <c r="AO65" s="51"/>
      <c r="AP65" s="51"/>
      <c r="AQ65" s="51"/>
      <c r="AR65" s="51"/>
      <c r="AS65" s="34">
        <f>IF(A65="",0,COUNTIFS(tbl_Beneficiaires[ID projet],A65))</f>
        <v>0</v>
      </c>
      <c r="AT65" s="34">
        <f>IF(A65="",0,COUNTIFS(tbl_Beneficiaires[ID projet],A65,tbl_Beneficiaires[Sexe],"Feminin"))</f>
        <v>0</v>
      </c>
      <c r="AU65" s="34">
        <f>IF(A65="",0,COUNTIFS(tbl_Beneficiaires[ID projet],A65,tbl_Beneficiaires[Sexe],"Masculin"))</f>
        <v>0</v>
      </c>
      <c r="AV65" s="34">
        <f>IF(A65="",0,COUNTIFS(tbl_Beneficiaires[ID projet],A65,tbl_Beneficiaires[Menage vulnerable],"Oui"))</f>
        <v>0</v>
      </c>
      <c r="AW65" s="34">
        <f>IF(A65="",0,COUNTIFS(tbl_Beneficiaires[ID projet],A65,tbl_Beneficiaires[Handicap],"Oui"))</f>
        <v>0</v>
      </c>
      <c r="AX65" s="51"/>
      <c r="AY65" s="51"/>
      <c r="AZ65" s="51"/>
      <c r="BA65" s="51"/>
      <c r="BB65" s="51"/>
      <c r="BC65" s="53">
        <f t="shared" si="6"/>
        <v>0</v>
      </c>
      <c r="BD65" s="54"/>
      <c r="BE65" s="34" t="str">
        <f t="shared" ca="1" si="7"/>
        <v/>
      </c>
      <c r="BF65" s="34" t="str">
        <f t="shared" ca="1" si="8"/>
        <v/>
      </c>
      <c r="BG65" s="34" t="str">
        <f t="shared" si="9"/>
        <v/>
      </c>
      <c r="BH65" s="34" t="str">
        <f t="shared" si="10"/>
        <v/>
      </c>
      <c r="BI65" s="49"/>
    </row>
    <row r="66" spans="1:61" ht="15" customHeight="1">
      <c r="A66" s="34" t="str">
        <f t="shared" si="0"/>
        <v/>
      </c>
      <c r="B66" s="37"/>
      <c r="C66" s="37"/>
      <c r="D66" s="37"/>
      <c r="E66" s="49"/>
      <c r="F66" s="49"/>
      <c r="G66" s="49"/>
      <c r="H66" s="49"/>
      <c r="I66" s="49"/>
      <c r="J66" s="37"/>
      <c r="K66" s="37"/>
      <c r="L66" s="49"/>
      <c r="M66" s="37"/>
      <c r="N66" s="37"/>
      <c r="O66" s="37"/>
      <c r="P66" s="37"/>
      <c r="Q66" s="37"/>
      <c r="R66" s="37"/>
      <c r="S66" s="34" t="str">
        <f>IFERROR(INDEX(PARAMETRES!$B$536:$B$586,MATCH(R66,PARAMETRES!$J$536:$J$586,0)),"")</f>
        <v/>
      </c>
      <c r="T66" s="34" t="str">
        <f>IFERROR(INDEX(PARAMETRES!$D$536:$D$586,MATCH(R66,PARAMETRES!$J$536:$J$586,0)),"")</f>
        <v/>
      </c>
      <c r="U66" s="34" t="str">
        <f>IFERROR(INDEX(PARAMETRES!$F$536:$F$586,MATCH(R66,PARAMETRES!$J$536:$J$586,0)),"")</f>
        <v/>
      </c>
      <c r="V66" s="34" t="str">
        <f>IFERROR(INDEX(PARAMETRES!$G$536:$G$586,MATCH(R66,PARAMETRES!$J$536:$J$586,0)),"")</f>
        <v/>
      </c>
      <c r="W66" s="37"/>
      <c r="X66" s="50"/>
      <c r="Y66" s="50"/>
      <c r="Z66" s="50"/>
      <c r="AA66" s="50"/>
      <c r="AB66" s="34" t="str">
        <f t="shared" si="1"/>
        <v/>
      </c>
      <c r="AC66" s="34" t="str">
        <f t="shared" si="2"/>
        <v/>
      </c>
      <c r="AD66" s="37"/>
      <c r="AE66" s="37"/>
      <c r="AF66" s="51"/>
      <c r="AG66" s="51"/>
      <c r="AH66" s="52">
        <f>IF(A66="",0,SUMIF(tbl_Projets_Financements[ID Projet],A66,tbl_Projets_Financements[Montant recu]))</f>
        <v>0</v>
      </c>
      <c r="AI66" s="51"/>
      <c r="AJ66" s="52">
        <f t="shared" si="3"/>
        <v>0</v>
      </c>
      <c r="AK66" s="52">
        <f t="shared" si="4"/>
        <v>0</v>
      </c>
      <c r="AL66" s="53">
        <f t="shared" si="5"/>
        <v>0</v>
      </c>
      <c r="AM66" s="51"/>
      <c r="AN66" s="51"/>
      <c r="AO66" s="51"/>
      <c r="AP66" s="51"/>
      <c r="AQ66" s="51"/>
      <c r="AR66" s="51"/>
      <c r="AS66" s="34">
        <f>IF(A66="",0,COUNTIFS(tbl_Beneficiaires[ID projet],A66))</f>
        <v>0</v>
      </c>
      <c r="AT66" s="34">
        <f>IF(A66="",0,COUNTIFS(tbl_Beneficiaires[ID projet],A66,tbl_Beneficiaires[Sexe],"Feminin"))</f>
        <v>0</v>
      </c>
      <c r="AU66" s="34">
        <f>IF(A66="",0,COUNTIFS(tbl_Beneficiaires[ID projet],A66,tbl_Beneficiaires[Sexe],"Masculin"))</f>
        <v>0</v>
      </c>
      <c r="AV66" s="34">
        <f>IF(A66="",0,COUNTIFS(tbl_Beneficiaires[ID projet],A66,tbl_Beneficiaires[Menage vulnerable],"Oui"))</f>
        <v>0</v>
      </c>
      <c r="AW66" s="34">
        <f>IF(A66="",0,COUNTIFS(tbl_Beneficiaires[ID projet],A66,tbl_Beneficiaires[Handicap],"Oui"))</f>
        <v>0</v>
      </c>
      <c r="AX66" s="51"/>
      <c r="AY66" s="51"/>
      <c r="AZ66" s="51"/>
      <c r="BA66" s="51"/>
      <c r="BB66" s="51"/>
      <c r="BC66" s="53">
        <f t="shared" si="6"/>
        <v>0</v>
      </c>
      <c r="BD66" s="54"/>
      <c r="BE66" s="34" t="str">
        <f t="shared" ca="1" si="7"/>
        <v/>
      </c>
      <c r="BF66" s="34" t="str">
        <f t="shared" ca="1" si="8"/>
        <v/>
      </c>
      <c r="BG66" s="34" t="str">
        <f t="shared" si="9"/>
        <v/>
      </c>
      <c r="BH66" s="34" t="str">
        <f t="shared" si="10"/>
        <v/>
      </c>
      <c r="BI66" s="49"/>
    </row>
    <row r="67" spans="1:61" ht="15" customHeight="1">
      <c r="A67" s="34" t="str">
        <f t="shared" si="0"/>
        <v/>
      </c>
      <c r="B67" s="37"/>
      <c r="C67" s="37"/>
      <c r="D67" s="37"/>
      <c r="E67" s="49"/>
      <c r="F67" s="49"/>
      <c r="G67" s="49"/>
      <c r="H67" s="49"/>
      <c r="I67" s="49"/>
      <c r="J67" s="37"/>
      <c r="K67" s="37"/>
      <c r="L67" s="49"/>
      <c r="M67" s="37"/>
      <c r="N67" s="37"/>
      <c r="O67" s="37"/>
      <c r="P67" s="37"/>
      <c r="Q67" s="37"/>
      <c r="R67" s="37"/>
      <c r="S67" s="34" t="str">
        <f>IFERROR(INDEX(PARAMETRES!$B$536:$B$586,MATCH(R67,PARAMETRES!$J$536:$J$586,0)),"")</f>
        <v/>
      </c>
      <c r="T67" s="34" t="str">
        <f>IFERROR(INDEX(PARAMETRES!$D$536:$D$586,MATCH(R67,PARAMETRES!$J$536:$J$586,0)),"")</f>
        <v/>
      </c>
      <c r="U67" s="34" t="str">
        <f>IFERROR(INDEX(PARAMETRES!$F$536:$F$586,MATCH(R67,PARAMETRES!$J$536:$J$586,0)),"")</f>
        <v/>
      </c>
      <c r="V67" s="34" t="str">
        <f>IFERROR(INDEX(PARAMETRES!$G$536:$G$586,MATCH(R67,PARAMETRES!$J$536:$J$586,0)),"")</f>
        <v/>
      </c>
      <c r="W67" s="37"/>
      <c r="X67" s="50"/>
      <c r="Y67" s="50"/>
      <c r="Z67" s="50"/>
      <c r="AA67" s="50"/>
      <c r="AB67" s="34" t="str">
        <f t="shared" si="1"/>
        <v/>
      </c>
      <c r="AC67" s="34" t="str">
        <f t="shared" si="2"/>
        <v/>
      </c>
      <c r="AD67" s="37"/>
      <c r="AE67" s="37"/>
      <c r="AF67" s="51"/>
      <c r="AG67" s="51"/>
      <c r="AH67" s="52">
        <f>IF(A67="",0,SUMIF(tbl_Projets_Financements[ID Projet],A67,tbl_Projets_Financements[Montant recu]))</f>
        <v>0</v>
      </c>
      <c r="AI67" s="51"/>
      <c r="AJ67" s="52">
        <f t="shared" si="3"/>
        <v>0</v>
      </c>
      <c r="AK67" s="52">
        <f t="shared" si="4"/>
        <v>0</v>
      </c>
      <c r="AL67" s="53">
        <f t="shared" si="5"/>
        <v>0</v>
      </c>
      <c r="AM67" s="51"/>
      <c r="AN67" s="51"/>
      <c r="AO67" s="51"/>
      <c r="AP67" s="51"/>
      <c r="AQ67" s="51"/>
      <c r="AR67" s="51"/>
      <c r="AS67" s="34">
        <f>IF(A67="",0,COUNTIFS(tbl_Beneficiaires[ID projet],A67))</f>
        <v>0</v>
      </c>
      <c r="AT67" s="34">
        <f>IF(A67="",0,COUNTIFS(tbl_Beneficiaires[ID projet],A67,tbl_Beneficiaires[Sexe],"Feminin"))</f>
        <v>0</v>
      </c>
      <c r="AU67" s="34">
        <f>IF(A67="",0,COUNTIFS(tbl_Beneficiaires[ID projet],A67,tbl_Beneficiaires[Sexe],"Masculin"))</f>
        <v>0</v>
      </c>
      <c r="AV67" s="34">
        <f>IF(A67="",0,COUNTIFS(tbl_Beneficiaires[ID projet],A67,tbl_Beneficiaires[Menage vulnerable],"Oui"))</f>
        <v>0</v>
      </c>
      <c r="AW67" s="34">
        <f>IF(A67="",0,COUNTIFS(tbl_Beneficiaires[ID projet],A67,tbl_Beneficiaires[Handicap],"Oui"))</f>
        <v>0</v>
      </c>
      <c r="AX67" s="51"/>
      <c r="AY67" s="51"/>
      <c r="AZ67" s="51"/>
      <c r="BA67" s="51"/>
      <c r="BB67" s="51"/>
      <c r="BC67" s="53">
        <f t="shared" si="6"/>
        <v>0</v>
      </c>
      <c r="BD67" s="54"/>
      <c r="BE67" s="34" t="str">
        <f t="shared" ca="1" si="7"/>
        <v/>
      </c>
      <c r="BF67" s="34" t="str">
        <f t="shared" ca="1" si="8"/>
        <v/>
      </c>
      <c r="BG67" s="34" t="str">
        <f t="shared" si="9"/>
        <v/>
      </c>
      <c r="BH67" s="34" t="str">
        <f t="shared" si="10"/>
        <v/>
      </c>
      <c r="BI67" s="49"/>
    </row>
    <row r="68" spans="1:61" ht="15" customHeight="1">
      <c r="A68" s="34" t="str">
        <f t="shared" si="0"/>
        <v/>
      </c>
      <c r="B68" s="37"/>
      <c r="C68" s="37"/>
      <c r="D68" s="37"/>
      <c r="E68" s="49"/>
      <c r="F68" s="49"/>
      <c r="G68" s="49"/>
      <c r="H68" s="49"/>
      <c r="I68" s="49"/>
      <c r="J68" s="37"/>
      <c r="K68" s="37"/>
      <c r="L68" s="49"/>
      <c r="M68" s="37"/>
      <c r="N68" s="37"/>
      <c r="O68" s="37"/>
      <c r="P68" s="37"/>
      <c r="Q68" s="37"/>
      <c r="R68" s="37"/>
      <c r="S68" s="34" t="str">
        <f>IFERROR(INDEX(PARAMETRES!$B$536:$B$586,MATCH(R68,PARAMETRES!$J$536:$J$586,0)),"")</f>
        <v/>
      </c>
      <c r="T68" s="34" t="str">
        <f>IFERROR(INDEX(PARAMETRES!$D$536:$D$586,MATCH(R68,PARAMETRES!$J$536:$J$586,0)),"")</f>
        <v/>
      </c>
      <c r="U68" s="34" t="str">
        <f>IFERROR(INDEX(PARAMETRES!$F$536:$F$586,MATCH(R68,PARAMETRES!$J$536:$J$586,0)),"")</f>
        <v/>
      </c>
      <c r="V68" s="34" t="str">
        <f>IFERROR(INDEX(PARAMETRES!$G$536:$G$586,MATCH(R68,PARAMETRES!$J$536:$J$586,0)),"")</f>
        <v/>
      </c>
      <c r="W68" s="37"/>
      <c r="X68" s="50"/>
      <c r="Y68" s="50"/>
      <c r="Z68" s="50"/>
      <c r="AA68" s="50"/>
      <c r="AB68" s="34" t="str">
        <f t="shared" si="1"/>
        <v/>
      </c>
      <c r="AC68" s="34" t="str">
        <f t="shared" si="2"/>
        <v/>
      </c>
      <c r="AD68" s="37"/>
      <c r="AE68" s="37"/>
      <c r="AF68" s="51"/>
      <c r="AG68" s="51"/>
      <c r="AH68" s="52">
        <f>IF(A68="",0,SUMIF(tbl_Projets_Financements[ID Projet],A68,tbl_Projets_Financements[Montant recu]))</f>
        <v>0</v>
      </c>
      <c r="AI68" s="51"/>
      <c r="AJ68" s="52">
        <f t="shared" si="3"/>
        <v>0</v>
      </c>
      <c r="AK68" s="52">
        <f t="shared" si="4"/>
        <v>0</v>
      </c>
      <c r="AL68" s="53">
        <f t="shared" si="5"/>
        <v>0</v>
      </c>
      <c r="AM68" s="51"/>
      <c r="AN68" s="51"/>
      <c r="AO68" s="51"/>
      <c r="AP68" s="51"/>
      <c r="AQ68" s="51"/>
      <c r="AR68" s="51"/>
      <c r="AS68" s="34">
        <f>IF(A68="",0,COUNTIFS(tbl_Beneficiaires[ID projet],A68))</f>
        <v>0</v>
      </c>
      <c r="AT68" s="34">
        <f>IF(A68="",0,COUNTIFS(tbl_Beneficiaires[ID projet],A68,tbl_Beneficiaires[Sexe],"Feminin"))</f>
        <v>0</v>
      </c>
      <c r="AU68" s="34">
        <f>IF(A68="",0,COUNTIFS(tbl_Beneficiaires[ID projet],A68,tbl_Beneficiaires[Sexe],"Masculin"))</f>
        <v>0</v>
      </c>
      <c r="AV68" s="34">
        <f>IF(A68="",0,COUNTIFS(tbl_Beneficiaires[ID projet],A68,tbl_Beneficiaires[Menage vulnerable],"Oui"))</f>
        <v>0</v>
      </c>
      <c r="AW68" s="34">
        <f>IF(A68="",0,COUNTIFS(tbl_Beneficiaires[ID projet],A68,tbl_Beneficiaires[Handicap],"Oui"))</f>
        <v>0</v>
      </c>
      <c r="AX68" s="51"/>
      <c r="AY68" s="51"/>
      <c r="AZ68" s="51"/>
      <c r="BA68" s="51"/>
      <c r="BB68" s="51"/>
      <c r="BC68" s="53">
        <f t="shared" si="6"/>
        <v>0</v>
      </c>
      <c r="BD68" s="54"/>
      <c r="BE68" s="34" t="str">
        <f t="shared" ca="1" si="7"/>
        <v/>
      </c>
      <c r="BF68" s="34" t="str">
        <f t="shared" ca="1" si="8"/>
        <v/>
      </c>
      <c r="BG68" s="34" t="str">
        <f t="shared" si="9"/>
        <v/>
      </c>
      <c r="BH68" s="34" t="str">
        <f t="shared" si="10"/>
        <v/>
      </c>
      <c r="BI68" s="49"/>
    </row>
    <row r="69" spans="1:61" ht="15" customHeight="1">
      <c r="A69" s="34" t="str">
        <f t="shared" si="0"/>
        <v/>
      </c>
      <c r="B69" s="37"/>
      <c r="C69" s="37"/>
      <c r="D69" s="37"/>
      <c r="E69" s="49"/>
      <c r="F69" s="49"/>
      <c r="G69" s="49"/>
      <c r="H69" s="49"/>
      <c r="I69" s="49"/>
      <c r="J69" s="37"/>
      <c r="K69" s="37"/>
      <c r="L69" s="49"/>
      <c r="M69" s="37"/>
      <c r="N69" s="37"/>
      <c r="O69" s="37"/>
      <c r="P69" s="37"/>
      <c r="Q69" s="37"/>
      <c r="R69" s="37"/>
      <c r="S69" s="34" t="str">
        <f>IFERROR(INDEX(PARAMETRES!$B$536:$B$586,MATCH(R69,PARAMETRES!$J$536:$J$586,0)),"")</f>
        <v/>
      </c>
      <c r="T69" s="34" t="str">
        <f>IFERROR(INDEX(PARAMETRES!$D$536:$D$586,MATCH(R69,PARAMETRES!$J$536:$J$586,0)),"")</f>
        <v/>
      </c>
      <c r="U69" s="34" t="str">
        <f>IFERROR(INDEX(PARAMETRES!$F$536:$F$586,MATCH(R69,PARAMETRES!$J$536:$J$586,0)),"")</f>
        <v/>
      </c>
      <c r="V69" s="34" t="str">
        <f>IFERROR(INDEX(PARAMETRES!$G$536:$G$586,MATCH(R69,PARAMETRES!$J$536:$J$586,0)),"")</f>
        <v/>
      </c>
      <c r="W69" s="37"/>
      <c r="X69" s="50"/>
      <c r="Y69" s="50"/>
      <c r="Z69" s="50"/>
      <c r="AA69" s="50"/>
      <c r="AB69" s="34" t="str">
        <f t="shared" si="1"/>
        <v/>
      </c>
      <c r="AC69" s="34" t="str">
        <f t="shared" si="2"/>
        <v/>
      </c>
      <c r="AD69" s="37"/>
      <c r="AE69" s="37"/>
      <c r="AF69" s="51"/>
      <c r="AG69" s="51"/>
      <c r="AH69" s="52">
        <f>IF(A69="",0,SUMIF(tbl_Projets_Financements[ID Projet],A69,tbl_Projets_Financements[Montant recu]))</f>
        <v>0</v>
      </c>
      <c r="AI69" s="51"/>
      <c r="AJ69" s="52">
        <f t="shared" si="3"/>
        <v>0</v>
      </c>
      <c r="AK69" s="52">
        <f t="shared" si="4"/>
        <v>0</v>
      </c>
      <c r="AL69" s="53">
        <f t="shared" si="5"/>
        <v>0</v>
      </c>
      <c r="AM69" s="51"/>
      <c r="AN69" s="51"/>
      <c r="AO69" s="51"/>
      <c r="AP69" s="51"/>
      <c r="AQ69" s="51"/>
      <c r="AR69" s="51"/>
      <c r="AS69" s="34">
        <f>IF(A69="",0,COUNTIFS(tbl_Beneficiaires[ID projet],A69))</f>
        <v>0</v>
      </c>
      <c r="AT69" s="34">
        <f>IF(A69="",0,COUNTIFS(tbl_Beneficiaires[ID projet],A69,tbl_Beneficiaires[Sexe],"Feminin"))</f>
        <v>0</v>
      </c>
      <c r="AU69" s="34">
        <f>IF(A69="",0,COUNTIFS(tbl_Beneficiaires[ID projet],A69,tbl_Beneficiaires[Sexe],"Masculin"))</f>
        <v>0</v>
      </c>
      <c r="AV69" s="34">
        <f>IF(A69="",0,COUNTIFS(tbl_Beneficiaires[ID projet],A69,tbl_Beneficiaires[Menage vulnerable],"Oui"))</f>
        <v>0</v>
      </c>
      <c r="AW69" s="34">
        <f>IF(A69="",0,COUNTIFS(tbl_Beneficiaires[ID projet],A69,tbl_Beneficiaires[Handicap],"Oui"))</f>
        <v>0</v>
      </c>
      <c r="AX69" s="51"/>
      <c r="AY69" s="51"/>
      <c r="AZ69" s="51"/>
      <c r="BA69" s="51"/>
      <c r="BB69" s="51"/>
      <c r="BC69" s="53">
        <f t="shared" si="6"/>
        <v>0</v>
      </c>
      <c r="BD69" s="54"/>
      <c r="BE69" s="34" t="str">
        <f t="shared" ca="1" si="7"/>
        <v/>
      </c>
      <c r="BF69" s="34" t="str">
        <f t="shared" ca="1" si="8"/>
        <v/>
      </c>
      <c r="BG69" s="34" t="str">
        <f t="shared" si="9"/>
        <v/>
      </c>
      <c r="BH69" s="34" t="str">
        <f t="shared" si="10"/>
        <v/>
      </c>
      <c r="BI69" s="49"/>
    </row>
    <row r="70" spans="1:61" ht="15" customHeight="1">
      <c r="A70" s="34" t="str">
        <f t="shared" si="0"/>
        <v/>
      </c>
      <c r="B70" s="37"/>
      <c r="C70" s="37"/>
      <c r="D70" s="37"/>
      <c r="E70" s="49"/>
      <c r="F70" s="49"/>
      <c r="G70" s="49"/>
      <c r="H70" s="49"/>
      <c r="I70" s="49"/>
      <c r="J70" s="37"/>
      <c r="K70" s="37"/>
      <c r="L70" s="49"/>
      <c r="M70" s="37"/>
      <c r="N70" s="37"/>
      <c r="O70" s="37"/>
      <c r="P70" s="37"/>
      <c r="Q70" s="37"/>
      <c r="R70" s="37"/>
      <c r="S70" s="34" t="str">
        <f>IFERROR(INDEX(PARAMETRES!$B$536:$B$586,MATCH(R70,PARAMETRES!$J$536:$J$586,0)),"")</f>
        <v/>
      </c>
      <c r="T70" s="34" t="str">
        <f>IFERROR(INDEX(PARAMETRES!$D$536:$D$586,MATCH(R70,PARAMETRES!$J$536:$J$586,0)),"")</f>
        <v/>
      </c>
      <c r="U70" s="34" t="str">
        <f>IFERROR(INDEX(PARAMETRES!$F$536:$F$586,MATCH(R70,PARAMETRES!$J$536:$J$586,0)),"")</f>
        <v/>
      </c>
      <c r="V70" s="34" t="str">
        <f>IFERROR(INDEX(PARAMETRES!$G$536:$G$586,MATCH(R70,PARAMETRES!$J$536:$J$586,0)),"")</f>
        <v/>
      </c>
      <c r="W70" s="37"/>
      <c r="X70" s="50"/>
      <c r="Y70" s="50"/>
      <c r="Z70" s="50"/>
      <c r="AA70" s="50"/>
      <c r="AB70" s="34" t="str">
        <f t="shared" si="1"/>
        <v/>
      </c>
      <c r="AC70" s="34" t="str">
        <f t="shared" si="2"/>
        <v/>
      </c>
      <c r="AD70" s="37"/>
      <c r="AE70" s="37"/>
      <c r="AF70" s="51"/>
      <c r="AG70" s="51"/>
      <c r="AH70" s="52">
        <f>IF(A70="",0,SUMIF(tbl_Projets_Financements[ID Projet],A70,tbl_Projets_Financements[Montant recu]))</f>
        <v>0</v>
      </c>
      <c r="AI70" s="51"/>
      <c r="AJ70" s="52">
        <f t="shared" si="3"/>
        <v>0</v>
      </c>
      <c r="AK70" s="52">
        <f t="shared" si="4"/>
        <v>0</v>
      </c>
      <c r="AL70" s="53">
        <f t="shared" si="5"/>
        <v>0</v>
      </c>
      <c r="AM70" s="51"/>
      <c r="AN70" s="51"/>
      <c r="AO70" s="51"/>
      <c r="AP70" s="51"/>
      <c r="AQ70" s="51"/>
      <c r="AR70" s="51"/>
      <c r="AS70" s="34">
        <f>IF(A70="",0,COUNTIFS(tbl_Beneficiaires[ID projet],A70))</f>
        <v>0</v>
      </c>
      <c r="AT70" s="34">
        <f>IF(A70="",0,COUNTIFS(tbl_Beneficiaires[ID projet],A70,tbl_Beneficiaires[Sexe],"Feminin"))</f>
        <v>0</v>
      </c>
      <c r="AU70" s="34">
        <f>IF(A70="",0,COUNTIFS(tbl_Beneficiaires[ID projet],A70,tbl_Beneficiaires[Sexe],"Masculin"))</f>
        <v>0</v>
      </c>
      <c r="AV70" s="34">
        <f>IF(A70="",0,COUNTIFS(tbl_Beneficiaires[ID projet],A70,tbl_Beneficiaires[Menage vulnerable],"Oui"))</f>
        <v>0</v>
      </c>
      <c r="AW70" s="34">
        <f>IF(A70="",0,COUNTIFS(tbl_Beneficiaires[ID projet],A70,tbl_Beneficiaires[Handicap],"Oui"))</f>
        <v>0</v>
      </c>
      <c r="AX70" s="51"/>
      <c r="AY70" s="51"/>
      <c r="AZ70" s="51"/>
      <c r="BA70" s="51"/>
      <c r="BB70" s="51"/>
      <c r="BC70" s="53">
        <f t="shared" si="6"/>
        <v>0</v>
      </c>
      <c r="BD70" s="54"/>
      <c r="BE70" s="34" t="str">
        <f t="shared" ca="1" si="7"/>
        <v/>
      </c>
      <c r="BF70" s="34" t="str">
        <f t="shared" ca="1" si="8"/>
        <v/>
      </c>
      <c r="BG70" s="34" t="str">
        <f t="shared" si="9"/>
        <v/>
      </c>
      <c r="BH70" s="34" t="str">
        <f t="shared" si="10"/>
        <v/>
      </c>
      <c r="BI70" s="49"/>
    </row>
    <row r="71" spans="1:61" ht="15" customHeight="1">
      <c r="A71" s="34" t="str">
        <f t="shared" si="0"/>
        <v/>
      </c>
      <c r="B71" s="37"/>
      <c r="C71" s="37"/>
      <c r="D71" s="37"/>
      <c r="E71" s="49"/>
      <c r="F71" s="49"/>
      <c r="G71" s="49"/>
      <c r="H71" s="49"/>
      <c r="I71" s="49"/>
      <c r="J71" s="37"/>
      <c r="K71" s="37"/>
      <c r="L71" s="49"/>
      <c r="M71" s="37"/>
      <c r="N71" s="37"/>
      <c r="O71" s="37"/>
      <c r="P71" s="37"/>
      <c r="Q71" s="37"/>
      <c r="R71" s="37"/>
      <c r="S71" s="34" t="str">
        <f>IFERROR(INDEX(PARAMETRES!$B$536:$B$586,MATCH(R71,PARAMETRES!$J$536:$J$586,0)),"")</f>
        <v/>
      </c>
      <c r="T71" s="34" t="str">
        <f>IFERROR(INDEX(PARAMETRES!$D$536:$D$586,MATCH(R71,PARAMETRES!$J$536:$J$586,0)),"")</f>
        <v/>
      </c>
      <c r="U71" s="34" t="str">
        <f>IFERROR(INDEX(PARAMETRES!$F$536:$F$586,MATCH(R71,PARAMETRES!$J$536:$J$586,0)),"")</f>
        <v/>
      </c>
      <c r="V71" s="34" t="str">
        <f>IFERROR(INDEX(PARAMETRES!$G$536:$G$586,MATCH(R71,PARAMETRES!$J$536:$J$586,0)),"")</f>
        <v/>
      </c>
      <c r="W71" s="37"/>
      <c r="X71" s="50"/>
      <c r="Y71" s="50"/>
      <c r="Z71" s="50"/>
      <c r="AA71" s="50"/>
      <c r="AB71" s="34" t="str">
        <f t="shared" si="1"/>
        <v/>
      </c>
      <c r="AC71" s="34" t="str">
        <f t="shared" si="2"/>
        <v/>
      </c>
      <c r="AD71" s="37"/>
      <c r="AE71" s="37"/>
      <c r="AF71" s="51"/>
      <c r="AG71" s="51"/>
      <c r="AH71" s="52">
        <f>IF(A71="",0,SUMIF(tbl_Projets_Financements[ID Projet],A71,tbl_Projets_Financements[Montant recu]))</f>
        <v>0</v>
      </c>
      <c r="AI71" s="51"/>
      <c r="AJ71" s="52">
        <f t="shared" si="3"/>
        <v>0</v>
      </c>
      <c r="AK71" s="52">
        <f t="shared" si="4"/>
        <v>0</v>
      </c>
      <c r="AL71" s="53">
        <f t="shared" si="5"/>
        <v>0</v>
      </c>
      <c r="AM71" s="51"/>
      <c r="AN71" s="51"/>
      <c r="AO71" s="51"/>
      <c r="AP71" s="51"/>
      <c r="AQ71" s="51"/>
      <c r="AR71" s="51"/>
      <c r="AS71" s="34">
        <f>IF(A71="",0,COUNTIFS(tbl_Beneficiaires[ID projet],A71))</f>
        <v>0</v>
      </c>
      <c r="AT71" s="34">
        <f>IF(A71="",0,COUNTIFS(tbl_Beneficiaires[ID projet],A71,tbl_Beneficiaires[Sexe],"Feminin"))</f>
        <v>0</v>
      </c>
      <c r="AU71" s="34">
        <f>IF(A71="",0,COUNTIFS(tbl_Beneficiaires[ID projet],A71,tbl_Beneficiaires[Sexe],"Masculin"))</f>
        <v>0</v>
      </c>
      <c r="AV71" s="34">
        <f>IF(A71="",0,COUNTIFS(tbl_Beneficiaires[ID projet],A71,tbl_Beneficiaires[Menage vulnerable],"Oui"))</f>
        <v>0</v>
      </c>
      <c r="AW71" s="34">
        <f>IF(A71="",0,COUNTIFS(tbl_Beneficiaires[ID projet],A71,tbl_Beneficiaires[Handicap],"Oui"))</f>
        <v>0</v>
      </c>
      <c r="AX71" s="51"/>
      <c r="AY71" s="51"/>
      <c r="AZ71" s="51"/>
      <c r="BA71" s="51"/>
      <c r="BB71" s="51"/>
      <c r="BC71" s="53">
        <f t="shared" si="6"/>
        <v>0</v>
      </c>
      <c r="BD71" s="54"/>
      <c r="BE71" s="34" t="str">
        <f t="shared" ca="1" si="7"/>
        <v/>
      </c>
      <c r="BF71" s="34" t="str">
        <f t="shared" ca="1" si="8"/>
        <v/>
      </c>
      <c r="BG71" s="34" t="str">
        <f t="shared" si="9"/>
        <v/>
      </c>
      <c r="BH71" s="34" t="str">
        <f t="shared" si="10"/>
        <v/>
      </c>
      <c r="BI71" s="49"/>
    </row>
    <row r="72" spans="1:61" ht="15" customHeight="1">
      <c r="A72" s="34" t="str">
        <f t="shared" si="0"/>
        <v/>
      </c>
      <c r="B72" s="37"/>
      <c r="C72" s="37"/>
      <c r="D72" s="37"/>
      <c r="E72" s="49"/>
      <c r="F72" s="49"/>
      <c r="G72" s="49"/>
      <c r="H72" s="49"/>
      <c r="I72" s="49"/>
      <c r="J72" s="37"/>
      <c r="K72" s="37"/>
      <c r="L72" s="49"/>
      <c r="M72" s="37"/>
      <c r="N72" s="37"/>
      <c r="O72" s="37"/>
      <c r="P72" s="37"/>
      <c r="Q72" s="37"/>
      <c r="R72" s="37"/>
      <c r="S72" s="34" t="str">
        <f>IFERROR(INDEX(PARAMETRES!$B$536:$B$586,MATCH(R72,PARAMETRES!$J$536:$J$586,0)),"")</f>
        <v/>
      </c>
      <c r="T72" s="34" t="str">
        <f>IFERROR(INDEX(PARAMETRES!$D$536:$D$586,MATCH(R72,PARAMETRES!$J$536:$J$586,0)),"")</f>
        <v/>
      </c>
      <c r="U72" s="34" t="str">
        <f>IFERROR(INDEX(PARAMETRES!$F$536:$F$586,MATCH(R72,PARAMETRES!$J$536:$J$586,0)),"")</f>
        <v/>
      </c>
      <c r="V72" s="34" t="str">
        <f>IFERROR(INDEX(PARAMETRES!$G$536:$G$586,MATCH(R72,PARAMETRES!$J$536:$J$586,0)),"")</f>
        <v/>
      </c>
      <c r="W72" s="37"/>
      <c r="X72" s="50"/>
      <c r="Y72" s="50"/>
      <c r="Z72" s="50"/>
      <c r="AA72" s="50"/>
      <c r="AB72" s="34" t="str">
        <f t="shared" si="1"/>
        <v/>
      </c>
      <c r="AC72" s="34" t="str">
        <f t="shared" si="2"/>
        <v/>
      </c>
      <c r="AD72" s="37"/>
      <c r="AE72" s="37"/>
      <c r="AF72" s="51"/>
      <c r="AG72" s="51"/>
      <c r="AH72" s="52">
        <f>IF(A72="",0,SUMIF(tbl_Projets_Financements[ID Projet],A72,tbl_Projets_Financements[Montant recu]))</f>
        <v>0</v>
      </c>
      <c r="AI72" s="51"/>
      <c r="AJ72" s="52">
        <f t="shared" si="3"/>
        <v>0</v>
      </c>
      <c r="AK72" s="52">
        <f t="shared" si="4"/>
        <v>0</v>
      </c>
      <c r="AL72" s="53">
        <f t="shared" si="5"/>
        <v>0</v>
      </c>
      <c r="AM72" s="51"/>
      <c r="AN72" s="51"/>
      <c r="AO72" s="51"/>
      <c r="AP72" s="51"/>
      <c r="AQ72" s="51"/>
      <c r="AR72" s="51"/>
      <c r="AS72" s="34">
        <f>IF(A72="",0,COUNTIFS(tbl_Beneficiaires[ID projet],A72))</f>
        <v>0</v>
      </c>
      <c r="AT72" s="34">
        <f>IF(A72="",0,COUNTIFS(tbl_Beneficiaires[ID projet],A72,tbl_Beneficiaires[Sexe],"Feminin"))</f>
        <v>0</v>
      </c>
      <c r="AU72" s="34">
        <f>IF(A72="",0,COUNTIFS(tbl_Beneficiaires[ID projet],A72,tbl_Beneficiaires[Sexe],"Masculin"))</f>
        <v>0</v>
      </c>
      <c r="AV72" s="34">
        <f>IF(A72="",0,COUNTIFS(tbl_Beneficiaires[ID projet],A72,tbl_Beneficiaires[Menage vulnerable],"Oui"))</f>
        <v>0</v>
      </c>
      <c r="AW72" s="34">
        <f>IF(A72="",0,COUNTIFS(tbl_Beneficiaires[ID projet],A72,tbl_Beneficiaires[Handicap],"Oui"))</f>
        <v>0</v>
      </c>
      <c r="AX72" s="51"/>
      <c r="AY72" s="51"/>
      <c r="AZ72" s="51"/>
      <c r="BA72" s="51"/>
      <c r="BB72" s="51"/>
      <c r="BC72" s="53">
        <f t="shared" si="6"/>
        <v>0</v>
      </c>
      <c r="BD72" s="54"/>
      <c r="BE72" s="34" t="str">
        <f t="shared" ca="1" si="7"/>
        <v/>
      </c>
      <c r="BF72" s="34" t="str">
        <f t="shared" ca="1" si="8"/>
        <v/>
      </c>
      <c r="BG72" s="34" t="str">
        <f t="shared" si="9"/>
        <v/>
      </c>
      <c r="BH72" s="34" t="str">
        <f t="shared" si="10"/>
        <v/>
      </c>
      <c r="BI72" s="49"/>
    </row>
    <row r="73" spans="1:61" ht="15" customHeight="1">
      <c r="A73" s="34" t="str">
        <f t="shared" si="0"/>
        <v/>
      </c>
      <c r="B73" s="37"/>
      <c r="C73" s="37"/>
      <c r="D73" s="37"/>
      <c r="E73" s="49"/>
      <c r="F73" s="49"/>
      <c r="G73" s="49"/>
      <c r="H73" s="49"/>
      <c r="I73" s="49"/>
      <c r="J73" s="37"/>
      <c r="K73" s="37"/>
      <c r="L73" s="49"/>
      <c r="M73" s="37"/>
      <c r="N73" s="37"/>
      <c r="O73" s="37"/>
      <c r="P73" s="37"/>
      <c r="Q73" s="37"/>
      <c r="R73" s="37"/>
      <c r="S73" s="34" t="str">
        <f>IFERROR(INDEX(PARAMETRES!$B$536:$B$586,MATCH(R73,PARAMETRES!$J$536:$J$586,0)),"")</f>
        <v/>
      </c>
      <c r="T73" s="34" t="str">
        <f>IFERROR(INDEX(PARAMETRES!$D$536:$D$586,MATCH(R73,PARAMETRES!$J$536:$J$586,0)),"")</f>
        <v/>
      </c>
      <c r="U73" s="34" t="str">
        <f>IFERROR(INDEX(PARAMETRES!$F$536:$F$586,MATCH(R73,PARAMETRES!$J$536:$J$586,0)),"")</f>
        <v/>
      </c>
      <c r="V73" s="34" t="str">
        <f>IFERROR(INDEX(PARAMETRES!$G$536:$G$586,MATCH(R73,PARAMETRES!$J$536:$J$586,0)),"")</f>
        <v/>
      </c>
      <c r="W73" s="37"/>
      <c r="X73" s="50"/>
      <c r="Y73" s="50"/>
      <c r="Z73" s="50"/>
      <c r="AA73" s="50"/>
      <c r="AB73" s="34" t="str">
        <f t="shared" si="1"/>
        <v/>
      </c>
      <c r="AC73" s="34" t="str">
        <f t="shared" si="2"/>
        <v/>
      </c>
      <c r="AD73" s="37"/>
      <c r="AE73" s="37"/>
      <c r="AF73" s="51"/>
      <c r="AG73" s="51"/>
      <c r="AH73" s="52">
        <f>IF(A73="",0,SUMIF(tbl_Projets_Financements[ID Projet],A73,tbl_Projets_Financements[Montant recu]))</f>
        <v>0</v>
      </c>
      <c r="AI73" s="51"/>
      <c r="AJ73" s="52">
        <f t="shared" si="3"/>
        <v>0</v>
      </c>
      <c r="AK73" s="52">
        <f t="shared" si="4"/>
        <v>0</v>
      </c>
      <c r="AL73" s="53">
        <f t="shared" si="5"/>
        <v>0</v>
      </c>
      <c r="AM73" s="51"/>
      <c r="AN73" s="51"/>
      <c r="AO73" s="51"/>
      <c r="AP73" s="51"/>
      <c r="AQ73" s="51"/>
      <c r="AR73" s="51"/>
      <c r="AS73" s="34">
        <f>IF(A73="",0,COUNTIFS(tbl_Beneficiaires[ID projet],A73))</f>
        <v>0</v>
      </c>
      <c r="AT73" s="34">
        <f>IF(A73="",0,COUNTIFS(tbl_Beneficiaires[ID projet],A73,tbl_Beneficiaires[Sexe],"Feminin"))</f>
        <v>0</v>
      </c>
      <c r="AU73" s="34">
        <f>IF(A73="",0,COUNTIFS(tbl_Beneficiaires[ID projet],A73,tbl_Beneficiaires[Sexe],"Masculin"))</f>
        <v>0</v>
      </c>
      <c r="AV73" s="34">
        <f>IF(A73="",0,COUNTIFS(tbl_Beneficiaires[ID projet],A73,tbl_Beneficiaires[Menage vulnerable],"Oui"))</f>
        <v>0</v>
      </c>
      <c r="AW73" s="34">
        <f>IF(A73="",0,COUNTIFS(tbl_Beneficiaires[ID projet],A73,tbl_Beneficiaires[Handicap],"Oui"))</f>
        <v>0</v>
      </c>
      <c r="AX73" s="51"/>
      <c r="AY73" s="51"/>
      <c r="AZ73" s="51"/>
      <c r="BA73" s="51"/>
      <c r="BB73" s="51"/>
      <c r="BC73" s="53">
        <f t="shared" si="6"/>
        <v>0</v>
      </c>
      <c r="BD73" s="54"/>
      <c r="BE73" s="34" t="str">
        <f t="shared" ca="1" si="7"/>
        <v/>
      </c>
      <c r="BF73" s="34" t="str">
        <f t="shared" ca="1" si="8"/>
        <v/>
      </c>
      <c r="BG73" s="34" t="str">
        <f t="shared" si="9"/>
        <v/>
      </c>
      <c r="BH73" s="34" t="str">
        <f t="shared" si="10"/>
        <v/>
      </c>
      <c r="BI73" s="49"/>
    </row>
    <row r="74" spans="1:61" ht="15" customHeight="1">
      <c r="A74" s="34" t="str">
        <f t="shared" si="0"/>
        <v/>
      </c>
      <c r="B74" s="37"/>
      <c r="C74" s="37"/>
      <c r="D74" s="37"/>
      <c r="E74" s="49"/>
      <c r="F74" s="49"/>
      <c r="G74" s="49"/>
      <c r="H74" s="49"/>
      <c r="I74" s="49"/>
      <c r="J74" s="37"/>
      <c r="K74" s="37"/>
      <c r="L74" s="49"/>
      <c r="M74" s="37"/>
      <c r="N74" s="37"/>
      <c r="O74" s="37"/>
      <c r="P74" s="37"/>
      <c r="Q74" s="37"/>
      <c r="R74" s="37"/>
      <c r="S74" s="34" t="str">
        <f>IFERROR(INDEX(PARAMETRES!$B$536:$B$586,MATCH(R74,PARAMETRES!$J$536:$J$586,0)),"")</f>
        <v/>
      </c>
      <c r="T74" s="34" t="str">
        <f>IFERROR(INDEX(PARAMETRES!$D$536:$D$586,MATCH(R74,PARAMETRES!$J$536:$J$586,0)),"")</f>
        <v/>
      </c>
      <c r="U74" s="34" t="str">
        <f>IFERROR(INDEX(PARAMETRES!$F$536:$F$586,MATCH(R74,PARAMETRES!$J$536:$J$586,0)),"")</f>
        <v/>
      </c>
      <c r="V74" s="34" t="str">
        <f>IFERROR(INDEX(PARAMETRES!$G$536:$G$586,MATCH(R74,PARAMETRES!$J$536:$J$586,0)),"")</f>
        <v/>
      </c>
      <c r="W74" s="37"/>
      <c r="X74" s="50"/>
      <c r="Y74" s="50"/>
      <c r="Z74" s="50"/>
      <c r="AA74" s="50"/>
      <c r="AB74" s="34" t="str">
        <f t="shared" si="1"/>
        <v/>
      </c>
      <c r="AC74" s="34" t="str">
        <f t="shared" si="2"/>
        <v/>
      </c>
      <c r="AD74" s="37"/>
      <c r="AE74" s="37"/>
      <c r="AF74" s="51"/>
      <c r="AG74" s="51"/>
      <c r="AH74" s="52">
        <f>IF(A74="",0,SUMIF(tbl_Projets_Financements[ID Projet],A74,tbl_Projets_Financements[Montant recu]))</f>
        <v>0</v>
      </c>
      <c r="AI74" s="51"/>
      <c r="AJ74" s="52">
        <f t="shared" si="3"/>
        <v>0</v>
      </c>
      <c r="AK74" s="52">
        <f t="shared" si="4"/>
        <v>0</v>
      </c>
      <c r="AL74" s="53">
        <f t="shared" si="5"/>
        <v>0</v>
      </c>
      <c r="AM74" s="51"/>
      <c r="AN74" s="51"/>
      <c r="AO74" s="51"/>
      <c r="AP74" s="51"/>
      <c r="AQ74" s="51"/>
      <c r="AR74" s="51"/>
      <c r="AS74" s="34">
        <f>IF(A74="",0,COUNTIFS(tbl_Beneficiaires[ID projet],A74))</f>
        <v>0</v>
      </c>
      <c r="AT74" s="34">
        <f>IF(A74="",0,COUNTIFS(tbl_Beneficiaires[ID projet],A74,tbl_Beneficiaires[Sexe],"Feminin"))</f>
        <v>0</v>
      </c>
      <c r="AU74" s="34">
        <f>IF(A74="",0,COUNTIFS(tbl_Beneficiaires[ID projet],A74,tbl_Beneficiaires[Sexe],"Masculin"))</f>
        <v>0</v>
      </c>
      <c r="AV74" s="34">
        <f>IF(A74="",0,COUNTIFS(tbl_Beneficiaires[ID projet],A74,tbl_Beneficiaires[Menage vulnerable],"Oui"))</f>
        <v>0</v>
      </c>
      <c r="AW74" s="34">
        <f>IF(A74="",0,COUNTIFS(tbl_Beneficiaires[ID projet],A74,tbl_Beneficiaires[Handicap],"Oui"))</f>
        <v>0</v>
      </c>
      <c r="AX74" s="51"/>
      <c r="AY74" s="51"/>
      <c r="AZ74" s="51"/>
      <c r="BA74" s="51"/>
      <c r="BB74" s="51"/>
      <c r="BC74" s="53">
        <f t="shared" si="6"/>
        <v>0</v>
      </c>
      <c r="BD74" s="54"/>
      <c r="BE74" s="34" t="str">
        <f t="shared" ca="1" si="7"/>
        <v/>
      </c>
      <c r="BF74" s="34" t="str">
        <f t="shared" ca="1" si="8"/>
        <v/>
      </c>
      <c r="BG74" s="34" t="str">
        <f t="shared" si="9"/>
        <v/>
      </c>
      <c r="BH74" s="34" t="str">
        <f t="shared" si="10"/>
        <v/>
      </c>
      <c r="BI74" s="49"/>
    </row>
    <row r="75" spans="1:61" ht="15" customHeight="1">
      <c r="A75" s="34" t="str">
        <f t="shared" si="0"/>
        <v/>
      </c>
      <c r="B75" s="37"/>
      <c r="C75" s="37"/>
      <c r="D75" s="37"/>
      <c r="E75" s="49"/>
      <c r="F75" s="49"/>
      <c r="G75" s="49"/>
      <c r="H75" s="49"/>
      <c r="I75" s="49"/>
      <c r="J75" s="37"/>
      <c r="K75" s="37"/>
      <c r="L75" s="49"/>
      <c r="M75" s="37"/>
      <c r="N75" s="37"/>
      <c r="O75" s="37"/>
      <c r="P75" s="37"/>
      <c r="Q75" s="37"/>
      <c r="R75" s="37"/>
      <c r="S75" s="34" t="str">
        <f>IFERROR(INDEX(PARAMETRES!$B$536:$B$586,MATCH(R75,PARAMETRES!$J$536:$J$586,0)),"")</f>
        <v/>
      </c>
      <c r="T75" s="34" t="str">
        <f>IFERROR(INDEX(PARAMETRES!$D$536:$D$586,MATCH(R75,PARAMETRES!$J$536:$J$586,0)),"")</f>
        <v/>
      </c>
      <c r="U75" s="34" t="str">
        <f>IFERROR(INDEX(PARAMETRES!$F$536:$F$586,MATCH(R75,PARAMETRES!$J$536:$J$586,0)),"")</f>
        <v/>
      </c>
      <c r="V75" s="34" t="str">
        <f>IFERROR(INDEX(PARAMETRES!$G$536:$G$586,MATCH(R75,PARAMETRES!$J$536:$J$586,0)),"")</f>
        <v/>
      </c>
      <c r="W75" s="37"/>
      <c r="X75" s="50"/>
      <c r="Y75" s="50"/>
      <c r="Z75" s="50"/>
      <c r="AA75" s="50"/>
      <c r="AB75" s="34" t="str">
        <f t="shared" si="1"/>
        <v/>
      </c>
      <c r="AC75" s="34" t="str">
        <f t="shared" si="2"/>
        <v/>
      </c>
      <c r="AD75" s="37"/>
      <c r="AE75" s="37"/>
      <c r="AF75" s="51"/>
      <c r="AG75" s="51"/>
      <c r="AH75" s="52">
        <f>IF(A75="",0,SUMIF(tbl_Projets_Financements[ID Projet],A75,tbl_Projets_Financements[Montant recu]))</f>
        <v>0</v>
      </c>
      <c r="AI75" s="51"/>
      <c r="AJ75" s="52">
        <f t="shared" si="3"/>
        <v>0</v>
      </c>
      <c r="AK75" s="52">
        <f t="shared" si="4"/>
        <v>0</v>
      </c>
      <c r="AL75" s="53">
        <f t="shared" si="5"/>
        <v>0</v>
      </c>
      <c r="AM75" s="51"/>
      <c r="AN75" s="51"/>
      <c r="AO75" s="51"/>
      <c r="AP75" s="51"/>
      <c r="AQ75" s="51"/>
      <c r="AR75" s="51"/>
      <c r="AS75" s="34">
        <f>IF(A75="",0,COUNTIFS(tbl_Beneficiaires[ID projet],A75))</f>
        <v>0</v>
      </c>
      <c r="AT75" s="34">
        <f>IF(A75="",0,COUNTIFS(tbl_Beneficiaires[ID projet],A75,tbl_Beneficiaires[Sexe],"Feminin"))</f>
        <v>0</v>
      </c>
      <c r="AU75" s="34">
        <f>IF(A75="",0,COUNTIFS(tbl_Beneficiaires[ID projet],A75,tbl_Beneficiaires[Sexe],"Masculin"))</f>
        <v>0</v>
      </c>
      <c r="AV75" s="34">
        <f>IF(A75="",0,COUNTIFS(tbl_Beneficiaires[ID projet],A75,tbl_Beneficiaires[Menage vulnerable],"Oui"))</f>
        <v>0</v>
      </c>
      <c r="AW75" s="34">
        <f>IF(A75="",0,COUNTIFS(tbl_Beneficiaires[ID projet],A75,tbl_Beneficiaires[Handicap],"Oui"))</f>
        <v>0</v>
      </c>
      <c r="AX75" s="51"/>
      <c r="AY75" s="51"/>
      <c r="AZ75" s="51"/>
      <c r="BA75" s="51"/>
      <c r="BB75" s="51"/>
      <c r="BC75" s="53">
        <f t="shared" si="6"/>
        <v>0</v>
      </c>
      <c r="BD75" s="54"/>
      <c r="BE75" s="34" t="str">
        <f t="shared" ca="1" si="7"/>
        <v/>
      </c>
      <c r="BF75" s="34" t="str">
        <f t="shared" ca="1" si="8"/>
        <v/>
      </c>
      <c r="BG75" s="34" t="str">
        <f t="shared" si="9"/>
        <v/>
      </c>
      <c r="BH75" s="34" t="str">
        <f t="shared" si="10"/>
        <v/>
      </c>
      <c r="BI75" s="49"/>
    </row>
    <row r="76" spans="1:61" ht="15" customHeight="1">
      <c r="A76" s="34" t="str">
        <f t="shared" si="0"/>
        <v/>
      </c>
      <c r="B76" s="37"/>
      <c r="C76" s="37"/>
      <c r="D76" s="37"/>
      <c r="E76" s="49"/>
      <c r="F76" s="49"/>
      <c r="G76" s="49"/>
      <c r="H76" s="49"/>
      <c r="I76" s="49"/>
      <c r="J76" s="37"/>
      <c r="K76" s="37"/>
      <c r="L76" s="49"/>
      <c r="M76" s="37"/>
      <c r="N76" s="37"/>
      <c r="O76" s="37"/>
      <c r="P76" s="37"/>
      <c r="Q76" s="37"/>
      <c r="R76" s="37"/>
      <c r="S76" s="34" t="str">
        <f>IFERROR(INDEX(PARAMETRES!$B$536:$B$586,MATCH(R76,PARAMETRES!$J$536:$J$586,0)),"")</f>
        <v/>
      </c>
      <c r="T76" s="34" t="str">
        <f>IFERROR(INDEX(PARAMETRES!$D$536:$D$586,MATCH(R76,PARAMETRES!$J$536:$J$586,0)),"")</f>
        <v/>
      </c>
      <c r="U76" s="34" t="str">
        <f>IFERROR(INDEX(PARAMETRES!$F$536:$F$586,MATCH(R76,PARAMETRES!$J$536:$J$586,0)),"")</f>
        <v/>
      </c>
      <c r="V76" s="34" t="str">
        <f>IFERROR(INDEX(PARAMETRES!$G$536:$G$586,MATCH(R76,PARAMETRES!$J$536:$J$586,0)),"")</f>
        <v/>
      </c>
      <c r="W76" s="37"/>
      <c r="X76" s="50"/>
      <c r="Y76" s="50"/>
      <c r="Z76" s="50"/>
      <c r="AA76" s="50"/>
      <c r="AB76" s="34" t="str">
        <f t="shared" si="1"/>
        <v/>
      </c>
      <c r="AC76" s="34" t="str">
        <f t="shared" si="2"/>
        <v/>
      </c>
      <c r="AD76" s="37"/>
      <c r="AE76" s="37"/>
      <c r="AF76" s="51"/>
      <c r="AG76" s="51"/>
      <c r="AH76" s="52">
        <f>IF(A76="",0,SUMIF(tbl_Projets_Financements[ID Projet],A76,tbl_Projets_Financements[Montant recu]))</f>
        <v>0</v>
      </c>
      <c r="AI76" s="51"/>
      <c r="AJ76" s="52">
        <f t="shared" si="3"/>
        <v>0</v>
      </c>
      <c r="AK76" s="52">
        <f t="shared" si="4"/>
        <v>0</v>
      </c>
      <c r="AL76" s="53">
        <f t="shared" si="5"/>
        <v>0</v>
      </c>
      <c r="AM76" s="51"/>
      <c r="AN76" s="51"/>
      <c r="AO76" s="51"/>
      <c r="AP76" s="51"/>
      <c r="AQ76" s="51"/>
      <c r="AR76" s="51"/>
      <c r="AS76" s="34">
        <f>IF(A76="",0,COUNTIFS(tbl_Beneficiaires[ID projet],A76))</f>
        <v>0</v>
      </c>
      <c r="AT76" s="34">
        <f>IF(A76="",0,COUNTIFS(tbl_Beneficiaires[ID projet],A76,tbl_Beneficiaires[Sexe],"Feminin"))</f>
        <v>0</v>
      </c>
      <c r="AU76" s="34">
        <f>IF(A76="",0,COUNTIFS(tbl_Beneficiaires[ID projet],A76,tbl_Beneficiaires[Sexe],"Masculin"))</f>
        <v>0</v>
      </c>
      <c r="AV76" s="34">
        <f>IF(A76="",0,COUNTIFS(tbl_Beneficiaires[ID projet],A76,tbl_Beneficiaires[Menage vulnerable],"Oui"))</f>
        <v>0</v>
      </c>
      <c r="AW76" s="34">
        <f>IF(A76="",0,COUNTIFS(tbl_Beneficiaires[ID projet],A76,tbl_Beneficiaires[Handicap],"Oui"))</f>
        <v>0</v>
      </c>
      <c r="AX76" s="51"/>
      <c r="AY76" s="51"/>
      <c r="AZ76" s="51"/>
      <c r="BA76" s="51"/>
      <c r="BB76" s="51"/>
      <c r="BC76" s="53">
        <f t="shared" si="6"/>
        <v>0</v>
      </c>
      <c r="BD76" s="54"/>
      <c r="BE76" s="34" t="str">
        <f t="shared" ca="1" si="7"/>
        <v/>
      </c>
      <c r="BF76" s="34" t="str">
        <f t="shared" ca="1" si="8"/>
        <v/>
      </c>
      <c r="BG76" s="34" t="str">
        <f t="shared" si="9"/>
        <v/>
      </c>
      <c r="BH76" s="34" t="str">
        <f t="shared" si="10"/>
        <v/>
      </c>
      <c r="BI76" s="49"/>
    </row>
    <row r="77" spans="1:61" ht="15" customHeight="1">
      <c r="A77" s="34" t="str">
        <f t="shared" si="0"/>
        <v/>
      </c>
      <c r="B77" s="37"/>
      <c r="C77" s="37"/>
      <c r="D77" s="37"/>
      <c r="E77" s="49"/>
      <c r="F77" s="49"/>
      <c r="G77" s="49"/>
      <c r="H77" s="49"/>
      <c r="I77" s="49"/>
      <c r="J77" s="37"/>
      <c r="K77" s="37"/>
      <c r="L77" s="49"/>
      <c r="M77" s="37"/>
      <c r="N77" s="37"/>
      <c r="O77" s="37"/>
      <c r="P77" s="37"/>
      <c r="Q77" s="37"/>
      <c r="R77" s="37"/>
      <c r="S77" s="34" t="str">
        <f>IFERROR(INDEX(PARAMETRES!$B$536:$B$586,MATCH(R77,PARAMETRES!$J$536:$J$586,0)),"")</f>
        <v/>
      </c>
      <c r="T77" s="34" t="str">
        <f>IFERROR(INDEX(PARAMETRES!$D$536:$D$586,MATCH(R77,PARAMETRES!$J$536:$J$586,0)),"")</f>
        <v/>
      </c>
      <c r="U77" s="34" t="str">
        <f>IFERROR(INDEX(PARAMETRES!$F$536:$F$586,MATCH(R77,PARAMETRES!$J$536:$J$586,0)),"")</f>
        <v/>
      </c>
      <c r="V77" s="34" t="str">
        <f>IFERROR(INDEX(PARAMETRES!$G$536:$G$586,MATCH(R77,PARAMETRES!$J$536:$J$586,0)),"")</f>
        <v/>
      </c>
      <c r="W77" s="37"/>
      <c r="X77" s="50"/>
      <c r="Y77" s="50"/>
      <c r="Z77" s="50"/>
      <c r="AA77" s="50"/>
      <c r="AB77" s="34" t="str">
        <f t="shared" si="1"/>
        <v/>
      </c>
      <c r="AC77" s="34" t="str">
        <f t="shared" si="2"/>
        <v/>
      </c>
      <c r="AD77" s="37"/>
      <c r="AE77" s="37"/>
      <c r="AF77" s="51"/>
      <c r="AG77" s="51"/>
      <c r="AH77" s="52">
        <f>IF(A77="",0,SUMIF(tbl_Projets_Financements[ID Projet],A77,tbl_Projets_Financements[Montant recu]))</f>
        <v>0</v>
      </c>
      <c r="AI77" s="51"/>
      <c r="AJ77" s="52">
        <f t="shared" si="3"/>
        <v>0</v>
      </c>
      <c r="AK77" s="52">
        <f t="shared" si="4"/>
        <v>0</v>
      </c>
      <c r="AL77" s="53">
        <f t="shared" si="5"/>
        <v>0</v>
      </c>
      <c r="AM77" s="51"/>
      <c r="AN77" s="51"/>
      <c r="AO77" s="51"/>
      <c r="AP77" s="51"/>
      <c r="AQ77" s="51"/>
      <c r="AR77" s="51"/>
      <c r="AS77" s="34">
        <f>IF(A77="",0,COUNTIFS(tbl_Beneficiaires[ID projet],A77))</f>
        <v>0</v>
      </c>
      <c r="AT77" s="34">
        <f>IF(A77="",0,COUNTIFS(tbl_Beneficiaires[ID projet],A77,tbl_Beneficiaires[Sexe],"Feminin"))</f>
        <v>0</v>
      </c>
      <c r="AU77" s="34">
        <f>IF(A77="",0,COUNTIFS(tbl_Beneficiaires[ID projet],A77,tbl_Beneficiaires[Sexe],"Masculin"))</f>
        <v>0</v>
      </c>
      <c r="AV77" s="34">
        <f>IF(A77="",0,COUNTIFS(tbl_Beneficiaires[ID projet],A77,tbl_Beneficiaires[Menage vulnerable],"Oui"))</f>
        <v>0</v>
      </c>
      <c r="AW77" s="34">
        <f>IF(A77="",0,COUNTIFS(tbl_Beneficiaires[ID projet],A77,tbl_Beneficiaires[Handicap],"Oui"))</f>
        <v>0</v>
      </c>
      <c r="AX77" s="51"/>
      <c r="AY77" s="51"/>
      <c r="AZ77" s="51"/>
      <c r="BA77" s="51"/>
      <c r="BB77" s="51"/>
      <c r="BC77" s="53">
        <f t="shared" si="6"/>
        <v>0</v>
      </c>
      <c r="BD77" s="54"/>
      <c r="BE77" s="34" t="str">
        <f t="shared" ca="1" si="7"/>
        <v/>
      </c>
      <c r="BF77" s="34" t="str">
        <f t="shared" ca="1" si="8"/>
        <v/>
      </c>
      <c r="BG77" s="34" t="str">
        <f t="shared" si="9"/>
        <v/>
      </c>
      <c r="BH77" s="34" t="str">
        <f t="shared" si="10"/>
        <v/>
      </c>
      <c r="BI77" s="49"/>
    </row>
    <row r="78" spans="1:61" ht="15" customHeight="1">
      <c r="A78" s="34" t="str">
        <f t="shared" si="0"/>
        <v/>
      </c>
      <c r="B78" s="37"/>
      <c r="C78" s="37"/>
      <c r="D78" s="37"/>
      <c r="E78" s="49"/>
      <c r="F78" s="49"/>
      <c r="G78" s="49"/>
      <c r="H78" s="49"/>
      <c r="I78" s="49"/>
      <c r="J78" s="37"/>
      <c r="K78" s="37"/>
      <c r="L78" s="49"/>
      <c r="M78" s="37"/>
      <c r="N78" s="37"/>
      <c r="O78" s="37"/>
      <c r="P78" s="37"/>
      <c r="Q78" s="37"/>
      <c r="R78" s="37"/>
      <c r="S78" s="34" t="str">
        <f>IFERROR(INDEX(PARAMETRES!$B$536:$B$586,MATCH(R78,PARAMETRES!$J$536:$J$586,0)),"")</f>
        <v/>
      </c>
      <c r="T78" s="34" t="str">
        <f>IFERROR(INDEX(PARAMETRES!$D$536:$D$586,MATCH(R78,PARAMETRES!$J$536:$J$586,0)),"")</f>
        <v/>
      </c>
      <c r="U78" s="34" t="str">
        <f>IFERROR(INDEX(PARAMETRES!$F$536:$F$586,MATCH(R78,PARAMETRES!$J$536:$J$586,0)),"")</f>
        <v/>
      </c>
      <c r="V78" s="34" t="str">
        <f>IFERROR(INDEX(PARAMETRES!$G$536:$G$586,MATCH(R78,PARAMETRES!$J$536:$J$586,0)),"")</f>
        <v/>
      </c>
      <c r="W78" s="37"/>
      <c r="X78" s="50"/>
      <c r="Y78" s="50"/>
      <c r="Z78" s="50"/>
      <c r="AA78" s="50"/>
      <c r="AB78" s="34" t="str">
        <f t="shared" si="1"/>
        <v/>
      </c>
      <c r="AC78" s="34" t="str">
        <f t="shared" si="2"/>
        <v/>
      </c>
      <c r="AD78" s="37"/>
      <c r="AE78" s="37"/>
      <c r="AF78" s="51"/>
      <c r="AG78" s="51"/>
      <c r="AH78" s="52">
        <f>IF(A78="",0,SUMIF(tbl_Projets_Financements[ID Projet],A78,tbl_Projets_Financements[Montant recu]))</f>
        <v>0</v>
      </c>
      <c r="AI78" s="51"/>
      <c r="AJ78" s="52">
        <f t="shared" si="3"/>
        <v>0</v>
      </c>
      <c r="AK78" s="52">
        <f t="shared" si="4"/>
        <v>0</v>
      </c>
      <c r="AL78" s="53">
        <f t="shared" si="5"/>
        <v>0</v>
      </c>
      <c r="AM78" s="51"/>
      <c r="AN78" s="51"/>
      <c r="AO78" s="51"/>
      <c r="AP78" s="51"/>
      <c r="AQ78" s="51"/>
      <c r="AR78" s="51"/>
      <c r="AS78" s="34">
        <f>IF(A78="",0,COUNTIFS(tbl_Beneficiaires[ID projet],A78))</f>
        <v>0</v>
      </c>
      <c r="AT78" s="34">
        <f>IF(A78="",0,COUNTIFS(tbl_Beneficiaires[ID projet],A78,tbl_Beneficiaires[Sexe],"Feminin"))</f>
        <v>0</v>
      </c>
      <c r="AU78" s="34">
        <f>IF(A78="",0,COUNTIFS(tbl_Beneficiaires[ID projet],A78,tbl_Beneficiaires[Sexe],"Masculin"))</f>
        <v>0</v>
      </c>
      <c r="AV78" s="34">
        <f>IF(A78="",0,COUNTIFS(tbl_Beneficiaires[ID projet],A78,tbl_Beneficiaires[Menage vulnerable],"Oui"))</f>
        <v>0</v>
      </c>
      <c r="AW78" s="34">
        <f>IF(A78="",0,COUNTIFS(tbl_Beneficiaires[ID projet],A78,tbl_Beneficiaires[Handicap],"Oui"))</f>
        <v>0</v>
      </c>
      <c r="AX78" s="51"/>
      <c r="AY78" s="51"/>
      <c r="AZ78" s="51"/>
      <c r="BA78" s="51"/>
      <c r="BB78" s="51"/>
      <c r="BC78" s="53">
        <f t="shared" si="6"/>
        <v>0</v>
      </c>
      <c r="BD78" s="54"/>
      <c r="BE78" s="34" t="str">
        <f t="shared" ca="1" si="7"/>
        <v/>
      </c>
      <c r="BF78" s="34" t="str">
        <f t="shared" ca="1" si="8"/>
        <v/>
      </c>
      <c r="BG78" s="34" t="str">
        <f t="shared" si="9"/>
        <v/>
      </c>
      <c r="BH78" s="34" t="str">
        <f t="shared" si="10"/>
        <v/>
      </c>
      <c r="BI78" s="49"/>
    </row>
    <row r="79" spans="1:61" ht="15" customHeight="1">
      <c r="A79" s="34" t="str">
        <f t="shared" si="0"/>
        <v/>
      </c>
      <c r="B79" s="37"/>
      <c r="C79" s="37"/>
      <c r="D79" s="37"/>
      <c r="E79" s="49"/>
      <c r="F79" s="49"/>
      <c r="G79" s="49"/>
      <c r="H79" s="49"/>
      <c r="I79" s="49"/>
      <c r="J79" s="37"/>
      <c r="K79" s="37"/>
      <c r="L79" s="49"/>
      <c r="M79" s="37"/>
      <c r="N79" s="37"/>
      <c r="O79" s="37"/>
      <c r="P79" s="37"/>
      <c r="Q79" s="37"/>
      <c r="R79" s="37"/>
      <c r="S79" s="34" t="str">
        <f>IFERROR(INDEX(PARAMETRES!$B$536:$B$586,MATCH(R79,PARAMETRES!$J$536:$J$586,0)),"")</f>
        <v/>
      </c>
      <c r="T79" s="34" t="str">
        <f>IFERROR(INDEX(PARAMETRES!$D$536:$D$586,MATCH(R79,PARAMETRES!$J$536:$J$586,0)),"")</f>
        <v/>
      </c>
      <c r="U79" s="34" t="str">
        <f>IFERROR(INDEX(PARAMETRES!$F$536:$F$586,MATCH(R79,PARAMETRES!$J$536:$J$586,0)),"")</f>
        <v/>
      </c>
      <c r="V79" s="34" t="str">
        <f>IFERROR(INDEX(PARAMETRES!$G$536:$G$586,MATCH(R79,PARAMETRES!$J$536:$J$586,0)),"")</f>
        <v/>
      </c>
      <c r="W79" s="37"/>
      <c r="X79" s="50"/>
      <c r="Y79" s="50"/>
      <c r="Z79" s="50"/>
      <c r="AA79" s="50"/>
      <c r="AB79" s="34" t="str">
        <f t="shared" si="1"/>
        <v/>
      </c>
      <c r="AC79" s="34" t="str">
        <f t="shared" si="2"/>
        <v/>
      </c>
      <c r="AD79" s="37"/>
      <c r="AE79" s="37"/>
      <c r="AF79" s="51"/>
      <c r="AG79" s="51"/>
      <c r="AH79" s="52">
        <f>IF(A79="",0,SUMIF(tbl_Projets_Financements[ID Projet],A79,tbl_Projets_Financements[Montant recu]))</f>
        <v>0</v>
      </c>
      <c r="AI79" s="51"/>
      <c r="AJ79" s="52">
        <f t="shared" si="3"/>
        <v>0</v>
      </c>
      <c r="AK79" s="52">
        <f t="shared" si="4"/>
        <v>0</v>
      </c>
      <c r="AL79" s="53">
        <f t="shared" si="5"/>
        <v>0</v>
      </c>
      <c r="AM79" s="51"/>
      <c r="AN79" s="51"/>
      <c r="AO79" s="51"/>
      <c r="AP79" s="51"/>
      <c r="AQ79" s="51"/>
      <c r="AR79" s="51"/>
      <c r="AS79" s="34">
        <f>IF(A79="",0,COUNTIFS(tbl_Beneficiaires[ID projet],A79))</f>
        <v>0</v>
      </c>
      <c r="AT79" s="34">
        <f>IF(A79="",0,COUNTIFS(tbl_Beneficiaires[ID projet],A79,tbl_Beneficiaires[Sexe],"Feminin"))</f>
        <v>0</v>
      </c>
      <c r="AU79" s="34">
        <f>IF(A79="",0,COUNTIFS(tbl_Beneficiaires[ID projet],A79,tbl_Beneficiaires[Sexe],"Masculin"))</f>
        <v>0</v>
      </c>
      <c r="AV79" s="34">
        <f>IF(A79="",0,COUNTIFS(tbl_Beneficiaires[ID projet],A79,tbl_Beneficiaires[Menage vulnerable],"Oui"))</f>
        <v>0</v>
      </c>
      <c r="AW79" s="34">
        <f>IF(A79="",0,COUNTIFS(tbl_Beneficiaires[ID projet],A79,tbl_Beneficiaires[Handicap],"Oui"))</f>
        <v>0</v>
      </c>
      <c r="AX79" s="51"/>
      <c r="AY79" s="51"/>
      <c r="AZ79" s="51"/>
      <c r="BA79" s="51"/>
      <c r="BB79" s="51"/>
      <c r="BC79" s="53">
        <f t="shared" si="6"/>
        <v>0</v>
      </c>
      <c r="BD79" s="54"/>
      <c r="BE79" s="34" t="str">
        <f t="shared" ca="1" si="7"/>
        <v/>
      </c>
      <c r="BF79" s="34" t="str">
        <f t="shared" ca="1" si="8"/>
        <v/>
      </c>
      <c r="BG79" s="34" t="str">
        <f t="shared" si="9"/>
        <v/>
      </c>
      <c r="BH79" s="34" t="str">
        <f t="shared" si="10"/>
        <v/>
      </c>
      <c r="BI79" s="49"/>
    </row>
    <row r="80" spans="1:61" ht="15" customHeight="1">
      <c r="A80" s="34" t="str">
        <f t="shared" si="0"/>
        <v/>
      </c>
      <c r="B80" s="37"/>
      <c r="C80" s="37"/>
      <c r="D80" s="37"/>
      <c r="E80" s="49"/>
      <c r="F80" s="49"/>
      <c r="G80" s="49"/>
      <c r="H80" s="49"/>
      <c r="I80" s="49"/>
      <c r="J80" s="37"/>
      <c r="K80" s="37"/>
      <c r="L80" s="49"/>
      <c r="M80" s="37"/>
      <c r="N80" s="37"/>
      <c r="O80" s="37"/>
      <c r="P80" s="37"/>
      <c r="Q80" s="37"/>
      <c r="R80" s="37"/>
      <c r="S80" s="34" t="str">
        <f>IFERROR(INDEX(PARAMETRES!$B$536:$B$586,MATCH(R80,PARAMETRES!$J$536:$J$586,0)),"")</f>
        <v/>
      </c>
      <c r="T80" s="34" t="str">
        <f>IFERROR(INDEX(PARAMETRES!$D$536:$D$586,MATCH(R80,PARAMETRES!$J$536:$J$586,0)),"")</f>
        <v/>
      </c>
      <c r="U80" s="34" t="str">
        <f>IFERROR(INDEX(PARAMETRES!$F$536:$F$586,MATCH(R80,PARAMETRES!$J$536:$J$586,0)),"")</f>
        <v/>
      </c>
      <c r="V80" s="34" t="str">
        <f>IFERROR(INDEX(PARAMETRES!$G$536:$G$586,MATCH(R80,PARAMETRES!$J$536:$J$586,0)),"")</f>
        <v/>
      </c>
      <c r="W80" s="37"/>
      <c r="X80" s="50"/>
      <c r="Y80" s="50"/>
      <c r="Z80" s="50"/>
      <c r="AA80" s="50"/>
      <c r="AB80" s="34" t="str">
        <f t="shared" si="1"/>
        <v/>
      </c>
      <c r="AC80" s="34" t="str">
        <f t="shared" si="2"/>
        <v/>
      </c>
      <c r="AD80" s="37"/>
      <c r="AE80" s="37"/>
      <c r="AF80" s="51"/>
      <c r="AG80" s="51"/>
      <c r="AH80" s="52">
        <f>IF(A80="",0,SUMIF(tbl_Projets_Financements[ID Projet],A80,tbl_Projets_Financements[Montant recu]))</f>
        <v>0</v>
      </c>
      <c r="AI80" s="51"/>
      <c r="AJ80" s="52">
        <f t="shared" si="3"/>
        <v>0</v>
      </c>
      <c r="AK80" s="52">
        <f t="shared" si="4"/>
        <v>0</v>
      </c>
      <c r="AL80" s="53">
        <f t="shared" si="5"/>
        <v>0</v>
      </c>
      <c r="AM80" s="51"/>
      <c r="AN80" s="51"/>
      <c r="AO80" s="51"/>
      <c r="AP80" s="51"/>
      <c r="AQ80" s="51"/>
      <c r="AR80" s="51"/>
      <c r="AS80" s="34">
        <f>IF(A80="",0,COUNTIFS(tbl_Beneficiaires[ID projet],A80))</f>
        <v>0</v>
      </c>
      <c r="AT80" s="34">
        <f>IF(A80="",0,COUNTIFS(tbl_Beneficiaires[ID projet],A80,tbl_Beneficiaires[Sexe],"Feminin"))</f>
        <v>0</v>
      </c>
      <c r="AU80" s="34">
        <f>IF(A80="",0,COUNTIFS(tbl_Beneficiaires[ID projet],A80,tbl_Beneficiaires[Sexe],"Masculin"))</f>
        <v>0</v>
      </c>
      <c r="AV80" s="34">
        <f>IF(A80="",0,COUNTIFS(tbl_Beneficiaires[ID projet],A80,tbl_Beneficiaires[Menage vulnerable],"Oui"))</f>
        <v>0</v>
      </c>
      <c r="AW80" s="34">
        <f>IF(A80="",0,COUNTIFS(tbl_Beneficiaires[ID projet],A80,tbl_Beneficiaires[Handicap],"Oui"))</f>
        <v>0</v>
      </c>
      <c r="AX80" s="51"/>
      <c r="AY80" s="51"/>
      <c r="AZ80" s="51"/>
      <c r="BA80" s="51"/>
      <c r="BB80" s="51"/>
      <c r="BC80" s="53">
        <f t="shared" si="6"/>
        <v>0</v>
      </c>
      <c r="BD80" s="54"/>
      <c r="BE80" s="34" t="str">
        <f t="shared" ca="1" si="7"/>
        <v/>
      </c>
      <c r="BF80" s="34" t="str">
        <f t="shared" ca="1" si="8"/>
        <v/>
      </c>
      <c r="BG80" s="34" t="str">
        <f t="shared" si="9"/>
        <v/>
      </c>
      <c r="BH80" s="34" t="str">
        <f t="shared" si="10"/>
        <v/>
      </c>
      <c r="BI80" s="49"/>
    </row>
    <row r="81" spans="1:61" ht="15" customHeight="1">
      <c r="A81" s="34" t="str">
        <f t="shared" si="0"/>
        <v/>
      </c>
      <c r="B81" s="37"/>
      <c r="C81" s="37"/>
      <c r="D81" s="37"/>
      <c r="E81" s="49"/>
      <c r="F81" s="49"/>
      <c r="G81" s="49"/>
      <c r="H81" s="49"/>
      <c r="I81" s="49"/>
      <c r="J81" s="37"/>
      <c r="K81" s="37"/>
      <c r="L81" s="49"/>
      <c r="M81" s="37"/>
      <c r="N81" s="37"/>
      <c r="O81" s="37"/>
      <c r="P81" s="37"/>
      <c r="Q81" s="37"/>
      <c r="R81" s="37"/>
      <c r="S81" s="34" t="str">
        <f>IFERROR(INDEX(PARAMETRES!$B$536:$B$586,MATCH(R81,PARAMETRES!$J$536:$J$586,0)),"")</f>
        <v/>
      </c>
      <c r="T81" s="34" t="str">
        <f>IFERROR(INDEX(PARAMETRES!$D$536:$D$586,MATCH(R81,PARAMETRES!$J$536:$J$586,0)),"")</f>
        <v/>
      </c>
      <c r="U81" s="34" t="str">
        <f>IFERROR(INDEX(PARAMETRES!$F$536:$F$586,MATCH(R81,PARAMETRES!$J$536:$J$586,0)),"")</f>
        <v/>
      </c>
      <c r="V81" s="34" t="str">
        <f>IFERROR(INDEX(PARAMETRES!$G$536:$G$586,MATCH(R81,PARAMETRES!$J$536:$J$586,0)),"")</f>
        <v/>
      </c>
      <c r="W81" s="37"/>
      <c r="X81" s="50"/>
      <c r="Y81" s="50"/>
      <c r="Z81" s="50"/>
      <c r="AA81" s="50"/>
      <c r="AB81" s="34" t="str">
        <f t="shared" si="1"/>
        <v/>
      </c>
      <c r="AC81" s="34" t="str">
        <f t="shared" si="2"/>
        <v/>
      </c>
      <c r="AD81" s="37"/>
      <c r="AE81" s="37"/>
      <c r="AF81" s="51"/>
      <c r="AG81" s="51"/>
      <c r="AH81" s="52">
        <f>IF(A81="",0,SUMIF(tbl_Projets_Financements[ID Projet],A81,tbl_Projets_Financements[Montant recu]))</f>
        <v>0</v>
      </c>
      <c r="AI81" s="51"/>
      <c r="AJ81" s="52">
        <f t="shared" si="3"/>
        <v>0</v>
      </c>
      <c r="AK81" s="52">
        <f t="shared" si="4"/>
        <v>0</v>
      </c>
      <c r="AL81" s="53">
        <f t="shared" si="5"/>
        <v>0</v>
      </c>
      <c r="AM81" s="51"/>
      <c r="AN81" s="51"/>
      <c r="AO81" s="51"/>
      <c r="AP81" s="51"/>
      <c r="AQ81" s="51"/>
      <c r="AR81" s="51"/>
      <c r="AS81" s="34">
        <f>IF(A81="",0,COUNTIFS(tbl_Beneficiaires[ID projet],A81))</f>
        <v>0</v>
      </c>
      <c r="AT81" s="34">
        <f>IF(A81="",0,COUNTIFS(tbl_Beneficiaires[ID projet],A81,tbl_Beneficiaires[Sexe],"Feminin"))</f>
        <v>0</v>
      </c>
      <c r="AU81" s="34">
        <f>IF(A81="",0,COUNTIFS(tbl_Beneficiaires[ID projet],A81,tbl_Beneficiaires[Sexe],"Masculin"))</f>
        <v>0</v>
      </c>
      <c r="AV81" s="34">
        <f>IF(A81="",0,COUNTIFS(tbl_Beneficiaires[ID projet],A81,tbl_Beneficiaires[Menage vulnerable],"Oui"))</f>
        <v>0</v>
      </c>
      <c r="AW81" s="34">
        <f>IF(A81="",0,COUNTIFS(tbl_Beneficiaires[ID projet],A81,tbl_Beneficiaires[Handicap],"Oui"))</f>
        <v>0</v>
      </c>
      <c r="AX81" s="51"/>
      <c r="AY81" s="51"/>
      <c r="AZ81" s="51"/>
      <c r="BA81" s="51"/>
      <c r="BB81" s="51"/>
      <c r="BC81" s="53">
        <f t="shared" si="6"/>
        <v>0</v>
      </c>
      <c r="BD81" s="54"/>
      <c r="BE81" s="34" t="str">
        <f t="shared" ca="1" si="7"/>
        <v/>
      </c>
      <c r="BF81" s="34" t="str">
        <f t="shared" ca="1" si="8"/>
        <v/>
      </c>
      <c r="BG81" s="34" t="str">
        <f t="shared" si="9"/>
        <v/>
      </c>
      <c r="BH81" s="34" t="str">
        <f t="shared" si="10"/>
        <v/>
      </c>
      <c r="BI81" s="49"/>
    </row>
    <row r="82" spans="1:61" ht="15" customHeight="1">
      <c r="A82" s="34" t="str">
        <f t="shared" si="0"/>
        <v/>
      </c>
      <c r="B82" s="37"/>
      <c r="C82" s="37"/>
      <c r="D82" s="37"/>
      <c r="E82" s="49"/>
      <c r="F82" s="49"/>
      <c r="G82" s="49"/>
      <c r="H82" s="49"/>
      <c r="I82" s="49"/>
      <c r="J82" s="37"/>
      <c r="K82" s="37"/>
      <c r="L82" s="49"/>
      <c r="M82" s="37"/>
      <c r="N82" s="37"/>
      <c r="O82" s="37"/>
      <c r="P82" s="37"/>
      <c r="Q82" s="37"/>
      <c r="R82" s="37"/>
      <c r="S82" s="34" t="str">
        <f>IFERROR(INDEX(PARAMETRES!$B$536:$B$586,MATCH(R82,PARAMETRES!$J$536:$J$586,0)),"")</f>
        <v/>
      </c>
      <c r="T82" s="34" t="str">
        <f>IFERROR(INDEX(PARAMETRES!$D$536:$D$586,MATCH(R82,PARAMETRES!$J$536:$J$586,0)),"")</f>
        <v/>
      </c>
      <c r="U82" s="34" t="str">
        <f>IFERROR(INDEX(PARAMETRES!$F$536:$F$586,MATCH(R82,PARAMETRES!$J$536:$J$586,0)),"")</f>
        <v/>
      </c>
      <c r="V82" s="34" t="str">
        <f>IFERROR(INDEX(PARAMETRES!$G$536:$G$586,MATCH(R82,PARAMETRES!$J$536:$J$586,0)),"")</f>
        <v/>
      </c>
      <c r="W82" s="37"/>
      <c r="X82" s="50"/>
      <c r="Y82" s="50"/>
      <c r="Z82" s="50"/>
      <c r="AA82" s="50"/>
      <c r="AB82" s="34" t="str">
        <f t="shared" si="1"/>
        <v/>
      </c>
      <c r="AC82" s="34" t="str">
        <f t="shared" si="2"/>
        <v/>
      </c>
      <c r="AD82" s="37"/>
      <c r="AE82" s="37"/>
      <c r="AF82" s="51"/>
      <c r="AG82" s="51"/>
      <c r="AH82" s="52">
        <f>IF(A82="",0,SUMIF(tbl_Projets_Financements[ID Projet],A82,tbl_Projets_Financements[Montant recu]))</f>
        <v>0</v>
      </c>
      <c r="AI82" s="51"/>
      <c r="AJ82" s="52">
        <f t="shared" si="3"/>
        <v>0</v>
      </c>
      <c r="AK82" s="52">
        <f t="shared" si="4"/>
        <v>0</v>
      </c>
      <c r="AL82" s="53">
        <f t="shared" si="5"/>
        <v>0</v>
      </c>
      <c r="AM82" s="51"/>
      <c r="AN82" s="51"/>
      <c r="AO82" s="51"/>
      <c r="AP82" s="51"/>
      <c r="AQ82" s="51"/>
      <c r="AR82" s="51"/>
      <c r="AS82" s="34">
        <f>IF(A82="",0,COUNTIFS(tbl_Beneficiaires[ID projet],A82))</f>
        <v>0</v>
      </c>
      <c r="AT82" s="34">
        <f>IF(A82="",0,COUNTIFS(tbl_Beneficiaires[ID projet],A82,tbl_Beneficiaires[Sexe],"Feminin"))</f>
        <v>0</v>
      </c>
      <c r="AU82" s="34">
        <f>IF(A82="",0,COUNTIFS(tbl_Beneficiaires[ID projet],A82,tbl_Beneficiaires[Sexe],"Masculin"))</f>
        <v>0</v>
      </c>
      <c r="AV82" s="34">
        <f>IF(A82="",0,COUNTIFS(tbl_Beneficiaires[ID projet],A82,tbl_Beneficiaires[Menage vulnerable],"Oui"))</f>
        <v>0</v>
      </c>
      <c r="AW82" s="34">
        <f>IF(A82="",0,COUNTIFS(tbl_Beneficiaires[ID projet],A82,tbl_Beneficiaires[Handicap],"Oui"))</f>
        <v>0</v>
      </c>
      <c r="AX82" s="51"/>
      <c r="AY82" s="51"/>
      <c r="AZ82" s="51"/>
      <c r="BA82" s="51"/>
      <c r="BB82" s="51"/>
      <c r="BC82" s="53">
        <f t="shared" si="6"/>
        <v>0</v>
      </c>
      <c r="BD82" s="54"/>
      <c r="BE82" s="34" t="str">
        <f t="shared" ca="1" si="7"/>
        <v/>
      </c>
      <c r="BF82" s="34" t="str">
        <f t="shared" ca="1" si="8"/>
        <v/>
      </c>
      <c r="BG82" s="34" t="str">
        <f t="shared" si="9"/>
        <v/>
      </c>
      <c r="BH82" s="34" t="str">
        <f t="shared" si="10"/>
        <v/>
      </c>
      <c r="BI82" s="49"/>
    </row>
    <row r="83" spans="1:61" ht="15" customHeight="1">
      <c r="A83" s="34" t="str">
        <f t="shared" si="0"/>
        <v/>
      </c>
      <c r="B83" s="37"/>
      <c r="C83" s="37"/>
      <c r="D83" s="37"/>
      <c r="E83" s="49"/>
      <c r="F83" s="49"/>
      <c r="G83" s="49"/>
      <c r="H83" s="49"/>
      <c r="I83" s="49"/>
      <c r="J83" s="37"/>
      <c r="K83" s="37"/>
      <c r="L83" s="49"/>
      <c r="M83" s="37"/>
      <c r="N83" s="37"/>
      <c r="O83" s="37"/>
      <c r="P83" s="37"/>
      <c r="Q83" s="37"/>
      <c r="R83" s="37"/>
      <c r="S83" s="34" t="str">
        <f>IFERROR(INDEX(PARAMETRES!$B$536:$B$586,MATCH(R83,PARAMETRES!$J$536:$J$586,0)),"")</f>
        <v/>
      </c>
      <c r="T83" s="34" t="str">
        <f>IFERROR(INDEX(PARAMETRES!$D$536:$D$586,MATCH(R83,PARAMETRES!$J$536:$J$586,0)),"")</f>
        <v/>
      </c>
      <c r="U83" s="34" t="str">
        <f>IFERROR(INDEX(PARAMETRES!$F$536:$F$586,MATCH(R83,PARAMETRES!$J$536:$J$586,0)),"")</f>
        <v/>
      </c>
      <c r="V83" s="34" t="str">
        <f>IFERROR(INDEX(PARAMETRES!$G$536:$G$586,MATCH(R83,PARAMETRES!$J$536:$J$586,0)),"")</f>
        <v/>
      </c>
      <c r="W83" s="37"/>
      <c r="X83" s="50"/>
      <c r="Y83" s="50"/>
      <c r="Z83" s="50"/>
      <c r="AA83" s="50"/>
      <c r="AB83" s="34" t="str">
        <f t="shared" si="1"/>
        <v/>
      </c>
      <c r="AC83" s="34" t="str">
        <f t="shared" si="2"/>
        <v/>
      </c>
      <c r="AD83" s="37"/>
      <c r="AE83" s="37"/>
      <c r="AF83" s="51"/>
      <c r="AG83" s="51"/>
      <c r="AH83" s="52">
        <f>IF(A83="",0,SUMIF(tbl_Projets_Financements[ID Projet],A83,tbl_Projets_Financements[Montant recu]))</f>
        <v>0</v>
      </c>
      <c r="AI83" s="51"/>
      <c r="AJ83" s="52">
        <f t="shared" si="3"/>
        <v>0</v>
      </c>
      <c r="AK83" s="52">
        <f t="shared" si="4"/>
        <v>0</v>
      </c>
      <c r="AL83" s="53">
        <f t="shared" si="5"/>
        <v>0</v>
      </c>
      <c r="AM83" s="51"/>
      <c r="AN83" s="51"/>
      <c r="AO83" s="51"/>
      <c r="AP83" s="51"/>
      <c r="AQ83" s="51"/>
      <c r="AR83" s="51"/>
      <c r="AS83" s="34">
        <f>IF(A83="",0,COUNTIFS(tbl_Beneficiaires[ID projet],A83))</f>
        <v>0</v>
      </c>
      <c r="AT83" s="34">
        <f>IF(A83="",0,COUNTIFS(tbl_Beneficiaires[ID projet],A83,tbl_Beneficiaires[Sexe],"Feminin"))</f>
        <v>0</v>
      </c>
      <c r="AU83" s="34">
        <f>IF(A83="",0,COUNTIFS(tbl_Beneficiaires[ID projet],A83,tbl_Beneficiaires[Sexe],"Masculin"))</f>
        <v>0</v>
      </c>
      <c r="AV83" s="34">
        <f>IF(A83="",0,COUNTIFS(tbl_Beneficiaires[ID projet],A83,tbl_Beneficiaires[Menage vulnerable],"Oui"))</f>
        <v>0</v>
      </c>
      <c r="AW83" s="34">
        <f>IF(A83="",0,COUNTIFS(tbl_Beneficiaires[ID projet],A83,tbl_Beneficiaires[Handicap],"Oui"))</f>
        <v>0</v>
      </c>
      <c r="AX83" s="51"/>
      <c r="AY83" s="51"/>
      <c r="AZ83" s="51"/>
      <c r="BA83" s="51"/>
      <c r="BB83" s="51"/>
      <c r="BC83" s="53">
        <f t="shared" si="6"/>
        <v>0</v>
      </c>
      <c r="BD83" s="54"/>
      <c r="BE83" s="34" t="str">
        <f t="shared" ca="1" si="7"/>
        <v/>
      </c>
      <c r="BF83" s="34" t="str">
        <f t="shared" ca="1" si="8"/>
        <v/>
      </c>
      <c r="BG83" s="34" t="str">
        <f t="shared" si="9"/>
        <v/>
      </c>
      <c r="BH83" s="34" t="str">
        <f t="shared" si="10"/>
        <v/>
      </c>
      <c r="BI83" s="49"/>
    </row>
    <row r="84" spans="1:61" ht="15" customHeight="1">
      <c r="A84" s="34" t="str">
        <f t="shared" si="0"/>
        <v/>
      </c>
      <c r="B84" s="37"/>
      <c r="C84" s="37"/>
      <c r="D84" s="37"/>
      <c r="E84" s="49"/>
      <c r="F84" s="49"/>
      <c r="G84" s="49"/>
      <c r="H84" s="49"/>
      <c r="I84" s="49"/>
      <c r="J84" s="37"/>
      <c r="K84" s="37"/>
      <c r="L84" s="49"/>
      <c r="M84" s="37"/>
      <c r="N84" s="37"/>
      <c r="O84" s="37"/>
      <c r="P84" s="37"/>
      <c r="Q84" s="37"/>
      <c r="R84" s="37"/>
      <c r="S84" s="34" t="str">
        <f>IFERROR(INDEX(PARAMETRES!$B$536:$B$586,MATCH(R84,PARAMETRES!$J$536:$J$586,0)),"")</f>
        <v/>
      </c>
      <c r="T84" s="34" t="str">
        <f>IFERROR(INDEX(PARAMETRES!$D$536:$D$586,MATCH(R84,PARAMETRES!$J$536:$J$586,0)),"")</f>
        <v/>
      </c>
      <c r="U84" s="34" t="str">
        <f>IFERROR(INDEX(PARAMETRES!$F$536:$F$586,MATCH(R84,PARAMETRES!$J$536:$J$586,0)),"")</f>
        <v/>
      </c>
      <c r="V84" s="34" t="str">
        <f>IFERROR(INDEX(PARAMETRES!$G$536:$G$586,MATCH(R84,PARAMETRES!$J$536:$J$586,0)),"")</f>
        <v/>
      </c>
      <c r="W84" s="37"/>
      <c r="X84" s="50"/>
      <c r="Y84" s="50"/>
      <c r="Z84" s="50"/>
      <c r="AA84" s="50"/>
      <c r="AB84" s="34" t="str">
        <f t="shared" si="1"/>
        <v/>
      </c>
      <c r="AC84" s="34" t="str">
        <f t="shared" si="2"/>
        <v/>
      </c>
      <c r="AD84" s="37"/>
      <c r="AE84" s="37"/>
      <c r="AF84" s="51"/>
      <c r="AG84" s="51"/>
      <c r="AH84" s="52">
        <f>IF(A84="",0,SUMIF(tbl_Projets_Financements[ID Projet],A84,tbl_Projets_Financements[Montant recu]))</f>
        <v>0</v>
      </c>
      <c r="AI84" s="51"/>
      <c r="AJ84" s="52">
        <f t="shared" si="3"/>
        <v>0</v>
      </c>
      <c r="AK84" s="52">
        <f t="shared" si="4"/>
        <v>0</v>
      </c>
      <c r="AL84" s="53">
        <f t="shared" si="5"/>
        <v>0</v>
      </c>
      <c r="AM84" s="51"/>
      <c r="AN84" s="51"/>
      <c r="AO84" s="51"/>
      <c r="AP84" s="51"/>
      <c r="AQ84" s="51"/>
      <c r="AR84" s="51"/>
      <c r="AS84" s="34">
        <f>IF(A84="",0,COUNTIFS(tbl_Beneficiaires[ID projet],A84))</f>
        <v>0</v>
      </c>
      <c r="AT84" s="34">
        <f>IF(A84="",0,COUNTIFS(tbl_Beneficiaires[ID projet],A84,tbl_Beneficiaires[Sexe],"Feminin"))</f>
        <v>0</v>
      </c>
      <c r="AU84" s="34">
        <f>IF(A84="",0,COUNTIFS(tbl_Beneficiaires[ID projet],A84,tbl_Beneficiaires[Sexe],"Masculin"))</f>
        <v>0</v>
      </c>
      <c r="AV84" s="34">
        <f>IF(A84="",0,COUNTIFS(tbl_Beneficiaires[ID projet],A84,tbl_Beneficiaires[Menage vulnerable],"Oui"))</f>
        <v>0</v>
      </c>
      <c r="AW84" s="34">
        <f>IF(A84="",0,COUNTIFS(tbl_Beneficiaires[ID projet],A84,tbl_Beneficiaires[Handicap],"Oui"))</f>
        <v>0</v>
      </c>
      <c r="AX84" s="51"/>
      <c r="AY84" s="51"/>
      <c r="AZ84" s="51"/>
      <c r="BA84" s="51"/>
      <c r="BB84" s="51"/>
      <c r="BC84" s="53">
        <f t="shared" si="6"/>
        <v>0</v>
      </c>
      <c r="BD84" s="54"/>
      <c r="BE84" s="34" t="str">
        <f t="shared" ca="1" si="7"/>
        <v/>
      </c>
      <c r="BF84" s="34" t="str">
        <f t="shared" ca="1" si="8"/>
        <v/>
      </c>
      <c r="BG84" s="34" t="str">
        <f t="shared" si="9"/>
        <v/>
      </c>
      <c r="BH84" s="34" t="str">
        <f t="shared" si="10"/>
        <v/>
      </c>
      <c r="BI84" s="49"/>
    </row>
    <row r="85" spans="1:61" ht="15" customHeight="1">
      <c r="A85" s="34" t="str">
        <f t="shared" si="0"/>
        <v/>
      </c>
      <c r="B85" s="37"/>
      <c r="C85" s="37"/>
      <c r="D85" s="37"/>
      <c r="E85" s="49"/>
      <c r="F85" s="49"/>
      <c r="G85" s="49"/>
      <c r="H85" s="49"/>
      <c r="I85" s="49"/>
      <c r="J85" s="37"/>
      <c r="K85" s="37"/>
      <c r="L85" s="49"/>
      <c r="M85" s="37"/>
      <c r="N85" s="37"/>
      <c r="O85" s="37"/>
      <c r="P85" s="37"/>
      <c r="Q85" s="37"/>
      <c r="R85" s="37"/>
      <c r="S85" s="34" t="str">
        <f>IFERROR(INDEX(PARAMETRES!$B$536:$B$586,MATCH(R85,PARAMETRES!$J$536:$J$586,0)),"")</f>
        <v/>
      </c>
      <c r="T85" s="34" t="str">
        <f>IFERROR(INDEX(PARAMETRES!$D$536:$D$586,MATCH(R85,PARAMETRES!$J$536:$J$586,0)),"")</f>
        <v/>
      </c>
      <c r="U85" s="34" t="str">
        <f>IFERROR(INDEX(PARAMETRES!$F$536:$F$586,MATCH(R85,PARAMETRES!$J$536:$J$586,0)),"")</f>
        <v/>
      </c>
      <c r="V85" s="34" t="str">
        <f>IFERROR(INDEX(PARAMETRES!$G$536:$G$586,MATCH(R85,PARAMETRES!$J$536:$J$586,0)),"")</f>
        <v/>
      </c>
      <c r="W85" s="37"/>
      <c r="X85" s="50"/>
      <c r="Y85" s="50"/>
      <c r="Z85" s="50"/>
      <c r="AA85" s="50"/>
      <c r="AB85" s="34" t="str">
        <f t="shared" si="1"/>
        <v/>
      </c>
      <c r="AC85" s="34" t="str">
        <f t="shared" si="2"/>
        <v/>
      </c>
      <c r="AD85" s="37"/>
      <c r="AE85" s="37"/>
      <c r="AF85" s="51"/>
      <c r="AG85" s="51"/>
      <c r="AH85" s="52">
        <f>IF(A85="",0,SUMIF(tbl_Projets_Financements[ID Projet],A85,tbl_Projets_Financements[Montant recu]))</f>
        <v>0</v>
      </c>
      <c r="AI85" s="51"/>
      <c r="AJ85" s="52">
        <f t="shared" si="3"/>
        <v>0</v>
      </c>
      <c r="AK85" s="52">
        <f t="shared" si="4"/>
        <v>0</v>
      </c>
      <c r="AL85" s="53">
        <f t="shared" si="5"/>
        <v>0</v>
      </c>
      <c r="AM85" s="51"/>
      <c r="AN85" s="51"/>
      <c r="AO85" s="51"/>
      <c r="AP85" s="51"/>
      <c r="AQ85" s="51"/>
      <c r="AR85" s="51"/>
      <c r="AS85" s="34">
        <f>IF(A85="",0,COUNTIFS(tbl_Beneficiaires[ID projet],A85))</f>
        <v>0</v>
      </c>
      <c r="AT85" s="34">
        <f>IF(A85="",0,COUNTIFS(tbl_Beneficiaires[ID projet],A85,tbl_Beneficiaires[Sexe],"Feminin"))</f>
        <v>0</v>
      </c>
      <c r="AU85" s="34">
        <f>IF(A85="",0,COUNTIFS(tbl_Beneficiaires[ID projet],A85,tbl_Beneficiaires[Sexe],"Masculin"))</f>
        <v>0</v>
      </c>
      <c r="AV85" s="34">
        <f>IF(A85="",0,COUNTIFS(tbl_Beneficiaires[ID projet],A85,tbl_Beneficiaires[Menage vulnerable],"Oui"))</f>
        <v>0</v>
      </c>
      <c r="AW85" s="34">
        <f>IF(A85="",0,COUNTIFS(tbl_Beneficiaires[ID projet],A85,tbl_Beneficiaires[Handicap],"Oui"))</f>
        <v>0</v>
      </c>
      <c r="AX85" s="51"/>
      <c r="AY85" s="51"/>
      <c r="AZ85" s="51"/>
      <c r="BA85" s="51"/>
      <c r="BB85" s="51"/>
      <c r="BC85" s="53">
        <f t="shared" si="6"/>
        <v>0</v>
      </c>
      <c r="BD85" s="54"/>
      <c r="BE85" s="34" t="str">
        <f t="shared" ca="1" si="7"/>
        <v/>
      </c>
      <c r="BF85" s="34" t="str">
        <f t="shared" ca="1" si="8"/>
        <v/>
      </c>
      <c r="BG85" s="34" t="str">
        <f t="shared" si="9"/>
        <v/>
      </c>
      <c r="BH85" s="34" t="str">
        <f t="shared" si="10"/>
        <v/>
      </c>
      <c r="BI85" s="49"/>
    </row>
    <row r="86" spans="1:61" ht="15" customHeight="1">
      <c r="A86" s="34" t="str">
        <f t="shared" si="0"/>
        <v/>
      </c>
      <c r="B86" s="37"/>
      <c r="C86" s="37"/>
      <c r="D86" s="37"/>
      <c r="E86" s="49"/>
      <c r="F86" s="49"/>
      <c r="G86" s="49"/>
      <c r="H86" s="49"/>
      <c r="I86" s="49"/>
      <c r="J86" s="37"/>
      <c r="K86" s="37"/>
      <c r="L86" s="49"/>
      <c r="M86" s="37"/>
      <c r="N86" s="37"/>
      <c r="O86" s="37"/>
      <c r="P86" s="37"/>
      <c r="Q86" s="37"/>
      <c r="R86" s="37"/>
      <c r="S86" s="34" t="str">
        <f>IFERROR(INDEX(PARAMETRES!$B$536:$B$586,MATCH(R86,PARAMETRES!$J$536:$J$586,0)),"")</f>
        <v/>
      </c>
      <c r="T86" s="34" t="str">
        <f>IFERROR(INDEX(PARAMETRES!$D$536:$D$586,MATCH(R86,PARAMETRES!$J$536:$J$586,0)),"")</f>
        <v/>
      </c>
      <c r="U86" s="34" t="str">
        <f>IFERROR(INDEX(PARAMETRES!$F$536:$F$586,MATCH(R86,PARAMETRES!$J$536:$J$586,0)),"")</f>
        <v/>
      </c>
      <c r="V86" s="34" t="str">
        <f>IFERROR(INDEX(PARAMETRES!$G$536:$G$586,MATCH(R86,PARAMETRES!$J$536:$J$586,0)),"")</f>
        <v/>
      </c>
      <c r="W86" s="37"/>
      <c r="X86" s="50"/>
      <c r="Y86" s="50"/>
      <c r="Z86" s="50"/>
      <c r="AA86" s="50"/>
      <c r="AB86" s="34" t="str">
        <f t="shared" si="1"/>
        <v/>
      </c>
      <c r="AC86" s="34" t="str">
        <f t="shared" si="2"/>
        <v/>
      </c>
      <c r="AD86" s="37"/>
      <c r="AE86" s="37"/>
      <c r="AF86" s="51"/>
      <c r="AG86" s="51"/>
      <c r="AH86" s="52">
        <f>IF(A86="",0,SUMIF(tbl_Projets_Financements[ID Projet],A86,tbl_Projets_Financements[Montant recu]))</f>
        <v>0</v>
      </c>
      <c r="AI86" s="51"/>
      <c r="AJ86" s="52">
        <f t="shared" si="3"/>
        <v>0</v>
      </c>
      <c r="AK86" s="52">
        <f t="shared" si="4"/>
        <v>0</v>
      </c>
      <c r="AL86" s="53">
        <f t="shared" si="5"/>
        <v>0</v>
      </c>
      <c r="AM86" s="51"/>
      <c r="AN86" s="51"/>
      <c r="AO86" s="51"/>
      <c r="AP86" s="51"/>
      <c r="AQ86" s="51"/>
      <c r="AR86" s="51"/>
      <c r="AS86" s="34">
        <f>IF(A86="",0,COUNTIFS(tbl_Beneficiaires[ID projet],A86))</f>
        <v>0</v>
      </c>
      <c r="AT86" s="34">
        <f>IF(A86="",0,COUNTIFS(tbl_Beneficiaires[ID projet],A86,tbl_Beneficiaires[Sexe],"Feminin"))</f>
        <v>0</v>
      </c>
      <c r="AU86" s="34">
        <f>IF(A86="",0,COUNTIFS(tbl_Beneficiaires[ID projet],A86,tbl_Beneficiaires[Sexe],"Masculin"))</f>
        <v>0</v>
      </c>
      <c r="AV86" s="34">
        <f>IF(A86="",0,COUNTIFS(tbl_Beneficiaires[ID projet],A86,tbl_Beneficiaires[Menage vulnerable],"Oui"))</f>
        <v>0</v>
      </c>
      <c r="AW86" s="34">
        <f>IF(A86="",0,COUNTIFS(tbl_Beneficiaires[ID projet],A86,tbl_Beneficiaires[Handicap],"Oui"))</f>
        <v>0</v>
      </c>
      <c r="AX86" s="51"/>
      <c r="AY86" s="51"/>
      <c r="AZ86" s="51"/>
      <c r="BA86" s="51"/>
      <c r="BB86" s="51"/>
      <c r="BC86" s="53">
        <f t="shared" si="6"/>
        <v>0</v>
      </c>
      <c r="BD86" s="54"/>
      <c r="BE86" s="34" t="str">
        <f t="shared" ca="1" si="7"/>
        <v/>
      </c>
      <c r="BF86" s="34" t="str">
        <f t="shared" ca="1" si="8"/>
        <v/>
      </c>
      <c r="BG86" s="34" t="str">
        <f t="shared" si="9"/>
        <v/>
      </c>
      <c r="BH86" s="34" t="str">
        <f t="shared" si="10"/>
        <v/>
      </c>
      <c r="BI86" s="49"/>
    </row>
    <row r="87" spans="1:61" ht="15" customHeight="1">
      <c r="A87" s="34" t="str">
        <f t="shared" si="0"/>
        <v/>
      </c>
      <c r="B87" s="37"/>
      <c r="C87" s="37"/>
      <c r="D87" s="37"/>
      <c r="E87" s="49"/>
      <c r="F87" s="49"/>
      <c r="G87" s="49"/>
      <c r="H87" s="49"/>
      <c r="I87" s="49"/>
      <c r="J87" s="37"/>
      <c r="K87" s="37"/>
      <c r="L87" s="49"/>
      <c r="M87" s="37"/>
      <c r="N87" s="37"/>
      <c r="O87" s="37"/>
      <c r="P87" s="37"/>
      <c r="Q87" s="37"/>
      <c r="R87" s="37"/>
      <c r="S87" s="34" t="str">
        <f>IFERROR(INDEX(PARAMETRES!$B$536:$B$586,MATCH(R87,PARAMETRES!$J$536:$J$586,0)),"")</f>
        <v/>
      </c>
      <c r="T87" s="34" t="str">
        <f>IFERROR(INDEX(PARAMETRES!$D$536:$D$586,MATCH(R87,PARAMETRES!$J$536:$J$586,0)),"")</f>
        <v/>
      </c>
      <c r="U87" s="34" t="str">
        <f>IFERROR(INDEX(PARAMETRES!$F$536:$F$586,MATCH(R87,PARAMETRES!$J$536:$J$586,0)),"")</f>
        <v/>
      </c>
      <c r="V87" s="34" t="str">
        <f>IFERROR(INDEX(PARAMETRES!$G$536:$G$586,MATCH(R87,PARAMETRES!$J$536:$J$586,0)),"")</f>
        <v/>
      </c>
      <c r="W87" s="37"/>
      <c r="X87" s="50"/>
      <c r="Y87" s="50"/>
      <c r="Z87" s="50"/>
      <c r="AA87" s="50"/>
      <c r="AB87" s="34" t="str">
        <f t="shared" si="1"/>
        <v/>
      </c>
      <c r="AC87" s="34" t="str">
        <f t="shared" si="2"/>
        <v/>
      </c>
      <c r="AD87" s="37"/>
      <c r="AE87" s="37"/>
      <c r="AF87" s="51"/>
      <c r="AG87" s="51"/>
      <c r="AH87" s="52">
        <f>IF(A87="",0,SUMIF(tbl_Projets_Financements[ID Projet],A87,tbl_Projets_Financements[Montant recu]))</f>
        <v>0</v>
      </c>
      <c r="AI87" s="51"/>
      <c r="AJ87" s="52">
        <f t="shared" si="3"/>
        <v>0</v>
      </c>
      <c r="AK87" s="52">
        <f t="shared" si="4"/>
        <v>0</v>
      </c>
      <c r="AL87" s="53">
        <f t="shared" si="5"/>
        <v>0</v>
      </c>
      <c r="AM87" s="51"/>
      <c r="AN87" s="51"/>
      <c r="AO87" s="51"/>
      <c r="AP87" s="51"/>
      <c r="AQ87" s="51"/>
      <c r="AR87" s="51"/>
      <c r="AS87" s="34">
        <f>IF(A87="",0,COUNTIFS(tbl_Beneficiaires[ID projet],A87))</f>
        <v>0</v>
      </c>
      <c r="AT87" s="34">
        <f>IF(A87="",0,COUNTIFS(tbl_Beneficiaires[ID projet],A87,tbl_Beneficiaires[Sexe],"Feminin"))</f>
        <v>0</v>
      </c>
      <c r="AU87" s="34">
        <f>IF(A87="",0,COUNTIFS(tbl_Beneficiaires[ID projet],A87,tbl_Beneficiaires[Sexe],"Masculin"))</f>
        <v>0</v>
      </c>
      <c r="AV87" s="34">
        <f>IF(A87="",0,COUNTIFS(tbl_Beneficiaires[ID projet],A87,tbl_Beneficiaires[Menage vulnerable],"Oui"))</f>
        <v>0</v>
      </c>
      <c r="AW87" s="34">
        <f>IF(A87="",0,COUNTIFS(tbl_Beneficiaires[ID projet],A87,tbl_Beneficiaires[Handicap],"Oui"))</f>
        <v>0</v>
      </c>
      <c r="AX87" s="51"/>
      <c r="AY87" s="51"/>
      <c r="AZ87" s="51"/>
      <c r="BA87" s="51"/>
      <c r="BB87" s="51"/>
      <c r="BC87" s="53">
        <f t="shared" si="6"/>
        <v>0</v>
      </c>
      <c r="BD87" s="54"/>
      <c r="BE87" s="34" t="str">
        <f t="shared" ca="1" si="7"/>
        <v/>
      </c>
      <c r="BF87" s="34" t="str">
        <f t="shared" ca="1" si="8"/>
        <v/>
      </c>
      <c r="BG87" s="34" t="str">
        <f t="shared" si="9"/>
        <v/>
      </c>
      <c r="BH87" s="34" t="str">
        <f t="shared" si="10"/>
        <v/>
      </c>
      <c r="BI87" s="49"/>
    </row>
    <row r="88" spans="1:61" ht="15" customHeight="1">
      <c r="A88" s="34" t="str">
        <f t="shared" si="0"/>
        <v/>
      </c>
      <c r="B88" s="37"/>
      <c r="C88" s="37"/>
      <c r="D88" s="37"/>
      <c r="E88" s="49"/>
      <c r="F88" s="49"/>
      <c r="G88" s="49"/>
      <c r="H88" s="49"/>
      <c r="I88" s="49"/>
      <c r="J88" s="37"/>
      <c r="K88" s="37"/>
      <c r="L88" s="49"/>
      <c r="M88" s="37"/>
      <c r="N88" s="37"/>
      <c r="O88" s="37"/>
      <c r="P88" s="37"/>
      <c r="Q88" s="37"/>
      <c r="R88" s="37"/>
      <c r="S88" s="34" t="str">
        <f>IFERROR(INDEX(PARAMETRES!$B$536:$B$586,MATCH(R88,PARAMETRES!$J$536:$J$586,0)),"")</f>
        <v/>
      </c>
      <c r="T88" s="34" t="str">
        <f>IFERROR(INDEX(PARAMETRES!$D$536:$D$586,MATCH(R88,PARAMETRES!$J$536:$J$586,0)),"")</f>
        <v/>
      </c>
      <c r="U88" s="34" t="str">
        <f>IFERROR(INDEX(PARAMETRES!$F$536:$F$586,MATCH(R88,PARAMETRES!$J$536:$J$586,0)),"")</f>
        <v/>
      </c>
      <c r="V88" s="34" t="str">
        <f>IFERROR(INDEX(PARAMETRES!$G$536:$G$586,MATCH(R88,PARAMETRES!$J$536:$J$586,0)),"")</f>
        <v/>
      </c>
      <c r="W88" s="37"/>
      <c r="X88" s="50"/>
      <c r="Y88" s="50"/>
      <c r="Z88" s="50"/>
      <c r="AA88" s="50"/>
      <c r="AB88" s="34" t="str">
        <f t="shared" si="1"/>
        <v/>
      </c>
      <c r="AC88" s="34" t="str">
        <f t="shared" si="2"/>
        <v/>
      </c>
      <c r="AD88" s="37"/>
      <c r="AE88" s="37"/>
      <c r="AF88" s="51"/>
      <c r="AG88" s="51"/>
      <c r="AH88" s="52">
        <f>IF(A88="",0,SUMIF(tbl_Projets_Financements[ID Projet],A88,tbl_Projets_Financements[Montant recu]))</f>
        <v>0</v>
      </c>
      <c r="AI88" s="51"/>
      <c r="AJ88" s="52">
        <f t="shared" si="3"/>
        <v>0</v>
      </c>
      <c r="AK88" s="52">
        <f t="shared" si="4"/>
        <v>0</v>
      </c>
      <c r="AL88" s="53">
        <f t="shared" si="5"/>
        <v>0</v>
      </c>
      <c r="AM88" s="51"/>
      <c r="AN88" s="51"/>
      <c r="AO88" s="51"/>
      <c r="AP88" s="51"/>
      <c r="AQ88" s="51"/>
      <c r="AR88" s="51"/>
      <c r="AS88" s="34">
        <f>IF(A88="",0,COUNTIFS(tbl_Beneficiaires[ID projet],A88))</f>
        <v>0</v>
      </c>
      <c r="AT88" s="34">
        <f>IF(A88="",0,COUNTIFS(tbl_Beneficiaires[ID projet],A88,tbl_Beneficiaires[Sexe],"Feminin"))</f>
        <v>0</v>
      </c>
      <c r="AU88" s="34">
        <f>IF(A88="",0,COUNTIFS(tbl_Beneficiaires[ID projet],A88,tbl_Beneficiaires[Sexe],"Masculin"))</f>
        <v>0</v>
      </c>
      <c r="AV88" s="34">
        <f>IF(A88="",0,COUNTIFS(tbl_Beneficiaires[ID projet],A88,tbl_Beneficiaires[Menage vulnerable],"Oui"))</f>
        <v>0</v>
      </c>
      <c r="AW88" s="34">
        <f>IF(A88="",0,COUNTIFS(tbl_Beneficiaires[ID projet],A88,tbl_Beneficiaires[Handicap],"Oui"))</f>
        <v>0</v>
      </c>
      <c r="AX88" s="51"/>
      <c r="AY88" s="51"/>
      <c r="AZ88" s="51"/>
      <c r="BA88" s="51"/>
      <c r="BB88" s="51"/>
      <c r="BC88" s="53">
        <f t="shared" si="6"/>
        <v>0</v>
      </c>
      <c r="BD88" s="54"/>
      <c r="BE88" s="34" t="str">
        <f t="shared" ca="1" si="7"/>
        <v/>
      </c>
      <c r="BF88" s="34" t="str">
        <f t="shared" ca="1" si="8"/>
        <v/>
      </c>
      <c r="BG88" s="34" t="str">
        <f t="shared" si="9"/>
        <v/>
      </c>
      <c r="BH88" s="34" t="str">
        <f t="shared" si="10"/>
        <v/>
      </c>
      <c r="BI88" s="49"/>
    </row>
    <row r="89" spans="1:61" ht="15" customHeight="1">
      <c r="A89" s="34" t="str">
        <f t="shared" si="0"/>
        <v/>
      </c>
      <c r="B89" s="37"/>
      <c r="C89" s="37"/>
      <c r="D89" s="37"/>
      <c r="E89" s="49"/>
      <c r="F89" s="49"/>
      <c r="G89" s="49"/>
      <c r="H89" s="49"/>
      <c r="I89" s="49"/>
      <c r="J89" s="37"/>
      <c r="K89" s="37"/>
      <c r="L89" s="49"/>
      <c r="M89" s="37"/>
      <c r="N89" s="37"/>
      <c r="O89" s="37"/>
      <c r="P89" s="37"/>
      <c r="Q89" s="37"/>
      <c r="R89" s="37"/>
      <c r="S89" s="34" t="str">
        <f>IFERROR(INDEX(PARAMETRES!$B$536:$B$586,MATCH(R89,PARAMETRES!$J$536:$J$586,0)),"")</f>
        <v/>
      </c>
      <c r="T89" s="34" t="str">
        <f>IFERROR(INDEX(PARAMETRES!$D$536:$D$586,MATCH(R89,PARAMETRES!$J$536:$J$586,0)),"")</f>
        <v/>
      </c>
      <c r="U89" s="34" t="str">
        <f>IFERROR(INDEX(PARAMETRES!$F$536:$F$586,MATCH(R89,PARAMETRES!$J$536:$J$586,0)),"")</f>
        <v/>
      </c>
      <c r="V89" s="34" t="str">
        <f>IFERROR(INDEX(PARAMETRES!$G$536:$G$586,MATCH(R89,PARAMETRES!$J$536:$J$586,0)),"")</f>
        <v/>
      </c>
      <c r="W89" s="37"/>
      <c r="X89" s="50"/>
      <c r="Y89" s="50"/>
      <c r="Z89" s="50"/>
      <c r="AA89" s="50"/>
      <c r="AB89" s="34" t="str">
        <f t="shared" si="1"/>
        <v/>
      </c>
      <c r="AC89" s="34" t="str">
        <f t="shared" si="2"/>
        <v/>
      </c>
      <c r="AD89" s="37"/>
      <c r="AE89" s="37"/>
      <c r="AF89" s="51"/>
      <c r="AG89" s="51"/>
      <c r="AH89" s="52">
        <f>IF(A89="",0,SUMIF(tbl_Projets_Financements[ID Projet],A89,tbl_Projets_Financements[Montant recu]))</f>
        <v>0</v>
      </c>
      <c r="AI89" s="51"/>
      <c r="AJ89" s="52">
        <f t="shared" si="3"/>
        <v>0</v>
      </c>
      <c r="AK89" s="52">
        <f t="shared" si="4"/>
        <v>0</v>
      </c>
      <c r="AL89" s="53">
        <f t="shared" si="5"/>
        <v>0</v>
      </c>
      <c r="AM89" s="51"/>
      <c r="AN89" s="51"/>
      <c r="AO89" s="51"/>
      <c r="AP89" s="51"/>
      <c r="AQ89" s="51"/>
      <c r="AR89" s="51"/>
      <c r="AS89" s="34">
        <f>IF(A89="",0,COUNTIFS(tbl_Beneficiaires[ID projet],A89))</f>
        <v>0</v>
      </c>
      <c r="AT89" s="34">
        <f>IF(A89="",0,COUNTIFS(tbl_Beneficiaires[ID projet],A89,tbl_Beneficiaires[Sexe],"Feminin"))</f>
        <v>0</v>
      </c>
      <c r="AU89" s="34">
        <f>IF(A89="",0,COUNTIFS(tbl_Beneficiaires[ID projet],A89,tbl_Beneficiaires[Sexe],"Masculin"))</f>
        <v>0</v>
      </c>
      <c r="AV89" s="34">
        <f>IF(A89="",0,COUNTIFS(tbl_Beneficiaires[ID projet],A89,tbl_Beneficiaires[Menage vulnerable],"Oui"))</f>
        <v>0</v>
      </c>
      <c r="AW89" s="34">
        <f>IF(A89="",0,COUNTIFS(tbl_Beneficiaires[ID projet],A89,tbl_Beneficiaires[Handicap],"Oui"))</f>
        <v>0</v>
      </c>
      <c r="AX89" s="51"/>
      <c r="AY89" s="51"/>
      <c r="AZ89" s="51"/>
      <c r="BA89" s="51"/>
      <c r="BB89" s="51"/>
      <c r="BC89" s="53">
        <f t="shared" si="6"/>
        <v>0</v>
      </c>
      <c r="BD89" s="54"/>
      <c r="BE89" s="34" t="str">
        <f t="shared" ca="1" si="7"/>
        <v/>
      </c>
      <c r="BF89" s="34" t="str">
        <f t="shared" ca="1" si="8"/>
        <v/>
      </c>
      <c r="BG89" s="34" t="str">
        <f t="shared" si="9"/>
        <v/>
      </c>
      <c r="BH89" s="34" t="str">
        <f t="shared" si="10"/>
        <v/>
      </c>
      <c r="BI89" s="49"/>
    </row>
    <row r="90" spans="1:61" ht="15" customHeight="1">
      <c r="A90" s="34" t="str">
        <f t="shared" si="0"/>
        <v/>
      </c>
      <c r="B90" s="37"/>
      <c r="C90" s="37"/>
      <c r="D90" s="37"/>
      <c r="E90" s="49"/>
      <c r="F90" s="49"/>
      <c r="G90" s="49"/>
      <c r="H90" s="49"/>
      <c r="I90" s="49"/>
      <c r="J90" s="37"/>
      <c r="K90" s="37"/>
      <c r="L90" s="49"/>
      <c r="M90" s="37"/>
      <c r="N90" s="37"/>
      <c r="O90" s="37"/>
      <c r="P90" s="37"/>
      <c r="Q90" s="37"/>
      <c r="R90" s="37"/>
      <c r="S90" s="34" t="str">
        <f>IFERROR(INDEX(PARAMETRES!$B$536:$B$586,MATCH(R90,PARAMETRES!$J$536:$J$586,0)),"")</f>
        <v/>
      </c>
      <c r="T90" s="34" t="str">
        <f>IFERROR(INDEX(PARAMETRES!$D$536:$D$586,MATCH(R90,PARAMETRES!$J$536:$J$586,0)),"")</f>
        <v/>
      </c>
      <c r="U90" s="34" t="str">
        <f>IFERROR(INDEX(PARAMETRES!$F$536:$F$586,MATCH(R90,PARAMETRES!$J$536:$J$586,0)),"")</f>
        <v/>
      </c>
      <c r="V90" s="34" t="str">
        <f>IFERROR(INDEX(PARAMETRES!$G$536:$G$586,MATCH(R90,PARAMETRES!$J$536:$J$586,0)),"")</f>
        <v/>
      </c>
      <c r="W90" s="37"/>
      <c r="X90" s="50"/>
      <c r="Y90" s="50"/>
      <c r="Z90" s="50"/>
      <c r="AA90" s="50"/>
      <c r="AB90" s="34" t="str">
        <f t="shared" si="1"/>
        <v/>
      </c>
      <c r="AC90" s="34" t="str">
        <f t="shared" si="2"/>
        <v/>
      </c>
      <c r="AD90" s="37"/>
      <c r="AE90" s="37"/>
      <c r="AF90" s="51"/>
      <c r="AG90" s="51"/>
      <c r="AH90" s="52">
        <f>IF(A90="",0,SUMIF(tbl_Projets_Financements[ID Projet],A90,tbl_Projets_Financements[Montant recu]))</f>
        <v>0</v>
      </c>
      <c r="AI90" s="51"/>
      <c r="AJ90" s="52">
        <f t="shared" si="3"/>
        <v>0</v>
      </c>
      <c r="AK90" s="52">
        <f t="shared" si="4"/>
        <v>0</v>
      </c>
      <c r="AL90" s="53">
        <f t="shared" si="5"/>
        <v>0</v>
      </c>
      <c r="AM90" s="51"/>
      <c r="AN90" s="51"/>
      <c r="AO90" s="51"/>
      <c r="AP90" s="51"/>
      <c r="AQ90" s="51"/>
      <c r="AR90" s="51"/>
      <c r="AS90" s="34">
        <f>IF(A90="",0,COUNTIFS(tbl_Beneficiaires[ID projet],A90))</f>
        <v>0</v>
      </c>
      <c r="AT90" s="34">
        <f>IF(A90="",0,COUNTIFS(tbl_Beneficiaires[ID projet],A90,tbl_Beneficiaires[Sexe],"Feminin"))</f>
        <v>0</v>
      </c>
      <c r="AU90" s="34">
        <f>IF(A90="",0,COUNTIFS(tbl_Beneficiaires[ID projet],A90,tbl_Beneficiaires[Sexe],"Masculin"))</f>
        <v>0</v>
      </c>
      <c r="AV90" s="34">
        <f>IF(A90="",0,COUNTIFS(tbl_Beneficiaires[ID projet],A90,tbl_Beneficiaires[Menage vulnerable],"Oui"))</f>
        <v>0</v>
      </c>
      <c r="AW90" s="34">
        <f>IF(A90="",0,COUNTIFS(tbl_Beneficiaires[ID projet],A90,tbl_Beneficiaires[Handicap],"Oui"))</f>
        <v>0</v>
      </c>
      <c r="AX90" s="51"/>
      <c r="AY90" s="51"/>
      <c r="AZ90" s="51"/>
      <c r="BA90" s="51"/>
      <c r="BB90" s="51"/>
      <c r="BC90" s="53">
        <f t="shared" si="6"/>
        <v>0</v>
      </c>
      <c r="BD90" s="54"/>
      <c r="BE90" s="34" t="str">
        <f t="shared" ca="1" si="7"/>
        <v/>
      </c>
      <c r="BF90" s="34" t="str">
        <f t="shared" ca="1" si="8"/>
        <v/>
      </c>
      <c r="BG90" s="34" t="str">
        <f t="shared" si="9"/>
        <v/>
      </c>
      <c r="BH90" s="34" t="str">
        <f t="shared" si="10"/>
        <v/>
      </c>
      <c r="BI90" s="49"/>
    </row>
    <row r="91" spans="1:61" ht="15" customHeight="1">
      <c r="A91" s="34" t="str">
        <f t="shared" si="0"/>
        <v/>
      </c>
      <c r="B91" s="37"/>
      <c r="C91" s="37"/>
      <c r="D91" s="37"/>
      <c r="E91" s="49"/>
      <c r="F91" s="49"/>
      <c r="G91" s="49"/>
      <c r="H91" s="49"/>
      <c r="I91" s="49"/>
      <c r="J91" s="37"/>
      <c r="K91" s="37"/>
      <c r="L91" s="49"/>
      <c r="M91" s="37"/>
      <c r="N91" s="37"/>
      <c r="O91" s="37"/>
      <c r="P91" s="37"/>
      <c r="Q91" s="37"/>
      <c r="R91" s="37"/>
      <c r="S91" s="34" t="str">
        <f>IFERROR(INDEX(PARAMETRES!$B$536:$B$586,MATCH(R91,PARAMETRES!$J$536:$J$586,0)),"")</f>
        <v/>
      </c>
      <c r="T91" s="34" t="str">
        <f>IFERROR(INDEX(PARAMETRES!$D$536:$D$586,MATCH(R91,PARAMETRES!$J$536:$J$586,0)),"")</f>
        <v/>
      </c>
      <c r="U91" s="34" t="str">
        <f>IFERROR(INDEX(PARAMETRES!$F$536:$F$586,MATCH(R91,PARAMETRES!$J$536:$J$586,0)),"")</f>
        <v/>
      </c>
      <c r="V91" s="34" t="str">
        <f>IFERROR(INDEX(PARAMETRES!$G$536:$G$586,MATCH(R91,PARAMETRES!$J$536:$J$586,0)),"")</f>
        <v/>
      </c>
      <c r="W91" s="37"/>
      <c r="X91" s="50"/>
      <c r="Y91" s="50"/>
      <c r="Z91" s="50"/>
      <c r="AA91" s="50"/>
      <c r="AB91" s="34" t="str">
        <f t="shared" si="1"/>
        <v/>
      </c>
      <c r="AC91" s="34" t="str">
        <f t="shared" si="2"/>
        <v/>
      </c>
      <c r="AD91" s="37"/>
      <c r="AE91" s="37"/>
      <c r="AF91" s="51"/>
      <c r="AG91" s="51"/>
      <c r="AH91" s="52">
        <f>IF(A91="",0,SUMIF(tbl_Projets_Financements[ID Projet],A91,tbl_Projets_Financements[Montant recu]))</f>
        <v>0</v>
      </c>
      <c r="AI91" s="51"/>
      <c r="AJ91" s="52">
        <f t="shared" si="3"/>
        <v>0</v>
      </c>
      <c r="AK91" s="52">
        <f t="shared" si="4"/>
        <v>0</v>
      </c>
      <c r="AL91" s="53">
        <f t="shared" si="5"/>
        <v>0</v>
      </c>
      <c r="AM91" s="51"/>
      <c r="AN91" s="51"/>
      <c r="AO91" s="51"/>
      <c r="AP91" s="51"/>
      <c r="AQ91" s="51"/>
      <c r="AR91" s="51"/>
      <c r="AS91" s="34">
        <f>IF(A91="",0,COUNTIFS(tbl_Beneficiaires[ID projet],A91))</f>
        <v>0</v>
      </c>
      <c r="AT91" s="34">
        <f>IF(A91="",0,COUNTIFS(tbl_Beneficiaires[ID projet],A91,tbl_Beneficiaires[Sexe],"Feminin"))</f>
        <v>0</v>
      </c>
      <c r="AU91" s="34">
        <f>IF(A91="",0,COUNTIFS(tbl_Beneficiaires[ID projet],A91,tbl_Beneficiaires[Sexe],"Masculin"))</f>
        <v>0</v>
      </c>
      <c r="AV91" s="34">
        <f>IF(A91="",0,COUNTIFS(tbl_Beneficiaires[ID projet],A91,tbl_Beneficiaires[Menage vulnerable],"Oui"))</f>
        <v>0</v>
      </c>
      <c r="AW91" s="34">
        <f>IF(A91="",0,COUNTIFS(tbl_Beneficiaires[ID projet],A91,tbl_Beneficiaires[Handicap],"Oui"))</f>
        <v>0</v>
      </c>
      <c r="AX91" s="51"/>
      <c r="AY91" s="51"/>
      <c r="AZ91" s="51"/>
      <c r="BA91" s="51"/>
      <c r="BB91" s="51"/>
      <c r="BC91" s="53">
        <f t="shared" si="6"/>
        <v>0</v>
      </c>
      <c r="BD91" s="54"/>
      <c r="BE91" s="34" t="str">
        <f t="shared" ca="1" si="7"/>
        <v/>
      </c>
      <c r="BF91" s="34" t="str">
        <f t="shared" ca="1" si="8"/>
        <v/>
      </c>
      <c r="BG91" s="34" t="str">
        <f t="shared" si="9"/>
        <v/>
      </c>
      <c r="BH91" s="34" t="str">
        <f t="shared" si="10"/>
        <v/>
      </c>
      <c r="BI91" s="49"/>
    </row>
    <row r="92" spans="1:61" ht="15" customHeight="1">
      <c r="A92" s="34" t="str">
        <f t="shared" si="0"/>
        <v/>
      </c>
      <c r="B92" s="37"/>
      <c r="C92" s="37"/>
      <c r="D92" s="37"/>
      <c r="E92" s="49"/>
      <c r="F92" s="49"/>
      <c r="G92" s="49"/>
      <c r="H92" s="49"/>
      <c r="I92" s="49"/>
      <c r="J92" s="37"/>
      <c r="K92" s="37"/>
      <c r="L92" s="49"/>
      <c r="M92" s="37"/>
      <c r="N92" s="37"/>
      <c r="O92" s="37"/>
      <c r="P92" s="37"/>
      <c r="Q92" s="37"/>
      <c r="R92" s="37"/>
      <c r="S92" s="34" t="str">
        <f>IFERROR(INDEX(PARAMETRES!$B$536:$B$586,MATCH(R92,PARAMETRES!$J$536:$J$586,0)),"")</f>
        <v/>
      </c>
      <c r="T92" s="34" t="str">
        <f>IFERROR(INDEX(PARAMETRES!$D$536:$D$586,MATCH(R92,PARAMETRES!$J$536:$J$586,0)),"")</f>
        <v/>
      </c>
      <c r="U92" s="34" t="str">
        <f>IFERROR(INDEX(PARAMETRES!$F$536:$F$586,MATCH(R92,PARAMETRES!$J$536:$J$586,0)),"")</f>
        <v/>
      </c>
      <c r="V92" s="34" t="str">
        <f>IFERROR(INDEX(PARAMETRES!$G$536:$G$586,MATCH(R92,PARAMETRES!$J$536:$J$586,0)),"")</f>
        <v/>
      </c>
      <c r="W92" s="37"/>
      <c r="X92" s="50"/>
      <c r="Y92" s="50"/>
      <c r="Z92" s="50"/>
      <c r="AA92" s="50"/>
      <c r="AB92" s="34" t="str">
        <f t="shared" si="1"/>
        <v/>
      </c>
      <c r="AC92" s="34" t="str">
        <f t="shared" si="2"/>
        <v/>
      </c>
      <c r="AD92" s="37"/>
      <c r="AE92" s="37"/>
      <c r="AF92" s="51"/>
      <c r="AG92" s="51"/>
      <c r="AH92" s="52">
        <f>IF(A92="",0,SUMIF(tbl_Projets_Financements[ID Projet],A92,tbl_Projets_Financements[Montant recu]))</f>
        <v>0</v>
      </c>
      <c r="AI92" s="51"/>
      <c r="AJ92" s="52">
        <f t="shared" si="3"/>
        <v>0</v>
      </c>
      <c r="AK92" s="52">
        <f t="shared" si="4"/>
        <v>0</v>
      </c>
      <c r="AL92" s="53">
        <f t="shared" si="5"/>
        <v>0</v>
      </c>
      <c r="AM92" s="51"/>
      <c r="AN92" s="51"/>
      <c r="AO92" s="51"/>
      <c r="AP92" s="51"/>
      <c r="AQ92" s="51"/>
      <c r="AR92" s="51"/>
      <c r="AS92" s="34">
        <f>IF(A92="",0,COUNTIFS(tbl_Beneficiaires[ID projet],A92))</f>
        <v>0</v>
      </c>
      <c r="AT92" s="34">
        <f>IF(A92="",0,COUNTIFS(tbl_Beneficiaires[ID projet],A92,tbl_Beneficiaires[Sexe],"Feminin"))</f>
        <v>0</v>
      </c>
      <c r="AU92" s="34">
        <f>IF(A92="",0,COUNTIFS(tbl_Beneficiaires[ID projet],A92,tbl_Beneficiaires[Sexe],"Masculin"))</f>
        <v>0</v>
      </c>
      <c r="AV92" s="34">
        <f>IF(A92="",0,COUNTIFS(tbl_Beneficiaires[ID projet],A92,tbl_Beneficiaires[Menage vulnerable],"Oui"))</f>
        <v>0</v>
      </c>
      <c r="AW92" s="34">
        <f>IF(A92="",0,COUNTIFS(tbl_Beneficiaires[ID projet],A92,tbl_Beneficiaires[Handicap],"Oui"))</f>
        <v>0</v>
      </c>
      <c r="AX92" s="51"/>
      <c r="AY92" s="51"/>
      <c r="AZ92" s="51"/>
      <c r="BA92" s="51"/>
      <c r="BB92" s="51"/>
      <c r="BC92" s="53">
        <f t="shared" si="6"/>
        <v>0</v>
      </c>
      <c r="BD92" s="54"/>
      <c r="BE92" s="34" t="str">
        <f t="shared" ca="1" si="7"/>
        <v/>
      </c>
      <c r="BF92" s="34" t="str">
        <f t="shared" ca="1" si="8"/>
        <v/>
      </c>
      <c r="BG92" s="34" t="str">
        <f t="shared" si="9"/>
        <v/>
      </c>
      <c r="BH92" s="34" t="str">
        <f t="shared" si="10"/>
        <v/>
      </c>
      <c r="BI92" s="49"/>
    </row>
    <row r="93" spans="1:61" ht="15" customHeight="1">
      <c r="A93" s="34" t="str">
        <f t="shared" si="0"/>
        <v/>
      </c>
      <c r="B93" s="37"/>
      <c r="C93" s="37"/>
      <c r="D93" s="37"/>
      <c r="E93" s="49"/>
      <c r="F93" s="49"/>
      <c r="G93" s="49"/>
      <c r="H93" s="49"/>
      <c r="I93" s="49"/>
      <c r="J93" s="37"/>
      <c r="K93" s="37"/>
      <c r="L93" s="49"/>
      <c r="M93" s="37"/>
      <c r="N93" s="37"/>
      <c r="O93" s="37"/>
      <c r="P93" s="37"/>
      <c r="Q93" s="37"/>
      <c r="R93" s="37"/>
      <c r="S93" s="34" t="str">
        <f>IFERROR(INDEX(PARAMETRES!$B$536:$B$586,MATCH(R93,PARAMETRES!$J$536:$J$586,0)),"")</f>
        <v/>
      </c>
      <c r="T93" s="34" t="str">
        <f>IFERROR(INDEX(PARAMETRES!$D$536:$D$586,MATCH(R93,PARAMETRES!$J$536:$J$586,0)),"")</f>
        <v/>
      </c>
      <c r="U93" s="34" t="str">
        <f>IFERROR(INDEX(PARAMETRES!$F$536:$F$586,MATCH(R93,PARAMETRES!$J$536:$J$586,0)),"")</f>
        <v/>
      </c>
      <c r="V93" s="34" t="str">
        <f>IFERROR(INDEX(PARAMETRES!$G$536:$G$586,MATCH(R93,PARAMETRES!$J$536:$J$586,0)),"")</f>
        <v/>
      </c>
      <c r="W93" s="37"/>
      <c r="X93" s="50"/>
      <c r="Y93" s="50"/>
      <c r="Z93" s="50"/>
      <c r="AA93" s="50"/>
      <c r="AB93" s="34" t="str">
        <f t="shared" si="1"/>
        <v/>
      </c>
      <c r="AC93" s="34" t="str">
        <f t="shared" si="2"/>
        <v/>
      </c>
      <c r="AD93" s="37"/>
      <c r="AE93" s="37"/>
      <c r="AF93" s="51"/>
      <c r="AG93" s="51"/>
      <c r="AH93" s="52">
        <f>IF(A93="",0,SUMIF(tbl_Projets_Financements[ID Projet],A93,tbl_Projets_Financements[Montant recu]))</f>
        <v>0</v>
      </c>
      <c r="AI93" s="51"/>
      <c r="AJ93" s="52">
        <f t="shared" si="3"/>
        <v>0</v>
      </c>
      <c r="AK93" s="52">
        <f t="shared" si="4"/>
        <v>0</v>
      </c>
      <c r="AL93" s="53">
        <f t="shared" si="5"/>
        <v>0</v>
      </c>
      <c r="AM93" s="51"/>
      <c r="AN93" s="51"/>
      <c r="AO93" s="51"/>
      <c r="AP93" s="51"/>
      <c r="AQ93" s="51"/>
      <c r="AR93" s="51"/>
      <c r="AS93" s="34">
        <f>IF(A93="",0,COUNTIFS(tbl_Beneficiaires[ID projet],A93))</f>
        <v>0</v>
      </c>
      <c r="AT93" s="34">
        <f>IF(A93="",0,COUNTIFS(tbl_Beneficiaires[ID projet],A93,tbl_Beneficiaires[Sexe],"Feminin"))</f>
        <v>0</v>
      </c>
      <c r="AU93" s="34">
        <f>IF(A93="",0,COUNTIFS(tbl_Beneficiaires[ID projet],A93,tbl_Beneficiaires[Sexe],"Masculin"))</f>
        <v>0</v>
      </c>
      <c r="AV93" s="34">
        <f>IF(A93="",0,COUNTIFS(tbl_Beneficiaires[ID projet],A93,tbl_Beneficiaires[Menage vulnerable],"Oui"))</f>
        <v>0</v>
      </c>
      <c r="AW93" s="34">
        <f>IF(A93="",0,COUNTIFS(tbl_Beneficiaires[ID projet],A93,tbl_Beneficiaires[Handicap],"Oui"))</f>
        <v>0</v>
      </c>
      <c r="AX93" s="51"/>
      <c r="AY93" s="51"/>
      <c r="AZ93" s="51"/>
      <c r="BA93" s="51"/>
      <c r="BB93" s="51"/>
      <c r="BC93" s="53">
        <f t="shared" si="6"/>
        <v>0</v>
      </c>
      <c r="BD93" s="54"/>
      <c r="BE93" s="34" t="str">
        <f t="shared" ca="1" si="7"/>
        <v/>
      </c>
      <c r="BF93" s="34" t="str">
        <f t="shared" ca="1" si="8"/>
        <v/>
      </c>
      <c r="BG93" s="34" t="str">
        <f t="shared" si="9"/>
        <v/>
      </c>
      <c r="BH93" s="34" t="str">
        <f t="shared" si="10"/>
        <v/>
      </c>
      <c r="BI93" s="49"/>
    </row>
    <row r="94" spans="1:61" ht="15" customHeight="1">
      <c r="A94" s="34" t="str">
        <f t="shared" si="0"/>
        <v/>
      </c>
      <c r="B94" s="37"/>
      <c r="C94" s="37"/>
      <c r="D94" s="37"/>
      <c r="E94" s="49"/>
      <c r="F94" s="49"/>
      <c r="G94" s="49"/>
      <c r="H94" s="49"/>
      <c r="I94" s="49"/>
      <c r="J94" s="37"/>
      <c r="K94" s="37"/>
      <c r="L94" s="49"/>
      <c r="M94" s="37"/>
      <c r="N94" s="37"/>
      <c r="O94" s="37"/>
      <c r="P94" s="37"/>
      <c r="Q94" s="37"/>
      <c r="R94" s="37"/>
      <c r="S94" s="34" t="str">
        <f>IFERROR(INDEX(PARAMETRES!$B$536:$B$586,MATCH(R94,PARAMETRES!$J$536:$J$586,0)),"")</f>
        <v/>
      </c>
      <c r="T94" s="34" t="str">
        <f>IFERROR(INDEX(PARAMETRES!$D$536:$D$586,MATCH(R94,PARAMETRES!$J$536:$J$586,0)),"")</f>
        <v/>
      </c>
      <c r="U94" s="34" t="str">
        <f>IFERROR(INDEX(PARAMETRES!$F$536:$F$586,MATCH(R94,PARAMETRES!$J$536:$J$586,0)),"")</f>
        <v/>
      </c>
      <c r="V94" s="34" t="str">
        <f>IFERROR(INDEX(PARAMETRES!$G$536:$G$586,MATCH(R94,PARAMETRES!$J$536:$J$586,0)),"")</f>
        <v/>
      </c>
      <c r="W94" s="37"/>
      <c r="X94" s="50"/>
      <c r="Y94" s="50"/>
      <c r="Z94" s="50"/>
      <c r="AA94" s="50"/>
      <c r="AB94" s="34" t="str">
        <f t="shared" si="1"/>
        <v/>
      </c>
      <c r="AC94" s="34" t="str">
        <f t="shared" si="2"/>
        <v/>
      </c>
      <c r="AD94" s="37"/>
      <c r="AE94" s="37"/>
      <c r="AF94" s="51"/>
      <c r="AG94" s="51"/>
      <c r="AH94" s="52">
        <f>IF(A94="",0,SUMIF(tbl_Projets_Financements[ID Projet],A94,tbl_Projets_Financements[Montant recu]))</f>
        <v>0</v>
      </c>
      <c r="AI94" s="51"/>
      <c r="AJ94" s="52">
        <f t="shared" si="3"/>
        <v>0</v>
      </c>
      <c r="AK94" s="52">
        <f t="shared" si="4"/>
        <v>0</v>
      </c>
      <c r="AL94" s="53">
        <f t="shared" si="5"/>
        <v>0</v>
      </c>
      <c r="AM94" s="51"/>
      <c r="AN94" s="51"/>
      <c r="AO94" s="51"/>
      <c r="AP94" s="51"/>
      <c r="AQ94" s="51"/>
      <c r="AR94" s="51"/>
      <c r="AS94" s="34">
        <f>IF(A94="",0,COUNTIFS(tbl_Beneficiaires[ID projet],A94))</f>
        <v>0</v>
      </c>
      <c r="AT94" s="34">
        <f>IF(A94="",0,COUNTIFS(tbl_Beneficiaires[ID projet],A94,tbl_Beneficiaires[Sexe],"Feminin"))</f>
        <v>0</v>
      </c>
      <c r="AU94" s="34">
        <f>IF(A94="",0,COUNTIFS(tbl_Beneficiaires[ID projet],A94,tbl_Beneficiaires[Sexe],"Masculin"))</f>
        <v>0</v>
      </c>
      <c r="AV94" s="34">
        <f>IF(A94="",0,COUNTIFS(tbl_Beneficiaires[ID projet],A94,tbl_Beneficiaires[Menage vulnerable],"Oui"))</f>
        <v>0</v>
      </c>
      <c r="AW94" s="34">
        <f>IF(A94="",0,COUNTIFS(tbl_Beneficiaires[ID projet],A94,tbl_Beneficiaires[Handicap],"Oui"))</f>
        <v>0</v>
      </c>
      <c r="AX94" s="51"/>
      <c r="AY94" s="51"/>
      <c r="AZ94" s="51"/>
      <c r="BA94" s="51"/>
      <c r="BB94" s="51"/>
      <c r="BC94" s="53">
        <f t="shared" si="6"/>
        <v>0</v>
      </c>
      <c r="BD94" s="54"/>
      <c r="BE94" s="34" t="str">
        <f t="shared" ca="1" si="7"/>
        <v/>
      </c>
      <c r="BF94" s="34" t="str">
        <f t="shared" ca="1" si="8"/>
        <v/>
      </c>
      <c r="BG94" s="34" t="str">
        <f t="shared" si="9"/>
        <v/>
      </c>
      <c r="BH94" s="34" t="str">
        <f t="shared" si="10"/>
        <v/>
      </c>
      <c r="BI94" s="49"/>
    </row>
    <row r="95" spans="1:61" ht="15" customHeight="1">
      <c r="A95" s="34" t="str">
        <f t="shared" si="0"/>
        <v/>
      </c>
      <c r="B95" s="37"/>
      <c r="C95" s="37"/>
      <c r="D95" s="37"/>
      <c r="E95" s="49"/>
      <c r="F95" s="49"/>
      <c r="G95" s="49"/>
      <c r="H95" s="49"/>
      <c r="I95" s="49"/>
      <c r="J95" s="37"/>
      <c r="K95" s="37"/>
      <c r="L95" s="49"/>
      <c r="M95" s="37"/>
      <c r="N95" s="37"/>
      <c r="O95" s="37"/>
      <c r="P95" s="37"/>
      <c r="Q95" s="37"/>
      <c r="R95" s="37"/>
      <c r="S95" s="34" t="str">
        <f>IFERROR(INDEX(PARAMETRES!$B$536:$B$586,MATCH(R95,PARAMETRES!$J$536:$J$586,0)),"")</f>
        <v/>
      </c>
      <c r="T95" s="34" t="str">
        <f>IFERROR(INDEX(PARAMETRES!$D$536:$D$586,MATCH(R95,PARAMETRES!$J$536:$J$586,0)),"")</f>
        <v/>
      </c>
      <c r="U95" s="34" t="str">
        <f>IFERROR(INDEX(PARAMETRES!$F$536:$F$586,MATCH(R95,PARAMETRES!$J$536:$J$586,0)),"")</f>
        <v/>
      </c>
      <c r="V95" s="34" t="str">
        <f>IFERROR(INDEX(PARAMETRES!$G$536:$G$586,MATCH(R95,PARAMETRES!$J$536:$J$586,0)),"")</f>
        <v/>
      </c>
      <c r="W95" s="37"/>
      <c r="X95" s="50"/>
      <c r="Y95" s="50"/>
      <c r="Z95" s="50"/>
      <c r="AA95" s="50"/>
      <c r="AB95" s="34" t="str">
        <f t="shared" si="1"/>
        <v/>
      </c>
      <c r="AC95" s="34" t="str">
        <f t="shared" si="2"/>
        <v/>
      </c>
      <c r="AD95" s="37"/>
      <c r="AE95" s="37"/>
      <c r="AF95" s="51"/>
      <c r="AG95" s="51"/>
      <c r="AH95" s="52">
        <f>IF(A95="",0,SUMIF(tbl_Projets_Financements[ID Projet],A95,tbl_Projets_Financements[Montant recu]))</f>
        <v>0</v>
      </c>
      <c r="AI95" s="51"/>
      <c r="AJ95" s="52">
        <f t="shared" si="3"/>
        <v>0</v>
      </c>
      <c r="AK95" s="52">
        <f t="shared" si="4"/>
        <v>0</v>
      </c>
      <c r="AL95" s="53">
        <f t="shared" si="5"/>
        <v>0</v>
      </c>
      <c r="AM95" s="51"/>
      <c r="AN95" s="51"/>
      <c r="AO95" s="51"/>
      <c r="AP95" s="51"/>
      <c r="AQ95" s="51"/>
      <c r="AR95" s="51"/>
      <c r="AS95" s="34">
        <f>IF(A95="",0,COUNTIFS(tbl_Beneficiaires[ID projet],A95))</f>
        <v>0</v>
      </c>
      <c r="AT95" s="34">
        <f>IF(A95="",0,COUNTIFS(tbl_Beneficiaires[ID projet],A95,tbl_Beneficiaires[Sexe],"Feminin"))</f>
        <v>0</v>
      </c>
      <c r="AU95" s="34">
        <f>IF(A95="",0,COUNTIFS(tbl_Beneficiaires[ID projet],A95,tbl_Beneficiaires[Sexe],"Masculin"))</f>
        <v>0</v>
      </c>
      <c r="AV95" s="34">
        <f>IF(A95="",0,COUNTIFS(tbl_Beneficiaires[ID projet],A95,tbl_Beneficiaires[Menage vulnerable],"Oui"))</f>
        <v>0</v>
      </c>
      <c r="AW95" s="34">
        <f>IF(A95="",0,COUNTIFS(tbl_Beneficiaires[ID projet],A95,tbl_Beneficiaires[Handicap],"Oui"))</f>
        <v>0</v>
      </c>
      <c r="AX95" s="51"/>
      <c r="AY95" s="51"/>
      <c r="AZ95" s="51"/>
      <c r="BA95" s="51"/>
      <c r="BB95" s="51"/>
      <c r="BC95" s="53">
        <f t="shared" si="6"/>
        <v>0</v>
      </c>
      <c r="BD95" s="54"/>
      <c r="BE95" s="34" t="str">
        <f t="shared" ca="1" si="7"/>
        <v/>
      </c>
      <c r="BF95" s="34" t="str">
        <f t="shared" ca="1" si="8"/>
        <v/>
      </c>
      <c r="BG95" s="34" t="str">
        <f t="shared" si="9"/>
        <v/>
      </c>
      <c r="BH95" s="34" t="str">
        <f t="shared" si="10"/>
        <v/>
      </c>
      <c r="BI95" s="49"/>
    </row>
    <row r="98" spans="1:7" ht="19.5" customHeight="1">
      <c r="A98" s="289" t="s">
        <v>1707</v>
      </c>
      <c r="B98" s="262"/>
      <c r="C98" s="262"/>
      <c r="D98" s="262"/>
      <c r="E98" s="262"/>
      <c r="F98" s="262"/>
      <c r="G98" s="262"/>
    </row>
    <row r="99" spans="1:7" ht="25.5" customHeight="1">
      <c r="A99" s="32" t="s">
        <v>1648</v>
      </c>
      <c r="B99" s="32" t="s">
        <v>1708</v>
      </c>
      <c r="C99" s="32" t="s">
        <v>1709</v>
      </c>
      <c r="D99" s="32" t="s">
        <v>1710</v>
      </c>
      <c r="E99" s="32" t="s">
        <v>1711</v>
      </c>
      <c r="F99" s="32" t="s">
        <v>1712</v>
      </c>
      <c r="G99" s="32" t="s">
        <v>175</v>
      </c>
    </row>
    <row r="100" spans="1:7" ht="15" customHeight="1">
      <c r="A100" s="37"/>
      <c r="B100" s="37"/>
      <c r="C100" s="49"/>
      <c r="D100" s="37"/>
      <c r="E100" s="51"/>
      <c r="F100" s="50"/>
      <c r="G100" s="37"/>
    </row>
    <row r="101" spans="1:7" ht="15" customHeight="1">
      <c r="A101" s="37"/>
      <c r="B101" s="37"/>
      <c r="C101" s="49"/>
      <c r="D101" s="37"/>
      <c r="E101" s="51"/>
      <c r="F101" s="50"/>
      <c r="G101" s="37"/>
    </row>
    <row r="102" spans="1:7" ht="15" customHeight="1">
      <c r="A102" s="37"/>
      <c r="B102" s="37"/>
      <c r="C102" s="49"/>
      <c r="D102" s="37"/>
      <c r="E102" s="51"/>
      <c r="F102" s="50"/>
      <c r="G102" s="37"/>
    </row>
    <row r="103" spans="1:7" ht="15" customHeight="1">
      <c r="A103" s="37"/>
      <c r="B103" s="37"/>
      <c r="C103" s="49"/>
      <c r="D103" s="37"/>
      <c r="E103" s="51"/>
      <c r="F103" s="50"/>
      <c r="G103" s="37"/>
    </row>
    <row r="104" spans="1:7" ht="15" customHeight="1">
      <c r="A104" s="37"/>
      <c r="B104" s="37"/>
      <c r="C104" s="49"/>
      <c r="D104" s="37"/>
      <c r="E104" s="51"/>
      <c r="F104" s="50"/>
      <c r="G104" s="37"/>
    </row>
    <row r="105" spans="1:7" ht="15" customHeight="1">
      <c r="A105" s="37"/>
      <c r="B105" s="37"/>
      <c r="C105" s="49"/>
      <c r="D105" s="37"/>
      <c r="E105" s="51"/>
      <c r="F105" s="50"/>
      <c r="G105" s="37"/>
    </row>
    <row r="106" spans="1:7" ht="15" customHeight="1">
      <c r="A106" s="37"/>
      <c r="B106" s="37"/>
      <c r="C106" s="49"/>
      <c r="D106" s="37"/>
      <c r="E106" s="51"/>
      <c r="F106" s="50"/>
      <c r="G106" s="37"/>
    </row>
    <row r="107" spans="1:7" ht="15" customHeight="1">
      <c r="A107" s="37"/>
      <c r="B107" s="37"/>
      <c r="C107" s="49"/>
      <c r="D107" s="37"/>
      <c r="E107" s="51"/>
      <c r="F107" s="50"/>
      <c r="G107" s="37"/>
    </row>
    <row r="108" spans="1:7" ht="15" customHeight="1">
      <c r="A108" s="37"/>
      <c r="B108" s="37"/>
      <c r="C108" s="49"/>
      <c r="D108" s="37"/>
      <c r="E108" s="51"/>
      <c r="F108" s="50"/>
      <c r="G108" s="37"/>
    </row>
    <row r="109" spans="1:7" ht="15" customHeight="1">
      <c r="A109" s="37"/>
      <c r="B109" s="37"/>
      <c r="C109" s="49"/>
      <c r="D109" s="37"/>
      <c r="E109" s="51"/>
      <c r="F109" s="50"/>
      <c r="G109" s="37"/>
    </row>
    <row r="110" spans="1:7" ht="15" customHeight="1">
      <c r="A110" s="37"/>
      <c r="B110" s="37"/>
      <c r="C110" s="49"/>
      <c r="D110" s="37"/>
      <c r="E110" s="51"/>
      <c r="F110" s="50"/>
      <c r="G110" s="37"/>
    </row>
    <row r="111" spans="1:7" ht="15" customHeight="1">
      <c r="A111" s="37"/>
      <c r="B111" s="37"/>
      <c r="C111" s="49"/>
      <c r="D111" s="37"/>
      <c r="E111" s="51"/>
      <c r="F111" s="50"/>
      <c r="G111" s="37"/>
    </row>
    <row r="112" spans="1:7" ht="15" customHeight="1">
      <c r="A112" s="37"/>
      <c r="B112" s="37"/>
      <c r="C112" s="49"/>
      <c r="D112" s="37"/>
      <c r="E112" s="51"/>
      <c r="F112" s="50"/>
      <c r="G112" s="37"/>
    </row>
    <row r="113" spans="1:7" ht="15" customHeight="1">
      <c r="A113" s="37"/>
      <c r="B113" s="37"/>
      <c r="C113" s="49"/>
      <c r="D113" s="37"/>
      <c r="E113" s="51"/>
      <c r="F113" s="50"/>
      <c r="G113" s="37"/>
    </row>
    <row r="114" spans="1:7" ht="15" customHeight="1">
      <c r="A114" s="37"/>
      <c r="B114" s="37"/>
      <c r="C114" s="49"/>
      <c r="D114" s="37"/>
      <c r="E114" s="51"/>
      <c r="F114" s="50"/>
      <c r="G114" s="37"/>
    </row>
    <row r="115" spans="1:7" ht="15" customHeight="1">
      <c r="A115" s="37"/>
      <c r="B115" s="37"/>
      <c r="C115" s="49"/>
      <c r="D115" s="37"/>
      <c r="E115" s="51"/>
      <c r="F115" s="50"/>
      <c r="G115" s="37"/>
    </row>
    <row r="116" spans="1:7" ht="15" customHeight="1">
      <c r="A116" s="37"/>
      <c r="B116" s="37"/>
      <c r="C116" s="49"/>
      <c r="D116" s="37"/>
      <c r="E116" s="51"/>
      <c r="F116" s="50"/>
      <c r="G116" s="37"/>
    </row>
    <row r="117" spans="1:7" ht="15" customHeight="1">
      <c r="A117" s="37"/>
      <c r="B117" s="37"/>
      <c r="C117" s="49"/>
      <c r="D117" s="37"/>
      <c r="E117" s="51"/>
      <c r="F117" s="50"/>
      <c r="G117" s="37"/>
    </row>
    <row r="118" spans="1:7" ht="15" customHeight="1">
      <c r="A118" s="37"/>
      <c r="B118" s="37"/>
      <c r="C118" s="49"/>
      <c r="D118" s="37"/>
      <c r="E118" s="51"/>
      <c r="F118" s="50"/>
      <c r="G118" s="37"/>
    </row>
    <row r="119" spans="1:7" ht="15" customHeight="1">
      <c r="A119" s="37"/>
      <c r="B119" s="37"/>
      <c r="C119" s="49"/>
      <c r="D119" s="37"/>
      <c r="E119" s="51"/>
      <c r="F119" s="50"/>
      <c r="G119" s="37"/>
    </row>
    <row r="120" spans="1:7" ht="15" customHeight="1">
      <c r="A120" s="37"/>
      <c r="B120" s="37"/>
      <c r="C120" s="49"/>
      <c r="D120" s="37"/>
      <c r="E120" s="51"/>
      <c r="F120" s="50"/>
      <c r="G120" s="37"/>
    </row>
    <row r="121" spans="1:7" ht="15" customHeight="1">
      <c r="A121" s="37"/>
      <c r="B121" s="37"/>
      <c r="C121" s="49"/>
      <c r="D121" s="37"/>
      <c r="E121" s="51"/>
      <c r="F121" s="50"/>
      <c r="G121" s="37"/>
    </row>
    <row r="122" spans="1:7" ht="15" customHeight="1">
      <c r="A122" s="37"/>
      <c r="B122" s="37"/>
      <c r="C122" s="49"/>
      <c r="D122" s="37"/>
      <c r="E122" s="51"/>
      <c r="F122" s="50"/>
      <c r="G122" s="37"/>
    </row>
    <row r="123" spans="1:7" ht="15" customHeight="1">
      <c r="A123" s="37"/>
      <c r="B123" s="37"/>
      <c r="C123" s="49"/>
      <c r="D123" s="37"/>
      <c r="E123" s="51"/>
      <c r="F123" s="50"/>
      <c r="G123" s="37"/>
    </row>
    <row r="124" spans="1:7" ht="15" customHeight="1">
      <c r="A124" s="37"/>
      <c r="B124" s="37"/>
      <c r="C124" s="49"/>
      <c r="D124" s="37"/>
      <c r="E124" s="51"/>
      <c r="F124" s="50"/>
      <c r="G124" s="37"/>
    </row>
    <row r="125" spans="1:7" ht="15" customHeight="1">
      <c r="A125" s="37"/>
      <c r="B125" s="37"/>
      <c r="C125" s="49"/>
      <c r="D125" s="37"/>
      <c r="E125" s="51"/>
      <c r="F125" s="50"/>
      <c r="G125" s="37"/>
    </row>
    <row r="126" spans="1:7" ht="15" customHeight="1">
      <c r="A126" s="37"/>
      <c r="B126" s="37"/>
      <c r="C126" s="49"/>
      <c r="D126" s="37"/>
      <c r="E126" s="51"/>
      <c r="F126" s="50"/>
      <c r="G126" s="37"/>
    </row>
    <row r="127" spans="1:7" ht="15" customHeight="1">
      <c r="A127" s="37"/>
      <c r="B127" s="37"/>
      <c r="C127" s="49"/>
      <c r="D127" s="37"/>
      <c r="E127" s="51"/>
      <c r="F127" s="50"/>
      <c r="G127" s="37"/>
    </row>
    <row r="128" spans="1:7" ht="15" customHeight="1">
      <c r="A128" s="37"/>
      <c r="B128" s="37"/>
      <c r="C128" s="49"/>
      <c r="D128" s="37"/>
      <c r="E128" s="51"/>
      <c r="F128" s="50"/>
      <c r="G128" s="37"/>
    </row>
    <row r="129" spans="1:8" ht="15" customHeight="1">
      <c r="A129" s="37"/>
      <c r="B129" s="37"/>
      <c r="C129" s="49"/>
      <c r="D129" s="37"/>
      <c r="E129" s="51"/>
      <c r="F129" s="50"/>
      <c r="G129" s="37"/>
    </row>
    <row r="132" spans="1:8" ht="19.5" customHeight="1">
      <c r="A132" s="289" t="s">
        <v>1713</v>
      </c>
      <c r="B132" s="262"/>
      <c r="C132" s="262"/>
      <c r="D132" s="262"/>
      <c r="E132" s="262"/>
      <c r="F132" s="262"/>
      <c r="G132" s="262"/>
      <c r="H132" s="262"/>
    </row>
    <row r="133" spans="1:8" ht="25.5" customHeight="1">
      <c r="A133" s="32" t="s">
        <v>1648</v>
      </c>
      <c r="B133" s="32" t="s">
        <v>1714</v>
      </c>
      <c r="C133" s="32" t="s">
        <v>1715</v>
      </c>
      <c r="D133" s="32" t="s">
        <v>1716</v>
      </c>
      <c r="E133" s="32" t="s">
        <v>1717</v>
      </c>
      <c r="F133" s="32" t="s">
        <v>1718</v>
      </c>
      <c r="G133" s="32" t="s">
        <v>1719</v>
      </c>
      <c r="H133" s="32" t="s">
        <v>1720</v>
      </c>
    </row>
    <row r="134" spans="1:8" ht="15" customHeight="1">
      <c r="A134" s="37"/>
      <c r="B134" s="37"/>
      <c r="C134" s="49"/>
      <c r="D134" s="37"/>
      <c r="E134" s="37"/>
      <c r="F134" s="51"/>
      <c r="G134" s="51"/>
      <c r="H134" s="53" t="str">
        <f t="shared" ref="H134:H163" si="11">IF(OR(F134="",F134=0,G134=""),"",G134/F134)</f>
        <v/>
      </c>
    </row>
    <row r="135" spans="1:8" ht="15" customHeight="1">
      <c r="A135" s="37"/>
      <c r="B135" s="37"/>
      <c r="C135" s="49"/>
      <c r="D135" s="37"/>
      <c r="E135" s="37"/>
      <c r="F135" s="51"/>
      <c r="G135" s="51"/>
      <c r="H135" s="53" t="str">
        <f t="shared" si="11"/>
        <v/>
      </c>
    </row>
    <row r="136" spans="1:8" ht="15" customHeight="1">
      <c r="A136" s="37"/>
      <c r="B136" s="37"/>
      <c r="C136" s="49"/>
      <c r="D136" s="37"/>
      <c r="E136" s="37"/>
      <c r="F136" s="51"/>
      <c r="G136" s="51"/>
      <c r="H136" s="53" t="str">
        <f t="shared" si="11"/>
        <v/>
      </c>
    </row>
    <row r="137" spans="1:8" ht="15" customHeight="1">
      <c r="A137" s="37"/>
      <c r="B137" s="37"/>
      <c r="C137" s="49"/>
      <c r="D137" s="37"/>
      <c r="E137" s="37"/>
      <c r="F137" s="51"/>
      <c r="G137" s="51"/>
      <c r="H137" s="53" t="str">
        <f t="shared" si="11"/>
        <v/>
      </c>
    </row>
    <row r="138" spans="1:8" ht="15" customHeight="1">
      <c r="A138" s="37"/>
      <c r="B138" s="37"/>
      <c r="C138" s="49"/>
      <c r="D138" s="37"/>
      <c r="E138" s="37"/>
      <c r="F138" s="51"/>
      <c r="G138" s="51"/>
      <c r="H138" s="53" t="str">
        <f t="shared" si="11"/>
        <v/>
      </c>
    </row>
    <row r="139" spans="1:8" ht="15" customHeight="1">
      <c r="A139" s="37"/>
      <c r="B139" s="37"/>
      <c r="C139" s="49"/>
      <c r="D139" s="37"/>
      <c r="E139" s="37"/>
      <c r="F139" s="51"/>
      <c r="G139" s="51"/>
      <c r="H139" s="53" t="str">
        <f t="shared" si="11"/>
        <v/>
      </c>
    </row>
    <row r="140" spans="1:8" ht="15" customHeight="1">
      <c r="A140" s="37"/>
      <c r="B140" s="37"/>
      <c r="C140" s="49"/>
      <c r="D140" s="37"/>
      <c r="E140" s="37"/>
      <c r="F140" s="51"/>
      <c r="G140" s="51"/>
      <c r="H140" s="53" t="str">
        <f t="shared" si="11"/>
        <v/>
      </c>
    </row>
    <row r="141" spans="1:8" ht="15" customHeight="1">
      <c r="A141" s="37"/>
      <c r="B141" s="37"/>
      <c r="C141" s="49"/>
      <c r="D141" s="37"/>
      <c r="E141" s="37"/>
      <c r="F141" s="51"/>
      <c r="G141" s="51"/>
      <c r="H141" s="53" t="str">
        <f t="shared" si="11"/>
        <v/>
      </c>
    </row>
    <row r="142" spans="1:8" ht="15" customHeight="1">
      <c r="A142" s="37"/>
      <c r="B142" s="37"/>
      <c r="C142" s="49"/>
      <c r="D142" s="37"/>
      <c r="E142" s="37"/>
      <c r="F142" s="51"/>
      <c r="G142" s="51"/>
      <c r="H142" s="53" t="str">
        <f t="shared" si="11"/>
        <v/>
      </c>
    </row>
    <row r="143" spans="1:8" ht="15" customHeight="1">
      <c r="A143" s="37"/>
      <c r="B143" s="37"/>
      <c r="C143" s="49"/>
      <c r="D143" s="37"/>
      <c r="E143" s="37"/>
      <c r="F143" s="51"/>
      <c r="G143" s="51"/>
      <c r="H143" s="53" t="str">
        <f t="shared" si="11"/>
        <v/>
      </c>
    </row>
    <row r="144" spans="1:8" ht="15" customHeight="1">
      <c r="A144" s="37"/>
      <c r="B144" s="37"/>
      <c r="C144" s="49"/>
      <c r="D144" s="37"/>
      <c r="E144" s="37"/>
      <c r="F144" s="51"/>
      <c r="G144" s="51"/>
      <c r="H144" s="53" t="str">
        <f t="shared" si="11"/>
        <v/>
      </c>
    </row>
    <row r="145" spans="1:8" ht="15" customHeight="1">
      <c r="A145" s="37"/>
      <c r="B145" s="37"/>
      <c r="C145" s="49"/>
      <c r="D145" s="37"/>
      <c r="E145" s="37"/>
      <c r="F145" s="51"/>
      <c r="G145" s="51"/>
      <c r="H145" s="53" t="str">
        <f t="shared" si="11"/>
        <v/>
      </c>
    </row>
    <row r="146" spans="1:8" ht="15" customHeight="1">
      <c r="A146" s="37"/>
      <c r="B146" s="37"/>
      <c r="C146" s="49"/>
      <c r="D146" s="37"/>
      <c r="E146" s="37"/>
      <c r="F146" s="51"/>
      <c r="G146" s="51"/>
      <c r="H146" s="53" t="str">
        <f t="shared" si="11"/>
        <v/>
      </c>
    </row>
    <row r="147" spans="1:8" ht="15" customHeight="1">
      <c r="A147" s="37"/>
      <c r="B147" s="37"/>
      <c r="C147" s="49"/>
      <c r="D147" s="37"/>
      <c r="E147" s="37"/>
      <c r="F147" s="51"/>
      <c r="G147" s="51"/>
      <c r="H147" s="53" t="str">
        <f t="shared" si="11"/>
        <v/>
      </c>
    </row>
    <row r="148" spans="1:8" ht="15" customHeight="1">
      <c r="A148" s="37"/>
      <c r="B148" s="37"/>
      <c r="C148" s="49"/>
      <c r="D148" s="37"/>
      <c r="E148" s="37"/>
      <c r="F148" s="51"/>
      <c r="G148" s="51"/>
      <c r="H148" s="53" t="str">
        <f t="shared" si="11"/>
        <v/>
      </c>
    </row>
    <row r="149" spans="1:8" ht="15" customHeight="1">
      <c r="A149" s="37"/>
      <c r="B149" s="37"/>
      <c r="C149" s="49"/>
      <c r="D149" s="37"/>
      <c r="E149" s="37"/>
      <c r="F149" s="51"/>
      <c r="G149" s="51"/>
      <c r="H149" s="53" t="str">
        <f t="shared" si="11"/>
        <v/>
      </c>
    </row>
    <row r="150" spans="1:8" ht="15" customHeight="1">
      <c r="A150" s="37"/>
      <c r="B150" s="37"/>
      <c r="C150" s="49"/>
      <c r="D150" s="37"/>
      <c r="E150" s="37"/>
      <c r="F150" s="51"/>
      <c r="G150" s="51"/>
      <c r="H150" s="53" t="str">
        <f t="shared" si="11"/>
        <v/>
      </c>
    </row>
    <row r="151" spans="1:8" ht="15" customHeight="1">
      <c r="A151" s="37"/>
      <c r="B151" s="37"/>
      <c r="C151" s="49"/>
      <c r="D151" s="37"/>
      <c r="E151" s="37"/>
      <c r="F151" s="51"/>
      <c r="G151" s="51"/>
      <c r="H151" s="53" t="str">
        <f t="shared" si="11"/>
        <v/>
      </c>
    </row>
    <row r="152" spans="1:8" ht="15" customHeight="1">
      <c r="A152" s="37"/>
      <c r="B152" s="37"/>
      <c r="C152" s="49"/>
      <c r="D152" s="37"/>
      <c r="E152" s="37"/>
      <c r="F152" s="51"/>
      <c r="G152" s="51"/>
      <c r="H152" s="53" t="str">
        <f t="shared" si="11"/>
        <v/>
      </c>
    </row>
    <row r="153" spans="1:8" ht="15" customHeight="1">
      <c r="A153" s="37"/>
      <c r="B153" s="37"/>
      <c r="C153" s="49"/>
      <c r="D153" s="37"/>
      <c r="E153" s="37"/>
      <c r="F153" s="51"/>
      <c r="G153" s="51"/>
      <c r="H153" s="53" t="str">
        <f t="shared" si="11"/>
        <v/>
      </c>
    </row>
    <row r="154" spans="1:8" ht="15" customHeight="1">
      <c r="A154" s="37"/>
      <c r="B154" s="37"/>
      <c r="C154" s="49"/>
      <c r="D154" s="37"/>
      <c r="E154" s="37"/>
      <c r="F154" s="51"/>
      <c r="G154" s="51"/>
      <c r="H154" s="53" t="str">
        <f t="shared" si="11"/>
        <v/>
      </c>
    </row>
    <row r="155" spans="1:8" ht="15" customHeight="1">
      <c r="A155" s="37"/>
      <c r="B155" s="37"/>
      <c r="C155" s="49"/>
      <c r="D155" s="37"/>
      <c r="E155" s="37"/>
      <c r="F155" s="51"/>
      <c r="G155" s="51"/>
      <c r="H155" s="53" t="str">
        <f t="shared" si="11"/>
        <v/>
      </c>
    </row>
    <row r="156" spans="1:8" ht="15" customHeight="1">
      <c r="A156" s="37"/>
      <c r="B156" s="37"/>
      <c r="C156" s="49"/>
      <c r="D156" s="37"/>
      <c r="E156" s="37"/>
      <c r="F156" s="51"/>
      <c r="G156" s="51"/>
      <c r="H156" s="53" t="str">
        <f t="shared" si="11"/>
        <v/>
      </c>
    </row>
    <row r="157" spans="1:8" ht="15" customHeight="1">
      <c r="A157" s="37"/>
      <c r="B157" s="37"/>
      <c r="C157" s="49"/>
      <c r="D157" s="37"/>
      <c r="E157" s="37"/>
      <c r="F157" s="51"/>
      <c r="G157" s="51"/>
      <c r="H157" s="53" t="str">
        <f t="shared" si="11"/>
        <v/>
      </c>
    </row>
    <row r="158" spans="1:8" ht="15" customHeight="1">
      <c r="A158" s="37"/>
      <c r="B158" s="37"/>
      <c r="C158" s="49"/>
      <c r="D158" s="37"/>
      <c r="E158" s="37"/>
      <c r="F158" s="51"/>
      <c r="G158" s="51"/>
      <c r="H158" s="53" t="str">
        <f t="shared" si="11"/>
        <v/>
      </c>
    </row>
    <row r="159" spans="1:8" ht="15" customHeight="1">
      <c r="A159" s="37"/>
      <c r="B159" s="37"/>
      <c r="C159" s="49"/>
      <c r="D159" s="37"/>
      <c r="E159" s="37"/>
      <c r="F159" s="51"/>
      <c r="G159" s="51"/>
      <c r="H159" s="53" t="str">
        <f t="shared" si="11"/>
        <v/>
      </c>
    </row>
    <row r="160" spans="1:8" ht="15" customHeight="1">
      <c r="A160" s="37"/>
      <c r="B160" s="37"/>
      <c r="C160" s="49"/>
      <c r="D160" s="37"/>
      <c r="E160" s="37"/>
      <c r="F160" s="51"/>
      <c r="G160" s="51"/>
      <c r="H160" s="53" t="str">
        <f t="shared" si="11"/>
        <v/>
      </c>
    </row>
    <row r="161" spans="1:8" ht="15" customHeight="1">
      <c r="A161" s="37"/>
      <c r="B161" s="37"/>
      <c r="C161" s="49"/>
      <c r="D161" s="37"/>
      <c r="E161" s="37"/>
      <c r="F161" s="51"/>
      <c r="G161" s="51"/>
      <c r="H161" s="53" t="str">
        <f t="shared" si="11"/>
        <v/>
      </c>
    </row>
    <row r="162" spans="1:8" ht="15" customHeight="1">
      <c r="A162" s="37"/>
      <c r="B162" s="37"/>
      <c r="C162" s="49"/>
      <c r="D162" s="37"/>
      <c r="E162" s="37"/>
      <c r="F162" s="51"/>
      <c r="G162" s="51"/>
      <c r="H162" s="53" t="str">
        <f t="shared" si="11"/>
        <v/>
      </c>
    </row>
    <row r="163" spans="1:8" ht="15" customHeight="1">
      <c r="A163" s="37"/>
      <c r="B163" s="37"/>
      <c r="C163" s="49"/>
      <c r="D163" s="37"/>
      <c r="E163" s="37"/>
      <c r="F163" s="51"/>
      <c r="G163" s="51"/>
      <c r="H163" s="53" t="str">
        <f t="shared" si="11"/>
        <v/>
      </c>
    </row>
    <row r="166" spans="1:8" ht="19.5" customHeight="1">
      <c r="A166" s="289" t="s">
        <v>1721</v>
      </c>
      <c r="B166" s="262"/>
      <c r="C166" s="262"/>
      <c r="D166" s="262"/>
      <c r="E166" s="262"/>
      <c r="F166" s="262"/>
      <c r="G166" s="262"/>
    </row>
    <row r="167" spans="1:8" ht="25.5" customHeight="1">
      <c r="A167" s="32" t="s">
        <v>1648</v>
      </c>
      <c r="B167" s="32" t="s">
        <v>1722</v>
      </c>
      <c r="C167" s="32" t="s">
        <v>1512</v>
      </c>
      <c r="D167" s="32" t="s">
        <v>1371</v>
      </c>
      <c r="E167" s="32" t="s">
        <v>1723</v>
      </c>
      <c r="F167" s="32" t="s">
        <v>1724</v>
      </c>
      <c r="G167" s="32" t="s">
        <v>175</v>
      </c>
    </row>
    <row r="168" spans="1:8" ht="15" customHeight="1">
      <c r="A168" s="37"/>
      <c r="B168" s="37"/>
      <c r="C168" s="37"/>
      <c r="D168" s="37"/>
      <c r="E168" s="37"/>
      <c r="F168" s="50"/>
      <c r="G168" s="37"/>
    </row>
    <row r="169" spans="1:8" ht="15" customHeight="1">
      <c r="A169" s="37"/>
      <c r="B169" s="37"/>
      <c r="C169" s="37"/>
      <c r="D169" s="37"/>
      <c r="E169" s="37"/>
      <c r="F169" s="50"/>
      <c r="G169" s="37"/>
    </row>
    <row r="170" spans="1:8" ht="15" customHeight="1">
      <c r="A170" s="37"/>
      <c r="B170" s="37"/>
      <c r="C170" s="37"/>
      <c r="D170" s="37"/>
      <c r="E170" s="37"/>
      <c r="F170" s="50"/>
      <c r="G170" s="37"/>
    </row>
    <row r="171" spans="1:8" ht="15" customHeight="1">
      <c r="A171" s="37"/>
      <c r="B171" s="37"/>
      <c r="C171" s="37"/>
      <c r="D171" s="37"/>
      <c r="E171" s="37"/>
      <c r="F171" s="50"/>
      <c r="G171" s="37"/>
    </row>
    <row r="172" spans="1:8" ht="15" customHeight="1">
      <c r="A172" s="37"/>
      <c r="B172" s="37"/>
      <c r="C172" s="37"/>
      <c r="D172" s="37"/>
      <c r="E172" s="37"/>
      <c r="F172" s="50"/>
      <c r="G172" s="37"/>
    </row>
    <row r="173" spans="1:8" ht="15" customHeight="1">
      <c r="A173" s="37"/>
      <c r="B173" s="37"/>
      <c r="C173" s="37"/>
      <c r="D173" s="37"/>
      <c r="E173" s="37"/>
      <c r="F173" s="50"/>
      <c r="G173" s="37"/>
    </row>
    <row r="174" spans="1:8" ht="15" customHeight="1">
      <c r="A174" s="37"/>
      <c r="B174" s="37"/>
      <c r="C174" s="37"/>
      <c r="D174" s="37"/>
      <c r="E174" s="37"/>
      <c r="F174" s="50"/>
      <c r="G174" s="37"/>
    </row>
    <row r="175" spans="1:8" ht="15" customHeight="1">
      <c r="A175" s="37"/>
      <c r="B175" s="37"/>
      <c r="C175" s="37"/>
      <c r="D175" s="37"/>
      <c r="E175" s="37"/>
      <c r="F175" s="50"/>
      <c r="G175" s="37"/>
    </row>
    <row r="176" spans="1:8" ht="15" customHeight="1">
      <c r="A176" s="37"/>
      <c r="B176" s="37"/>
      <c r="C176" s="37"/>
      <c r="D176" s="37"/>
      <c r="E176" s="37"/>
      <c r="F176" s="50"/>
      <c r="G176" s="37"/>
    </row>
    <row r="177" spans="1:7" ht="15" customHeight="1">
      <c r="A177" s="37"/>
      <c r="B177" s="37"/>
      <c r="C177" s="37"/>
      <c r="D177" s="37"/>
      <c r="E177" s="37"/>
      <c r="F177" s="50"/>
      <c r="G177" s="37"/>
    </row>
    <row r="178" spans="1:7" ht="15" customHeight="1">
      <c r="A178" s="37"/>
      <c r="B178" s="37"/>
      <c r="C178" s="37"/>
      <c r="D178" s="37"/>
      <c r="E178" s="37"/>
      <c r="F178" s="50"/>
      <c r="G178" s="37"/>
    </row>
    <row r="179" spans="1:7" ht="15" customHeight="1">
      <c r="A179" s="37"/>
      <c r="B179" s="37"/>
      <c r="C179" s="37"/>
      <c r="D179" s="37"/>
      <c r="E179" s="37"/>
      <c r="F179" s="50"/>
      <c r="G179" s="37"/>
    </row>
    <row r="180" spans="1:7" ht="15" customHeight="1">
      <c r="A180" s="37"/>
      <c r="B180" s="37"/>
      <c r="C180" s="37"/>
      <c r="D180" s="37"/>
      <c r="E180" s="37"/>
      <c r="F180" s="50"/>
      <c r="G180" s="37"/>
    </row>
    <row r="181" spans="1:7" ht="15" customHeight="1">
      <c r="A181" s="37"/>
      <c r="B181" s="37"/>
      <c r="C181" s="37"/>
      <c r="D181" s="37"/>
      <c r="E181" s="37"/>
      <c r="F181" s="50"/>
      <c r="G181" s="37"/>
    </row>
    <row r="182" spans="1:7" ht="15" customHeight="1">
      <c r="A182" s="37"/>
      <c r="B182" s="37"/>
      <c r="C182" s="37"/>
      <c r="D182" s="37"/>
      <c r="E182" s="37"/>
      <c r="F182" s="50"/>
      <c r="G182" s="37"/>
    </row>
    <row r="183" spans="1:7" ht="15" customHeight="1">
      <c r="A183" s="37"/>
      <c r="B183" s="37"/>
      <c r="C183" s="37"/>
      <c r="D183" s="37"/>
      <c r="E183" s="37"/>
      <c r="F183" s="50"/>
      <c r="G183" s="37"/>
    </row>
    <row r="184" spans="1:7" ht="15" customHeight="1">
      <c r="A184" s="37"/>
      <c r="B184" s="37"/>
      <c r="C184" s="37"/>
      <c r="D184" s="37"/>
      <c r="E184" s="37"/>
      <c r="F184" s="50"/>
      <c r="G184" s="37"/>
    </row>
    <row r="185" spans="1:7" ht="15" customHeight="1">
      <c r="A185" s="37"/>
      <c r="B185" s="37"/>
      <c r="C185" s="37"/>
      <c r="D185" s="37"/>
      <c r="E185" s="37"/>
      <c r="F185" s="50"/>
      <c r="G185" s="37"/>
    </row>
    <row r="186" spans="1:7" ht="15" customHeight="1">
      <c r="A186" s="37"/>
      <c r="B186" s="37"/>
      <c r="C186" s="37"/>
      <c r="D186" s="37"/>
      <c r="E186" s="37"/>
      <c r="F186" s="50"/>
      <c r="G186" s="37"/>
    </row>
    <row r="187" spans="1:7" ht="15" customHeight="1">
      <c r="A187" s="37"/>
      <c r="B187" s="37"/>
      <c r="C187" s="37"/>
      <c r="D187" s="37"/>
      <c r="E187" s="37"/>
      <c r="F187" s="50"/>
      <c r="G187" s="37"/>
    </row>
    <row r="188" spans="1:7" ht="15" customHeight="1">
      <c r="A188" s="37"/>
      <c r="B188" s="37"/>
      <c r="C188" s="37"/>
      <c r="D188" s="37"/>
      <c r="E188" s="37"/>
      <c r="F188" s="50"/>
      <c r="G188" s="37"/>
    </row>
    <row r="189" spans="1:7" ht="15" customHeight="1">
      <c r="A189" s="37"/>
      <c r="B189" s="37"/>
      <c r="C189" s="37"/>
      <c r="D189" s="37"/>
      <c r="E189" s="37"/>
      <c r="F189" s="50"/>
      <c r="G189" s="37"/>
    </row>
    <row r="190" spans="1:7" ht="15" customHeight="1">
      <c r="A190" s="37"/>
      <c r="B190" s="37"/>
      <c r="C190" s="37"/>
      <c r="D190" s="37"/>
      <c r="E190" s="37"/>
      <c r="F190" s="50"/>
      <c r="G190" s="37"/>
    </row>
    <row r="191" spans="1:7" ht="15" customHeight="1">
      <c r="A191" s="37"/>
      <c r="B191" s="37"/>
      <c r="C191" s="37"/>
      <c r="D191" s="37"/>
      <c r="E191" s="37"/>
      <c r="F191" s="50"/>
      <c r="G191" s="37"/>
    </row>
    <row r="192" spans="1:7" ht="15" customHeight="1">
      <c r="A192" s="37"/>
      <c r="B192" s="37"/>
      <c r="C192" s="37"/>
      <c r="D192" s="37"/>
      <c r="E192" s="37"/>
      <c r="F192" s="50"/>
      <c r="G192" s="37"/>
    </row>
    <row r="193" spans="1:7" ht="15" customHeight="1">
      <c r="A193" s="37"/>
      <c r="B193" s="37"/>
      <c r="C193" s="37"/>
      <c r="D193" s="37"/>
      <c r="E193" s="37"/>
      <c r="F193" s="50"/>
      <c r="G193" s="37"/>
    </row>
    <row r="194" spans="1:7" ht="15" customHeight="1">
      <c r="A194" s="37"/>
      <c r="B194" s="37"/>
      <c r="C194" s="37"/>
      <c r="D194" s="37"/>
      <c r="E194" s="37"/>
      <c r="F194" s="50"/>
      <c r="G194" s="37"/>
    </row>
    <row r="195" spans="1:7" ht="15" customHeight="1">
      <c r="A195" s="37"/>
      <c r="B195" s="37"/>
      <c r="C195" s="37"/>
      <c r="D195" s="37"/>
      <c r="E195" s="37"/>
      <c r="F195" s="50"/>
      <c r="G195" s="37"/>
    </row>
    <row r="196" spans="1:7" ht="15" customHeight="1">
      <c r="A196" s="37"/>
      <c r="B196" s="37"/>
      <c r="C196" s="37"/>
      <c r="D196" s="37"/>
      <c r="E196" s="37"/>
      <c r="F196" s="50"/>
      <c r="G196" s="37"/>
    </row>
    <row r="197" spans="1:7" ht="15" customHeight="1">
      <c r="A197" s="37"/>
      <c r="B197" s="37"/>
      <c r="C197" s="37"/>
      <c r="D197" s="37"/>
      <c r="E197" s="37"/>
      <c r="F197" s="50"/>
      <c r="G197" s="37"/>
    </row>
    <row r="200" spans="1:7" ht="19.5" customHeight="1">
      <c r="A200" s="289" t="s">
        <v>1725</v>
      </c>
      <c r="B200" s="262"/>
      <c r="C200" s="262"/>
      <c r="D200" s="262"/>
      <c r="E200" s="262"/>
      <c r="F200" s="262"/>
    </row>
    <row r="201" spans="1:7" ht="25.5" customHeight="1">
      <c r="A201" s="32" t="s">
        <v>1648</v>
      </c>
      <c r="B201" s="32" t="s">
        <v>1726</v>
      </c>
      <c r="C201" s="32" t="s">
        <v>1727</v>
      </c>
      <c r="D201" s="32" t="s">
        <v>1728</v>
      </c>
      <c r="E201" s="32" t="s">
        <v>1729</v>
      </c>
      <c r="F201" s="32" t="s">
        <v>175</v>
      </c>
    </row>
    <row r="202" spans="1:7" ht="15" customHeight="1">
      <c r="A202" s="37"/>
      <c r="B202" s="37"/>
      <c r="C202" s="37"/>
      <c r="D202" s="37"/>
      <c r="E202" s="37"/>
      <c r="F202" s="37"/>
    </row>
    <row r="203" spans="1:7" ht="15" customHeight="1">
      <c r="A203" s="37"/>
      <c r="B203" s="37"/>
      <c r="C203" s="37"/>
      <c r="D203" s="37"/>
      <c r="E203" s="37"/>
      <c r="F203" s="37"/>
    </row>
    <row r="204" spans="1:7" ht="15" customHeight="1">
      <c r="A204" s="37"/>
      <c r="B204" s="37"/>
      <c r="C204" s="37"/>
      <c r="D204" s="37"/>
      <c r="E204" s="37"/>
      <c r="F204" s="37"/>
    </row>
    <row r="205" spans="1:7" ht="15" customHeight="1">
      <c r="A205" s="37"/>
      <c r="B205" s="37"/>
      <c r="C205" s="37"/>
      <c r="D205" s="37"/>
      <c r="E205" s="37"/>
      <c r="F205" s="37"/>
    </row>
    <row r="206" spans="1:7" ht="15" customHeight="1">
      <c r="A206" s="37"/>
      <c r="B206" s="37"/>
      <c r="C206" s="37"/>
      <c r="D206" s="37"/>
      <c r="E206" s="37"/>
      <c r="F206" s="37"/>
    </row>
    <row r="207" spans="1:7" ht="15" customHeight="1">
      <c r="A207" s="37"/>
      <c r="B207" s="37"/>
      <c r="C207" s="37"/>
      <c r="D207" s="37"/>
      <c r="E207" s="37"/>
      <c r="F207" s="37"/>
    </row>
    <row r="208" spans="1:7" ht="15" customHeight="1">
      <c r="A208" s="37"/>
      <c r="B208" s="37"/>
      <c r="C208" s="37"/>
      <c r="D208" s="37"/>
      <c r="E208" s="37"/>
      <c r="F208" s="37"/>
    </row>
    <row r="209" spans="1:6" ht="15" customHeight="1">
      <c r="A209" s="37"/>
      <c r="B209" s="37"/>
      <c r="C209" s="37"/>
      <c r="D209" s="37"/>
      <c r="E209" s="37"/>
      <c r="F209" s="37"/>
    </row>
    <row r="210" spans="1:6" ht="15" customHeight="1">
      <c r="A210" s="37"/>
      <c r="B210" s="37"/>
      <c r="C210" s="37"/>
      <c r="D210" s="37"/>
      <c r="E210" s="37"/>
      <c r="F210" s="37"/>
    </row>
    <row r="211" spans="1:6" ht="15" customHeight="1">
      <c r="A211" s="37"/>
      <c r="B211" s="37"/>
      <c r="C211" s="37"/>
      <c r="D211" s="37"/>
      <c r="E211" s="37"/>
      <c r="F211" s="37"/>
    </row>
    <row r="212" spans="1:6" ht="15" customHeight="1">
      <c r="A212" s="37"/>
      <c r="B212" s="37"/>
      <c r="C212" s="37"/>
      <c r="D212" s="37"/>
      <c r="E212" s="37"/>
      <c r="F212" s="37"/>
    </row>
    <row r="213" spans="1:6" ht="15" customHeight="1">
      <c r="A213" s="37"/>
      <c r="B213" s="37"/>
      <c r="C213" s="37"/>
      <c r="D213" s="37"/>
      <c r="E213" s="37"/>
      <c r="F213" s="37"/>
    </row>
    <row r="214" spans="1:6" ht="15" customHeight="1">
      <c r="A214" s="37"/>
      <c r="B214" s="37"/>
      <c r="C214" s="37"/>
      <c r="D214" s="37"/>
      <c r="E214" s="37"/>
      <c r="F214" s="37"/>
    </row>
    <row r="215" spans="1:6" ht="15" customHeight="1">
      <c r="A215" s="37"/>
      <c r="B215" s="37"/>
      <c r="C215" s="37"/>
      <c r="D215" s="37"/>
      <c r="E215" s="37"/>
      <c r="F215" s="37"/>
    </row>
    <row r="216" spans="1:6" ht="15" customHeight="1">
      <c r="A216" s="37"/>
      <c r="B216" s="37"/>
      <c r="C216" s="37"/>
      <c r="D216" s="37"/>
      <c r="E216" s="37"/>
      <c r="F216" s="37"/>
    </row>
    <row r="217" spans="1:6" ht="15" customHeight="1">
      <c r="A217" s="37"/>
      <c r="B217" s="37"/>
      <c r="C217" s="37"/>
      <c r="D217" s="37"/>
      <c r="E217" s="37"/>
      <c r="F217" s="37"/>
    </row>
    <row r="218" spans="1:6" ht="15" customHeight="1">
      <c r="A218" s="37"/>
      <c r="B218" s="37"/>
      <c r="C218" s="37"/>
      <c r="D218" s="37"/>
      <c r="E218" s="37"/>
      <c r="F218" s="37"/>
    </row>
    <row r="219" spans="1:6" ht="15" customHeight="1">
      <c r="A219" s="37"/>
      <c r="B219" s="37"/>
      <c r="C219" s="37"/>
      <c r="D219" s="37"/>
      <c r="E219" s="37"/>
      <c r="F219" s="37"/>
    </row>
    <row r="220" spans="1:6" ht="15" customHeight="1">
      <c r="A220" s="37"/>
      <c r="B220" s="37"/>
      <c r="C220" s="37"/>
      <c r="D220" s="37"/>
      <c r="E220" s="37"/>
      <c r="F220" s="37"/>
    </row>
    <row r="221" spans="1:6" ht="15" customHeight="1">
      <c r="A221" s="37"/>
      <c r="B221" s="37"/>
      <c r="C221" s="37"/>
      <c r="D221" s="37"/>
      <c r="E221" s="37"/>
      <c r="F221" s="37"/>
    </row>
    <row r="222" spans="1:6" ht="15" customHeight="1">
      <c r="A222" s="37"/>
      <c r="B222" s="37"/>
      <c r="C222" s="37"/>
      <c r="D222" s="37"/>
      <c r="E222" s="37"/>
      <c r="F222" s="37"/>
    </row>
    <row r="223" spans="1:6" ht="15" customHeight="1">
      <c r="A223" s="37"/>
      <c r="B223" s="37"/>
      <c r="C223" s="37"/>
      <c r="D223" s="37"/>
      <c r="E223" s="37"/>
      <c r="F223" s="37"/>
    </row>
    <row r="224" spans="1:6" ht="15" customHeight="1">
      <c r="A224" s="37"/>
      <c r="B224" s="37"/>
      <c r="C224" s="37"/>
      <c r="D224" s="37"/>
      <c r="E224" s="37"/>
      <c r="F224" s="37"/>
    </row>
    <row r="225" spans="1:12" ht="15" customHeight="1">
      <c r="A225" s="37"/>
      <c r="B225" s="37"/>
      <c r="C225" s="37"/>
      <c r="D225" s="37"/>
      <c r="E225" s="37"/>
      <c r="F225" s="37"/>
    </row>
    <row r="226" spans="1:12" ht="15" customHeight="1">
      <c r="A226" s="37"/>
      <c r="B226" s="37"/>
      <c r="C226" s="37"/>
      <c r="D226" s="37"/>
      <c r="E226" s="37"/>
      <c r="F226" s="37"/>
    </row>
    <row r="227" spans="1:12" ht="15" customHeight="1">
      <c r="A227" s="37"/>
      <c r="B227" s="37"/>
      <c r="C227" s="37"/>
      <c r="D227" s="37"/>
      <c r="E227" s="37"/>
      <c r="F227" s="37"/>
    </row>
    <row r="228" spans="1:12" ht="15" customHeight="1">
      <c r="A228" s="37"/>
      <c r="B228" s="37"/>
      <c r="C228" s="37"/>
      <c r="D228" s="37"/>
      <c r="E228" s="37"/>
      <c r="F228" s="37"/>
    </row>
    <row r="229" spans="1:12" ht="15" customHeight="1">
      <c r="A229" s="37"/>
      <c r="B229" s="37"/>
      <c r="C229" s="37"/>
      <c r="D229" s="37"/>
      <c r="E229" s="37"/>
      <c r="F229" s="37"/>
    </row>
    <row r="230" spans="1:12" ht="15" customHeight="1">
      <c r="A230" s="37"/>
      <c r="B230" s="37"/>
      <c r="C230" s="37"/>
      <c r="D230" s="37"/>
      <c r="E230" s="37"/>
      <c r="F230" s="37"/>
    </row>
    <row r="231" spans="1:12" ht="15" customHeight="1">
      <c r="A231" s="37"/>
      <c r="B231" s="37"/>
      <c r="C231" s="37"/>
      <c r="D231" s="37"/>
      <c r="E231" s="37"/>
      <c r="F231" s="37"/>
    </row>
    <row r="234" spans="1:12" ht="19.5" customHeight="1">
      <c r="A234" s="289" t="s">
        <v>1730</v>
      </c>
      <c r="B234" s="262"/>
      <c r="C234" s="262"/>
      <c r="D234" s="262"/>
      <c r="E234" s="262"/>
      <c r="F234" s="262"/>
      <c r="G234" s="262"/>
      <c r="H234" s="262"/>
      <c r="I234" s="262"/>
      <c r="J234" s="262"/>
      <c r="K234" s="262"/>
      <c r="L234" s="262"/>
    </row>
    <row r="235" spans="1:12" ht="25.5" customHeight="1">
      <c r="A235" s="32" t="s">
        <v>1648</v>
      </c>
      <c r="B235" s="32" t="s">
        <v>1731</v>
      </c>
      <c r="C235" s="32" t="s">
        <v>1732</v>
      </c>
      <c r="D235" s="32" t="s">
        <v>1733</v>
      </c>
      <c r="E235" s="32" t="s">
        <v>1734</v>
      </c>
      <c r="F235" s="32" t="s">
        <v>1425</v>
      </c>
      <c r="G235" s="32" t="s">
        <v>1735</v>
      </c>
      <c r="H235" s="32" t="s">
        <v>1736</v>
      </c>
      <c r="I235" s="32" t="s">
        <v>1737</v>
      </c>
      <c r="J235" s="32" t="s">
        <v>1439</v>
      </c>
      <c r="K235" s="32" t="s">
        <v>1738</v>
      </c>
      <c r="L235" s="32" t="s">
        <v>175</v>
      </c>
    </row>
    <row r="236" spans="1:12" ht="15" customHeight="1">
      <c r="A236" s="37" t="s">
        <v>1617</v>
      </c>
      <c r="B236" s="37"/>
      <c r="C236" s="37" t="s">
        <v>1739</v>
      </c>
      <c r="D236" s="37"/>
      <c r="E236" s="37" t="s">
        <v>1740</v>
      </c>
      <c r="F236" s="37" t="s">
        <v>583</v>
      </c>
      <c r="G236" s="51">
        <v>10000000</v>
      </c>
      <c r="H236" s="51">
        <v>10000000</v>
      </c>
      <c r="I236" s="51">
        <v>6000000</v>
      </c>
      <c r="J236" s="37" t="s">
        <v>1741</v>
      </c>
      <c r="K236" s="50">
        <v>45323</v>
      </c>
      <c r="L236" s="37" t="s">
        <v>177</v>
      </c>
    </row>
    <row r="237" spans="1:12" ht="15" customHeight="1">
      <c r="A237" s="37"/>
      <c r="B237" s="37"/>
      <c r="C237" s="37"/>
      <c r="D237" s="37"/>
      <c r="E237" s="37"/>
      <c r="F237" s="37"/>
      <c r="G237" s="51"/>
      <c r="H237" s="51"/>
      <c r="I237" s="51"/>
      <c r="J237" s="37"/>
      <c r="K237" s="50"/>
      <c r="L237" s="37"/>
    </row>
    <row r="238" spans="1:12" ht="15" customHeight="1">
      <c r="A238" s="37"/>
      <c r="B238" s="37"/>
      <c r="C238" s="37"/>
      <c r="D238" s="37"/>
      <c r="E238" s="37"/>
      <c r="F238" s="37"/>
      <c r="G238" s="51"/>
      <c r="H238" s="51"/>
      <c r="I238" s="51"/>
      <c r="J238" s="37"/>
      <c r="K238" s="50"/>
      <c r="L238" s="37"/>
    </row>
    <row r="239" spans="1:12" ht="15" customHeight="1">
      <c r="A239" s="37"/>
      <c r="B239" s="37"/>
      <c r="C239" s="37"/>
      <c r="D239" s="37"/>
      <c r="E239" s="37"/>
      <c r="F239" s="37"/>
      <c r="G239" s="51"/>
      <c r="H239" s="51"/>
      <c r="I239" s="51"/>
      <c r="J239" s="37"/>
      <c r="K239" s="50"/>
      <c r="L239" s="37"/>
    </row>
    <row r="240" spans="1:12" ht="15" customHeight="1">
      <c r="A240" s="37"/>
      <c r="B240" s="37"/>
      <c r="C240" s="37"/>
      <c r="D240" s="37"/>
      <c r="E240" s="37"/>
      <c r="F240" s="37"/>
      <c r="G240" s="51"/>
      <c r="H240" s="51"/>
      <c r="I240" s="51"/>
      <c r="J240" s="37"/>
      <c r="K240" s="50"/>
      <c r="L240" s="37"/>
    </row>
    <row r="241" spans="1:12" ht="15" customHeight="1">
      <c r="A241" s="37"/>
      <c r="B241" s="37"/>
      <c r="C241" s="37"/>
      <c r="D241" s="37"/>
      <c r="E241" s="37"/>
      <c r="F241" s="37"/>
      <c r="G241" s="51"/>
      <c r="H241" s="51"/>
      <c r="I241" s="51"/>
      <c r="J241" s="37"/>
      <c r="K241" s="50"/>
      <c r="L241" s="37"/>
    </row>
    <row r="242" spans="1:12" ht="15" customHeight="1">
      <c r="A242" s="37"/>
      <c r="B242" s="37"/>
      <c r="C242" s="37"/>
      <c r="D242" s="37"/>
      <c r="E242" s="37"/>
      <c r="F242" s="37"/>
      <c r="G242" s="51"/>
      <c r="H242" s="51"/>
      <c r="I242" s="51"/>
      <c r="J242" s="37"/>
      <c r="K242" s="50"/>
      <c r="L242" s="37"/>
    </row>
    <row r="243" spans="1:12" ht="15" customHeight="1">
      <c r="A243" s="37"/>
      <c r="B243" s="37"/>
      <c r="C243" s="37"/>
      <c r="D243" s="37"/>
      <c r="E243" s="37"/>
      <c r="F243" s="37"/>
      <c r="G243" s="51"/>
      <c r="H243" s="51"/>
      <c r="I243" s="51"/>
      <c r="J243" s="37"/>
      <c r="K243" s="50"/>
      <c r="L243" s="37"/>
    </row>
    <row r="244" spans="1:12" ht="15" customHeight="1">
      <c r="A244" s="37"/>
      <c r="B244" s="37"/>
      <c r="C244" s="37"/>
      <c r="D244" s="37"/>
      <c r="E244" s="37"/>
      <c r="F244" s="37"/>
      <c r="G244" s="51"/>
      <c r="H244" s="51"/>
      <c r="I244" s="51"/>
      <c r="J244" s="37"/>
      <c r="K244" s="50"/>
      <c r="L244" s="37"/>
    </row>
    <row r="245" spans="1:12" ht="15" customHeight="1">
      <c r="A245" s="37"/>
      <c r="B245" s="37"/>
      <c r="C245" s="37"/>
      <c r="D245" s="37"/>
      <c r="E245" s="37"/>
      <c r="F245" s="37"/>
      <c r="G245" s="51"/>
      <c r="H245" s="51"/>
      <c r="I245" s="51"/>
      <c r="J245" s="37"/>
      <c r="K245" s="50"/>
      <c r="L245" s="37"/>
    </row>
    <row r="246" spans="1:12" ht="15" customHeight="1">
      <c r="A246" s="37"/>
      <c r="B246" s="37"/>
      <c r="C246" s="37"/>
      <c r="D246" s="37"/>
      <c r="E246" s="37"/>
      <c r="F246" s="37"/>
      <c r="G246" s="51"/>
      <c r="H246" s="51"/>
      <c r="I246" s="51"/>
      <c r="J246" s="37"/>
      <c r="K246" s="50"/>
      <c r="L246" s="37"/>
    </row>
    <row r="247" spans="1:12" ht="15" customHeight="1">
      <c r="A247" s="37"/>
      <c r="B247" s="37"/>
      <c r="C247" s="37"/>
      <c r="D247" s="37"/>
      <c r="E247" s="37"/>
      <c r="F247" s="37"/>
      <c r="G247" s="51"/>
      <c r="H247" s="51"/>
      <c r="I247" s="51"/>
      <c r="J247" s="37"/>
      <c r="K247" s="50"/>
      <c r="L247" s="37"/>
    </row>
    <row r="248" spans="1:12" ht="15" customHeight="1">
      <c r="A248" s="37"/>
      <c r="B248" s="37"/>
      <c r="C248" s="37"/>
      <c r="D248" s="37"/>
      <c r="E248" s="37"/>
      <c r="F248" s="37"/>
      <c r="G248" s="51"/>
      <c r="H248" s="51"/>
      <c r="I248" s="51"/>
      <c r="J248" s="37"/>
      <c r="K248" s="50"/>
      <c r="L248" s="37"/>
    </row>
    <row r="249" spans="1:12" ht="15" customHeight="1">
      <c r="A249" s="37"/>
      <c r="B249" s="37"/>
      <c r="C249" s="37"/>
      <c r="D249" s="37"/>
      <c r="E249" s="37"/>
      <c r="F249" s="37"/>
      <c r="G249" s="51"/>
      <c r="H249" s="51"/>
      <c r="I249" s="51"/>
      <c r="J249" s="37"/>
      <c r="K249" s="50"/>
      <c r="L249" s="37"/>
    </row>
    <row r="250" spans="1:12" ht="15" customHeight="1">
      <c r="A250" s="37"/>
      <c r="B250" s="37"/>
      <c r="C250" s="37"/>
      <c r="D250" s="37"/>
      <c r="E250" s="37"/>
      <c r="F250" s="37"/>
      <c r="G250" s="51"/>
      <c r="H250" s="51"/>
      <c r="I250" s="51"/>
      <c r="J250" s="37"/>
      <c r="K250" s="50"/>
      <c r="L250" s="37"/>
    </row>
    <row r="251" spans="1:12" ht="15" customHeight="1">
      <c r="A251" s="37"/>
      <c r="B251" s="37"/>
      <c r="C251" s="37"/>
      <c r="D251" s="37"/>
      <c r="E251" s="37"/>
      <c r="F251" s="37"/>
      <c r="G251" s="51"/>
      <c r="H251" s="51"/>
      <c r="I251" s="51"/>
      <c r="J251" s="37"/>
      <c r="K251" s="50"/>
      <c r="L251" s="37"/>
    </row>
    <row r="252" spans="1:12" ht="15" customHeight="1">
      <c r="A252" s="37"/>
      <c r="B252" s="37"/>
      <c r="C252" s="37"/>
      <c r="D252" s="37"/>
      <c r="E252" s="37"/>
      <c r="F252" s="37"/>
      <c r="G252" s="51"/>
      <c r="H252" s="51"/>
      <c r="I252" s="51"/>
      <c r="J252" s="37"/>
      <c r="K252" s="50"/>
      <c r="L252" s="37"/>
    </row>
    <row r="253" spans="1:12" ht="15" customHeight="1">
      <c r="A253" s="37"/>
      <c r="B253" s="37"/>
      <c r="C253" s="37"/>
      <c r="D253" s="37"/>
      <c r="E253" s="37"/>
      <c r="F253" s="37"/>
      <c r="G253" s="51"/>
      <c r="H253" s="51"/>
      <c r="I253" s="51"/>
      <c r="J253" s="37"/>
      <c r="K253" s="50"/>
      <c r="L253" s="37"/>
    </row>
    <row r="254" spans="1:12" ht="15" customHeight="1">
      <c r="A254" s="37"/>
      <c r="B254" s="37"/>
      <c r="C254" s="37"/>
      <c r="D254" s="37"/>
      <c r="E254" s="37"/>
      <c r="F254" s="37"/>
      <c r="G254" s="51"/>
      <c r="H254" s="51"/>
      <c r="I254" s="51"/>
      <c r="J254" s="37"/>
      <c r="K254" s="50"/>
      <c r="L254" s="37"/>
    </row>
    <row r="255" spans="1:12" ht="15" customHeight="1">
      <c r="A255" s="37"/>
      <c r="B255" s="37"/>
      <c r="C255" s="37"/>
      <c r="D255" s="37"/>
      <c r="E255" s="37"/>
      <c r="F255" s="37"/>
      <c r="G255" s="51"/>
      <c r="H255" s="51"/>
      <c r="I255" s="51"/>
      <c r="J255" s="37"/>
      <c r="K255" s="50"/>
      <c r="L255" s="37"/>
    </row>
    <row r="256" spans="1:12" ht="15" customHeight="1">
      <c r="A256" s="37"/>
      <c r="B256" s="37"/>
      <c r="C256" s="37"/>
      <c r="D256" s="37"/>
      <c r="E256" s="37"/>
      <c r="F256" s="37"/>
      <c r="G256" s="51"/>
      <c r="H256" s="51"/>
      <c r="I256" s="51"/>
      <c r="J256" s="37"/>
      <c r="K256" s="50"/>
      <c r="L256" s="37"/>
    </row>
    <row r="257" spans="1:12" ht="15" customHeight="1">
      <c r="A257" s="37"/>
      <c r="B257" s="37"/>
      <c r="C257" s="37"/>
      <c r="D257" s="37"/>
      <c r="E257" s="37"/>
      <c r="F257" s="37"/>
      <c r="G257" s="51"/>
      <c r="H257" s="51"/>
      <c r="I257" s="51"/>
      <c r="J257" s="37"/>
      <c r="K257" s="50"/>
      <c r="L257" s="37"/>
    </row>
    <row r="258" spans="1:12" ht="15" customHeight="1">
      <c r="A258" s="37"/>
      <c r="B258" s="37"/>
      <c r="C258" s="37"/>
      <c r="D258" s="37"/>
      <c r="E258" s="37"/>
      <c r="F258" s="37"/>
      <c r="G258" s="51"/>
      <c r="H258" s="51"/>
      <c r="I258" s="51"/>
      <c r="J258" s="37"/>
      <c r="K258" s="50"/>
      <c r="L258" s="37"/>
    </row>
    <row r="259" spans="1:12" ht="15" customHeight="1">
      <c r="A259" s="37"/>
      <c r="B259" s="37"/>
      <c r="C259" s="37"/>
      <c r="D259" s="37"/>
      <c r="E259" s="37"/>
      <c r="F259" s="37"/>
      <c r="G259" s="51"/>
      <c r="H259" s="51"/>
      <c r="I259" s="51"/>
      <c r="J259" s="37"/>
      <c r="K259" s="50"/>
      <c r="L259" s="37"/>
    </row>
    <row r="260" spans="1:12" ht="15" customHeight="1">
      <c r="A260" s="37"/>
      <c r="B260" s="37"/>
      <c r="C260" s="37"/>
      <c r="D260" s="37"/>
      <c r="E260" s="37"/>
      <c r="F260" s="37"/>
      <c r="G260" s="51"/>
      <c r="H260" s="51"/>
      <c r="I260" s="51"/>
      <c r="J260" s="37"/>
      <c r="K260" s="50"/>
      <c r="L260" s="37"/>
    </row>
    <row r="261" spans="1:12" ht="15" customHeight="1">
      <c r="A261" s="37"/>
      <c r="B261" s="37"/>
      <c r="C261" s="37"/>
      <c r="D261" s="37"/>
      <c r="E261" s="37"/>
      <c r="F261" s="37"/>
      <c r="G261" s="51"/>
      <c r="H261" s="51"/>
      <c r="I261" s="51"/>
      <c r="J261" s="37"/>
      <c r="K261" s="50"/>
      <c r="L261" s="37"/>
    </row>
    <row r="262" spans="1:12" ht="15" customHeight="1">
      <c r="A262" s="37"/>
      <c r="B262" s="37"/>
      <c r="C262" s="37"/>
      <c r="D262" s="37"/>
      <c r="E262" s="37"/>
      <c r="F262" s="37"/>
      <c r="G262" s="51"/>
      <c r="H262" s="51"/>
      <c r="I262" s="51"/>
      <c r="J262" s="37"/>
      <c r="K262" s="50"/>
      <c r="L262" s="37"/>
    </row>
    <row r="263" spans="1:12" ht="15" customHeight="1">
      <c r="A263" s="37"/>
      <c r="B263" s="37"/>
      <c r="C263" s="37"/>
      <c r="D263" s="37"/>
      <c r="E263" s="37"/>
      <c r="F263" s="37"/>
      <c r="G263" s="51"/>
      <c r="H263" s="51"/>
      <c r="I263" s="51"/>
      <c r="J263" s="37"/>
      <c r="K263" s="50"/>
      <c r="L263" s="37"/>
    </row>
    <row r="264" spans="1:12" ht="15" customHeight="1">
      <c r="A264" s="37"/>
      <c r="B264" s="37"/>
      <c r="C264" s="37"/>
      <c r="D264" s="37"/>
      <c r="E264" s="37"/>
      <c r="F264" s="37"/>
      <c r="G264" s="51"/>
      <c r="H264" s="51"/>
      <c r="I264" s="51"/>
      <c r="J264" s="37"/>
      <c r="K264" s="50"/>
      <c r="L264" s="37"/>
    </row>
    <row r="265" spans="1:12" ht="15" customHeight="1">
      <c r="A265" s="37"/>
      <c r="B265" s="37"/>
      <c r="C265" s="37"/>
      <c r="D265" s="37"/>
      <c r="E265" s="37"/>
      <c r="F265" s="37"/>
      <c r="G265" s="51"/>
      <c r="H265" s="51"/>
      <c r="I265" s="51"/>
      <c r="J265" s="37"/>
      <c r="K265" s="50"/>
      <c r="L265" s="37"/>
    </row>
    <row r="268" spans="1:12" ht="19.5" customHeight="1">
      <c r="A268" s="289" t="s">
        <v>1742</v>
      </c>
      <c r="B268" s="262"/>
      <c r="C268" s="262"/>
      <c r="D268" s="262"/>
      <c r="E268" s="262"/>
      <c r="F268" s="262"/>
      <c r="G268" s="262"/>
    </row>
    <row r="269" spans="1:12" ht="25.5" customHeight="1">
      <c r="A269" s="32" t="s">
        <v>1648</v>
      </c>
      <c r="B269" s="32" t="s">
        <v>949</v>
      </c>
      <c r="C269" s="32" t="s">
        <v>941</v>
      </c>
      <c r="D269" s="32" t="s">
        <v>943</v>
      </c>
      <c r="E269" s="32" t="s">
        <v>945</v>
      </c>
      <c r="F269" s="32" t="s">
        <v>947</v>
      </c>
      <c r="G269" s="32" t="s">
        <v>1664</v>
      </c>
    </row>
    <row r="270" spans="1:12" ht="15" customHeight="1">
      <c r="A270" s="37"/>
      <c r="B270" s="37"/>
      <c r="C270" s="34" t="str">
        <f>IFERROR(INDEX(#REF!,MATCH(B270,#REF!,0)),"")</f>
        <v/>
      </c>
      <c r="D270" s="34" t="str">
        <f>IFERROR(INDEX(#REF!,MATCH(B270,#REF!,0)),"")</f>
        <v/>
      </c>
      <c r="E270" s="34" t="str">
        <f>IFERROR(INDEX(#REF!,MATCH(B270,#REF!,0)),"")</f>
        <v/>
      </c>
      <c r="F270" s="34" t="str">
        <f>IFERROR(INDEX(#REF!,MATCH(B270,#REF!,0)),"")</f>
        <v/>
      </c>
      <c r="G270" s="37"/>
    </row>
    <row r="271" spans="1:12" ht="15" customHeight="1">
      <c r="A271" s="37"/>
      <c r="B271" s="37"/>
      <c r="C271" s="34" t="str">
        <f>IFERROR(INDEX(#REF!,MATCH(B271,#REF!,0)),"")</f>
        <v/>
      </c>
      <c r="D271" s="34" t="str">
        <f>IFERROR(INDEX(#REF!,MATCH(B271,#REF!,0)),"")</f>
        <v/>
      </c>
      <c r="E271" s="34" t="str">
        <f>IFERROR(INDEX(#REF!,MATCH(B271,#REF!,0)),"")</f>
        <v/>
      </c>
      <c r="F271" s="34" t="str">
        <f>IFERROR(INDEX(#REF!,MATCH(B271,#REF!,0)),"")</f>
        <v/>
      </c>
      <c r="G271" s="37"/>
    </row>
    <row r="272" spans="1:12" ht="15" customHeight="1">
      <c r="A272" s="37"/>
      <c r="B272" s="37"/>
      <c r="C272" s="34" t="str">
        <f>IFERROR(INDEX(#REF!,MATCH(B272,#REF!,0)),"")</f>
        <v/>
      </c>
      <c r="D272" s="34" t="str">
        <f>IFERROR(INDEX(#REF!,MATCH(B272,#REF!,0)),"")</f>
        <v/>
      </c>
      <c r="E272" s="34" t="str">
        <f>IFERROR(INDEX(#REF!,MATCH(B272,#REF!,0)),"")</f>
        <v/>
      </c>
      <c r="F272" s="34" t="str">
        <f>IFERROR(INDEX(#REF!,MATCH(B272,#REF!,0)),"")</f>
        <v/>
      </c>
      <c r="G272" s="37"/>
    </row>
    <row r="273" spans="1:7" ht="15" customHeight="1">
      <c r="A273" s="37"/>
      <c r="B273" s="37"/>
      <c r="C273" s="34" t="str">
        <f>IFERROR(INDEX(#REF!,MATCH(B273,#REF!,0)),"")</f>
        <v/>
      </c>
      <c r="D273" s="34" t="str">
        <f>IFERROR(INDEX(#REF!,MATCH(B273,#REF!,0)),"")</f>
        <v/>
      </c>
      <c r="E273" s="34" t="str">
        <f>IFERROR(INDEX(#REF!,MATCH(B273,#REF!,0)),"")</f>
        <v/>
      </c>
      <c r="F273" s="34" t="str">
        <f>IFERROR(INDEX(#REF!,MATCH(B273,#REF!,0)),"")</f>
        <v/>
      </c>
      <c r="G273" s="37"/>
    </row>
    <row r="274" spans="1:7" ht="15" customHeight="1">
      <c r="A274" s="37"/>
      <c r="B274" s="37"/>
      <c r="C274" s="34" t="str">
        <f>IFERROR(INDEX(#REF!,MATCH(B274,#REF!,0)),"")</f>
        <v/>
      </c>
      <c r="D274" s="34" t="str">
        <f>IFERROR(INDEX(#REF!,MATCH(B274,#REF!,0)),"")</f>
        <v/>
      </c>
      <c r="E274" s="34" t="str">
        <f>IFERROR(INDEX(#REF!,MATCH(B274,#REF!,0)),"")</f>
        <v/>
      </c>
      <c r="F274" s="34" t="str">
        <f>IFERROR(INDEX(#REF!,MATCH(B274,#REF!,0)),"")</f>
        <v/>
      </c>
      <c r="G274" s="37"/>
    </row>
    <row r="275" spans="1:7" ht="15" customHeight="1">
      <c r="A275" s="37"/>
      <c r="B275" s="37"/>
      <c r="C275" s="34" t="str">
        <f>IFERROR(INDEX(#REF!,MATCH(B275,#REF!,0)),"")</f>
        <v/>
      </c>
      <c r="D275" s="34" t="str">
        <f>IFERROR(INDEX(#REF!,MATCH(B275,#REF!,0)),"")</f>
        <v/>
      </c>
      <c r="E275" s="34" t="str">
        <f>IFERROR(INDEX(#REF!,MATCH(B275,#REF!,0)),"")</f>
        <v/>
      </c>
      <c r="F275" s="34" t="str">
        <f>IFERROR(INDEX(#REF!,MATCH(B275,#REF!,0)),"")</f>
        <v/>
      </c>
      <c r="G275" s="37"/>
    </row>
    <row r="276" spans="1:7" ht="15" customHeight="1">
      <c r="A276" s="37"/>
      <c r="B276" s="37"/>
      <c r="C276" s="34" t="str">
        <f>IFERROR(INDEX(#REF!,MATCH(B276,#REF!,0)),"")</f>
        <v/>
      </c>
      <c r="D276" s="34" t="str">
        <f>IFERROR(INDEX(#REF!,MATCH(B276,#REF!,0)),"")</f>
        <v/>
      </c>
      <c r="E276" s="34" t="str">
        <f>IFERROR(INDEX(#REF!,MATCH(B276,#REF!,0)),"")</f>
        <v/>
      </c>
      <c r="F276" s="34" t="str">
        <f>IFERROR(INDEX(#REF!,MATCH(B276,#REF!,0)),"")</f>
        <v/>
      </c>
      <c r="G276" s="37"/>
    </row>
    <row r="277" spans="1:7" ht="15" customHeight="1">
      <c r="A277" s="37"/>
      <c r="B277" s="37"/>
      <c r="C277" s="34" t="str">
        <f>IFERROR(INDEX(#REF!,MATCH(B277,#REF!,0)),"")</f>
        <v/>
      </c>
      <c r="D277" s="34" t="str">
        <f>IFERROR(INDEX(#REF!,MATCH(B277,#REF!,0)),"")</f>
        <v/>
      </c>
      <c r="E277" s="34" t="str">
        <f>IFERROR(INDEX(#REF!,MATCH(B277,#REF!,0)),"")</f>
        <v/>
      </c>
      <c r="F277" s="34" t="str">
        <f>IFERROR(INDEX(#REF!,MATCH(B277,#REF!,0)),"")</f>
        <v/>
      </c>
      <c r="G277" s="37"/>
    </row>
    <row r="278" spans="1:7" ht="15" customHeight="1">
      <c r="A278" s="37"/>
      <c r="B278" s="37"/>
      <c r="C278" s="34" t="str">
        <f>IFERROR(INDEX(#REF!,MATCH(B278,#REF!,0)),"")</f>
        <v/>
      </c>
      <c r="D278" s="34" t="str">
        <f>IFERROR(INDEX(#REF!,MATCH(B278,#REF!,0)),"")</f>
        <v/>
      </c>
      <c r="E278" s="34" t="str">
        <f>IFERROR(INDEX(#REF!,MATCH(B278,#REF!,0)),"")</f>
        <v/>
      </c>
      <c r="F278" s="34" t="str">
        <f>IFERROR(INDEX(#REF!,MATCH(B278,#REF!,0)),"")</f>
        <v/>
      </c>
      <c r="G278" s="37"/>
    </row>
    <row r="279" spans="1:7" ht="15" customHeight="1">
      <c r="A279" s="37"/>
      <c r="B279" s="37"/>
      <c r="C279" s="34" t="str">
        <f>IFERROR(INDEX(#REF!,MATCH(B279,#REF!,0)),"")</f>
        <v/>
      </c>
      <c r="D279" s="34" t="str">
        <f>IFERROR(INDEX(#REF!,MATCH(B279,#REF!,0)),"")</f>
        <v/>
      </c>
      <c r="E279" s="34" t="str">
        <f>IFERROR(INDEX(#REF!,MATCH(B279,#REF!,0)),"")</f>
        <v/>
      </c>
      <c r="F279" s="34" t="str">
        <f>IFERROR(INDEX(#REF!,MATCH(B279,#REF!,0)),"")</f>
        <v/>
      </c>
      <c r="G279" s="37"/>
    </row>
    <row r="280" spans="1:7" ht="15" customHeight="1">
      <c r="A280" s="37"/>
      <c r="B280" s="37"/>
      <c r="C280" s="34" t="str">
        <f>IFERROR(INDEX(#REF!,MATCH(B280,#REF!,0)),"")</f>
        <v/>
      </c>
      <c r="D280" s="34" t="str">
        <f>IFERROR(INDEX(#REF!,MATCH(B280,#REF!,0)),"")</f>
        <v/>
      </c>
      <c r="E280" s="34" t="str">
        <f>IFERROR(INDEX(#REF!,MATCH(B280,#REF!,0)),"")</f>
        <v/>
      </c>
      <c r="F280" s="34" t="str">
        <f>IFERROR(INDEX(#REF!,MATCH(B280,#REF!,0)),"")</f>
        <v/>
      </c>
      <c r="G280" s="37"/>
    </row>
    <row r="281" spans="1:7" ht="15" customHeight="1">
      <c r="A281" s="37"/>
      <c r="B281" s="37"/>
      <c r="C281" s="34" t="str">
        <f>IFERROR(INDEX(#REF!,MATCH(B281,#REF!,0)),"")</f>
        <v/>
      </c>
      <c r="D281" s="34" t="str">
        <f>IFERROR(INDEX(#REF!,MATCH(B281,#REF!,0)),"")</f>
        <v/>
      </c>
      <c r="E281" s="34" t="str">
        <f>IFERROR(INDEX(#REF!,MATCH(B281,#REF!,0)),"")</f>
        <v/>
      </c>
      <c r="F281" s="34" t="str">
        <f>IFERROR(INDEX(#REF!,MATCH(B281,#REF!,0)),"")</f>
        <v/>
      </c>
      <c r="G281" s="37"/>
    </row>
    <row r="282" spans="1:7" ht="15" customHeight="1">
      <c r="A282" s="37"/>
      <c r="B282" s="37"/>
      <c r="C282" s="34" t="str">
        <f>IFERROR(INDEX(#REF!,MATCH(B282,#REF!,0)),"")</f>
        <v/>
      </c>
      <c r="D282" s="34" t="str">
        <f>IFERROR(INDEX(#REF!,MATCH(B282,#REF!,0)),"")</f>
        <v/>
      </c>
      <c r="E282" s="34" t="str">
        <f>IFERROR(INDEX(#REF!,MATCH(B282,#REF!,0)),"")</f>
        <v/>
      </c>
      <c r="F282" s="34" t="str">
        <f>IFERROR(INDEX(#REF!,MATCH(B282,#REF!,0)),"")</f>
        <v/>
      </c>
      <c r="G282" s="37"/>
    </row>
    <row r="283" spans="1:7" ht="15" customHeight="1">
      <c r="A283" s="37"/>
      <c r="B283" s="37"/>
      <c r="C283" s="34" t="str">
        <f>IFERROR(INDEX(#REF!,MATCH(B283,#REF!,0)),"")</f>
        <v/>
      </c>
      <c r="D283" s="34" t="str">
        <f>IFERROR(INDEX(#REF!,MATCH(B283,#REF!,0)),"")</f>
        <v/>
      </c>
      <c r="E283" s="34" t="str">
        <f>IFERROR(INDEX(#REF!,MATCH(B283,#REF!,0)),"")</f>
        <v/>
      </c>
      <c r="F283" s="34" t="str">
        <f>IFERROR(INDEX(#REF!,MATCH(B283,#REF!,0)),"")</f>
        <v/>
      </c>
      <c r="G283" s="37"/>
    </row>
    <row r="284" spans="1:7" ht="15" customHeight="1">
      <c r="A284" s="37"/>
      <c r="B284" s="37"/>
      <c r="C284" s="34" t="str">
        <f>IFERROR(INDEX(#REF!,MATCH(B284,#REF!,0)),"")</f>
        <v/>
      </c>
      <c r="D284" s="34" t="str">
        <f>IFERROR(INDEX(#REF!,MATCH(B284,#REF!,0)),"")</f>
        <v/>
      </c>
      <c r="E284" s="34" t="str">
        <f>IFERROR(INDEX(#REF!,MATCH(B284,#REF!,0)),"")</f>
        <v/>
      </c>
      <c r="F284" s="34" t="str">
        <f>IFERROR(INDEX(#REF!,MATCH(B284,#REF!,0)),"")</f>
        <v/>
      </c>
      <c r="G284" s="37"/>
    </row>
    <row r="285" spans="1:7" ht="15" customHeight="1">
      <c r="A285" s="37"/>
      <c r="B285" s="37"/>
      <c r="C285" s="34" t="str">
        <f>IFERROR(INDEX(#REF!,MATCH(B285,#REF!,0)),"")</f>
        <v/>
      </c>
      <c r="D285" s="34" t="str">
        <f>IFERROR(INDEX(#REF!,MATCH(B285,#REF!,0)),"")</f>
        <v/>
      </c>
      <c r="E285" s="34" t="str">
        <f>IFERROR(INDEX(#REF!,MATCH(B285,#REF!,0)),"")</f>
        <v/>
      </c>
      <c r="F285" s="34" t="str">
        <f>IFERROR(INDEX(#REF!,MATCH(B285,#REF!,0)),"")</f>
        <v/>
      </c>
      <c r="G285" s="37"/>
    </row>
    <row r="286" spans="1:7" ht="15" customHeight="1">
      <c r="A286" s="37"/>
      <c r="B286" s="37"/>
      <c r="C286" s="34" t="str">
        <f>IFERROR(INDEX(#REF!,MATCH(B286,#REF!,0)),"")</f>
        <v/>
      </c>
      <c r="D286" s="34" t="str">
        <f>IFERROR(INDEX(#REF!,MATCH(B286,#REF!,0)),"")</f>
        <v/>
      </c>
      <c r="E286" s="34" t="str">
        <f>IFERROR(INDEX(#REF!,MATCH(B286,#REF!,0)),"")</f>
        <v/>
      </c>
      <c r="F286" s="34" t="str">
        <f>IFERROR(INDEX(#REF!,MATCH(B286,#REF!,0)),"")</f>
        <v/>
      </c>
      <c r="G286" s="37"/>
    </row>
    <row r="287" spans="1:7" ht="15" customHeight="1">
      <c r="A287" s="37"/>
      <c r="B287" s="37"/>
      <c r="C287" s="34" t="str">
        <f>IFERROR(INDEX(#REF!,MATCH(B287,#REF!,0)),"")</f>
        <v/>
      </c>
      <c r="D287" s="34" t="str">
        <f>IFERROR(INDEX(#REF!,MATCH(B287,#REF!,0)),"")</f>
        <v/>
      </c>
      <c r="E287" s="34" t="str">
        <f>IFERROR(INDEX(#REF!,MATCH(B287,#REF!,0)),"")</f>
        <v/>
      </c>
      <c r="F287" s="34" t="str">
        <f>IFERROR(INDEX(#REF!,MATCH(B287,#REF!,0)),"")</f>
        <v/>
      </c>
      <c r="G287" s="37"/>
    </row>
    <row r="288" spans="1:7" ht="15" customHeight="1">
      <c r="A288" s="37"/>
      <c r="B288" s="37"/>
      <c r="C288" s="34" t="str">
        <f>IFERROR(INDEX(#REF!,MATCH(B288,#REF!,0)),"")</f>
        <v/>
      </c>
      <c r="D288" s="34" t="str">
        <f>IFERROR(INDEX(#REF!,MATCH(B288,#REF!,0)),"")</f>
        <v/>
      </c>
      <c r="E288" s="34" t="str">
        <f>IFERROR(INDEX(#REF!,MATCH(B288,#REF!,0)),"")</f>
        <v/>
      </c>
      <c r="F288" s="34" t="str">
        <f>IFERROR(INDEX(#REF!,MATCH(B288,#REF!,0)),"")</f>
        <v/>
      </c>
      <c r="G288" s="37"/>
    </row>
    <row r="289" spans="1:7" ht="15" customHeight="1">
      <c r="A289" s="37"/>
      <c r="B289" s="37"/>
      <c r="C289" s="34" t="str">
        <f>IFERROR(INDEX(#REF!,MATCH(B289,#REF!,0)),"")</f>
        <v/>
      </c>
      <c r="D289" s="34" t="str">
        <f>IFERROR(INDEX(#REF!,MATCH(B289,#REF!,0)),"")</f>
        <v/>
      </c>
      <c r="E289" s="34" t="str">
        <f>IFERROR(INDEX(#REF!,MATCH(B289,#REF!,0)),"")</f>
        <v/>
      </c>
      <c r="F289" s="34" t="str">
        <f>IFERROR(INDEX(#REF!,MATCH(B289,#REF!,0)),"")</f>
        <v/>
      </c>
      <c r="G289" s="37"/>
    </row>
    <row r="290" spans="1:7" ht="15" customHeight="1">
      <c r="A290" s="37"/>
      <c r="B290" s="37"/>
      <c r="C290" s="34" t="str">
        <f>IFERROR(INDEX(#REF!,MATCH(B290,#REF!,0)),"")</f>
        <v/>
      </c>
      <c r="D290" s="34" t="str">
        <f>IFERROR(INDEX(#REF!,MATCH(B290,#REF!,0)),"")</f>
        <v/>
      </c>
      <c r="E290" s="34" t="str">
        <f>IFERROR(INDEX(#REF!,MATCH(B290,#REF!,0)),"")</f>
        <v/>
      </c>
      <c r="F290" s="34" t="str">
        <f>IFERROR(INDEX(#REF!,MATCH(B290,#REF!,0)),"")</f>
        <v/>
      </c>
      <c r="G290" s="37"/>
    </row>
    <row r="291" spans="1:7" ht="15" customHeight="1">
      <c r="A291" s="37"/>
      <c r="B291" s="37"/>
      <c r="C291" s="34" t="str">
        <f>IFERROR(INDEX(#REF!,MATCH(B291,#REF!,0)),"")</f>
        <v/>
      </c>
      <c r="D291" s="34" t="str">
        <f>IFERROR(INDEX(#REF!,MATCH(B291,#REF!,0)),"")</f>
        <v/>
      </c>
      <c r="E291" s="34" t="str">
        <f>IFERROR(INDEX(#REF!,MATCH(B291,#REF!,0)),"")</f>
        <v/>
      </c>
      <c r="F291" s="34" t="str">
        <f>IFERROR(INDEX(#REF!,MATCH(B291,#REF!,0)),"")</f>
        <v/>
      </c>
      <c r="G291" s="37"/>
    </row>
    <row r="292" spans="1:7" ht="15" customHeight="1">
      <c r="A292" s="37"/>
      <c r="B292" s="37"/>
      <c r="C292" s="34" t="str">
        <f>IFERROR(INDEX(#REF!,MATCH(B292,#REF!,0)),"")</f>
        <v/>
      </c>
      <c r="D292" s="34" t="str">
        <f>IFERROR(INDEX(#REF!,MATCH(B292,#REF!,0)),"")</f>
        <v/>
      </c>
      <c r="E292" s="34" t="str">
        <f>IFERROR(INDEX(#REF!,MATCH(B292,#REF!,0)),"")</f>
        <v/>
      </c>
      <c r="F292" s="34" t="str">
        <f>IFERROR(INDEX(#REF!,MATCH(B292,#REF!,0)),"")</f>
        <v/>
      </c>
      <c r="G292" s="37"/>
    </row>
    <row r="293" spans="1:7" ht="15" customHeight="1">
      <c r="A293" s="37"/>
      <c r="B293" s="37"/>
      <c r="C293" s="34" t="str">
        <f>IFERROR(INDEX(#REF!,MATCH(B293,#REF!,0)),"")</f>
        <v/>
      </c>
      <c r="D293" s="34" t="str">
        <f>IFERROR(INDEX(#REF!,MATCH(B293,#REF!,0)),"")</f>
        <v/>
      </c>
      <c r="E293" s="34" t="str">
        <f>IFERROR(INDEX(#REF!,MATCH(B293,#REF!,0)),"")</f>
        <v/>
      </c>
      <c r="F293" s="34" t="str">
        <f>IFERROR(INDEX(#REF!,MATCH(B293,#REF!,0)),"")</f>
        <v/>
      </c>
      <c r="G293" s="37"/>
    </row>
    <row r="294" spans="1:7" ht="15" customHeight="1">
      <c r="A294" s="37"/>
      <c r="B294" s="37"/>
      <c r="C294" s="34" t="str">
        <f>IFERROR(INDEX(#REF!,MATCH(B294,#REF!,0)),"")</f>
        <v/>
      </c>
      <c r="D294" s="34" t="str">
        <f>IFERROR(INDEX(#REF!,MATCH(B294,#REF!,0)),"")</f>
        <v/>
      </c>
      <c r="E294" s="34" t="str">
        <f>IFERROR(INDEX(#REF!,MATCH(B294,#REF!,0)),"")</f>
        <v/>
      </c>
      <c r="F294" s="34" t="str">
        <f>IFERROR(INDEX(#REF!,MATCH(B294,#REF!,0)),"")</f>
        <v/>
      </c>
      <c r="G294" s="37"/>
    </row>
    <row r="295" spans="1:7" ht="15" customHeight="1">
      <c r="A295" s="37"/>
      <c r="B295" s="37"/>
      <c r="C295" s="34" t="str">
        <f>IFERROR(INDEX(#REF!,MATCH(B295,#REF!,0)),"")</f>
        <v/>
      </c>
      <c r="D295" s="34" t="str">
        <f>IFERROR(INDEX(#REF!,MATCH(B295,#REF!,0)),"")</f>
        <v/>
      </c>
      <c r="E295" s="34" t="str">
        <f>IFERROR(INDEX(#REF!,MATCH(B295,#REF!,0)),"")</f>
        <v/>
      </c>
      <c r="F295" s="34" t="str">
        <f>IFERROR(INDEX(#REF!,MATCH(B295,#REF!,0)),"")</f>
        <v/>
      </c>
      <c r="G295" s="37"/>
    </row>
    <row r="296" spans="1:7" ht="15" customHeight="1">
      <c r="A296" s="37"/>
      <c r="B296" s="37"/>
      <c r="C296" s="34" t="str">
        <f>IFERROR(INDEX(#REF!,MATCH(B296,#REF!,0)),"")</f>
        <v/>
      </c>
      <c r="D296" s="34" t="str">
        <f>IFERROR(INDEX(#REF!,MATCH(B296,#REF!,0)),"")</f>
        <v/>
      </c>
      <c r="E296" s="34" t="str">
        <f>IFERROR(INDEX(#REF!,MATCH(B296,#REF!,0)),"")</f>
        <v/>
      </c>
      <c r="F296" s="34" t="str">
        <f>IFERROR(INDEX(#REF!,MATCH(B296,#REF!,0)),"")</f>
        <v/>
      </c>
      <c r="G296" s="37"/>
    </row>
    <row r="297" spans="1:7" ht="15" customHeight="1">
      <c r="A297" s="37"/>
      <c r="B297" s="37"/>
      <c r="C297" s="34" t="str">
        <f>IFERROR(INDEX(#REF!,MATCH(B297,#REF!,0)),"")</f>
        <v/>
      </c>
      <c r="D297" s="34" t="str">
        <f>IFERROR(INDEX(#REF!,MATCH(B297,#REF!,0)),"")</f>
        <v/>
      </c>
      <c r="E297" s="34" t="str">
        <f>IFERROR(INDEX(#REF!,MATCH(B297,#REF!,0)),"")</f>
        <v/>
      </c>
      <c r="F297" s="34" t="str">
        <f>IFERROR(INDEX(#REF!,MATCH(B297,#REF!,0)),"")</f>
        <v/>
      </c>
      <c r="G297" s="37"/>
    </row>
    <row r="298" spans="1:7" ht="15" customHeight="1">
      <c r="A298" s="37"/>
      <c r="B298" s="37"/>
      <c r="C298" s="34" t="str">
        <f>IFERROR(INDEX(#REF!,MATCH(B298,#REF!,0)),"")</f>
        <v/>
      </c>
      <c r="D298" s="34" t="str">
        <f>IFERROR(INDEX(#REF!,MATCH(B298,#REF!,0)),"")</f>
        <v/>
      </c>
      <c r="E298" s="34" t="str">
        <f>IFERROR(INDEX(#REF!,MATCH(B298,#REF!,0)),"")</f>
        <v/>
      </c>
      <c r="F298" s="34" t="str">
        <f>IFERROR(INDEX(#REF!,MATCH(B298,#REF!,0)),"")</f>
        <v/>
      </c>
      <c r="G298" s="37"/>
    </row>
    <row r="299" spans="1:7" ht="15" customHeight="1">
      <c r="A299" s="37"/>
      <c r="B299" s="37"/>
      <c r="C299" s="34" t="str">
        <f>IFERROR(INDEX(#REF!,MATCH(B299,#REF!,0)),"")</f>
        <v/>
      </c>
      <c r="D299" s="34" t="str">
        <f>IFERROR(INDEX(#REF!,MATCH(B299,#REF!,0)),"")</f>
        <v/>
      </c>
      <c r="E299" s="34" t="str">
        <f>IFERROR(INDEX(#REF!,MATCH(B299,#REF!,0)),"")</f>
        <v/>
      </c>
      <c r="F299" s="34" t="str">
        <f>IFERROR(INDEX(#REF!,MATCH(B299,#REF!,0)),"")</f>
        <v/>
      </c>
      <c r="G299" s="37"/>
    </row>
    <row r="302" spans="1:7" ht="19.5" customHeight="1">
      <c r="A302" s="289" t="s">
        <v>1743</v>
      </c>
      <c r="B302" s="262"/>
      <c r="C302" s="262"/>
      <c r="D302" s="262"/>
      <c r="E302" s="262"/>
      <c r="F302" s="262"/>
      <c r="G302" s="262"/>
    </row>
    <row r="303" spans="1:7" ht="25.5" customHeight="1">
      <c r="A303" s="32" t="s">
        <v>1648</v>
      </c>
      <c r="B303" s="32" t="s">
        <v>1744</v>
      </c>
      <c r="C303" s="32" t="s">
        <v>1745</v>
      </c>
      <c r="D303" s="32" t="s">
        <v>1746</v>
      </c>
      <c r="E303" s="32" t="s">
        <v>1408</v>
      </c>
      <c r="F303" s="32" t="s">
        <v>175</v>
      </c>
      <c r="G303" s="32" t="s">
        <v>1747</v>
      </c>
    </row>
    <row r="304" spans="1:7" ht="15" customHeight="1">
      <c r="A304" s="37"/>
      <c r="B304" s="37"/>
      <c r="C304" s="50"/>
      <c r="D304" s="50"/>
      <c r="E304" s="37"/>
      <c r="F304" s="37"/>
      <c r="G304" s="54"/>
    </row>
    <row r="305" spans="1:7" ht="15" customHeight="1">
      <c r="A305" s="37"/>
      <c r="B305" s="37"/>
      <c r="C305" s="50"/>
      <c r="D305" s="50"/>
      <c r="E305" s="37"/>
      <c r="F305" s="37"/>
      <c r="G305" s="54"/>
    </row>
    <row r="306" spans="1:7" ht="15" customHeight="1">
      <c r="A306" s="37"/>
      <c r="B306" s="37"/>
      <c r="C306" s="50"/>
      <c r="D306" s="50"/>
      <c r="E306" s="37"/>
      <c r="F306" s="37"/>
      <c r="G306" s="54"/>
    </row>
    <row r="307" spans="1:7" ht="15" customHeight="1">
      <c r="A307" s="37"/>
      <c r="B307" s="37"/>
      <c r="C307" s="50"/>
      <c r="D307" s="50"/>
      <c r="E307" s="37"/>
      <c r="F307" s="37"/>
      <c r="G307" s="54"/>
    </row>
    <row r="308" spans="1:7" ht="15" customHeight="1">
      <c r="A308" s="37"/>
      <c r="B308" s="37"/>
      <c r="C308" s="50"/>
      <c r="D308" s="50"/>
      <c r="E308" s="37"/>
      <c r="F308" s="37"/>
      <c r="G308" s="54"/>
    </row>
    <row r="309" spans="1:7" ht="15" customHeight="1">
      <c r="A309" s="37"/>
      <c r="B309" s="37"/>
      <c r="C309" s="50"/>
      <c r="D309" s="50"/>
      <c r="E309" s="37"/>
      <c r="F309" s="37"/>
      <c r="G309" s="54"/>
    </row>
    <row r="310" spans="1:7" ht="15" customHeight="1">
      <c r="A310" s="37"/>
      <c r="B310" s="37"/>
      <c r="C310" s="50"/>
      <c r="D310" s="50"/>
      <c r="E310" s="37"/>
      <c r="F310" s="37"/>
      <c r="G310" s="54"/>
    </row>
    <row r="311" spans="1:7" ht="15" customHeight="1">
      <c r="A311" s="37"/>
      <c r="B311" s="37"/>
      <c r="C311" s="50"/>
      <c r="D311" s="50"/>
      <c r="E311" s="37"/>
      <c r="F311" s="37"/>
      <c r="G311" s="54"/>
    </row>
    <row r="312" spans="1:7" ht="15" customHeight="1">
      <c r="A312" s="37"/>
      <c r="B312" s="37"/>
      <c r="C312" s="50"/>
      <c r="D312" s="50"/>
      <c r="E312" s="37"/>
      <c r="F312" s="37"/>
      <c r="G312" s="54"/>
    </row>
    <row r="313" spans="1:7" ht="15" customHeight="1">
      <c r="A313" s="37"/>
      <c r="B313" s="37"/>
      <c r="C313" s="50"/>
      <c r="D313" s="50"/>
      <c r="E313" s="37"/>
      <c r="F313" s="37"/>
      <c r="G313" s="54"/>
    </row>
    <row r="314" spans="1:7" ht="15" customHeight="1">
      <c r="A314" s="37"/>
      <c r="B314" s="37"/>
      <c r="C314" s="50"/>
      <c r="D314" s="50"/>
      <c r="E314" s="37"/>
      <c r="F314" s="37"/>
      <c r="G314" s="54"/>
    </row>
    <row r="315" spans="1:7" ht="15" customHeight="1">
      <c r="A315" s="37"/>
      <c r="B315" s="37"/>
      <c r="C315" s="50"/>
      <c r="D315" s="50"/>
      <c r="E315" s="37"/>
      <c r="F315" s="37"/>
      <c r="G315" s="54"/>
    </row>
    <row r="316" spans="1:7" ht="15" customHeight="1">
      <c r="A316" s="37"/>
      <c r="B316" s="37"/>
      <c r="C316" s="50"/>
      <c r="D316" s="50"/>
      <c r="E316" s="37"/>
      <c r="F316" s="37"/>
      <c r="G316" s="54"/>
    </row>
    <row r="317" spans="1:7" ht="15" customHeight="1">
      <c r="A317" s="37"/>
      <c r="B317" s="37"/>
      <c r="C317" s="50"/>
      <c r="D317" s="50"/>
      <c r="E317" s="37"/>
      <c r="F317" s="37"/>
      <c r="G317" s="54"/>
    </row>
    <row r="318" spans="1:7" ht="15" customHeight="1">
      <c r="A318" s="37"/>
      <c r="B318" s="37"/>
      <c r="C318" s="50"/>
      <c r="D318" s="50"/>
      <c r="E318" s="37"/>
      <c r="F318" s="37"/>
      <c r="G318" s="54"/>
    </row>
    <row r="319" spans="1:7" ht="15" customHeight="1">
      <c r="A319" s="37"/>
      <c r="B319" s="37"/>
      <c r="C319" s="50"/>
      <c r="D319" s="50"/>
      <c r="E319" s="37"/>
      <c r="F319" s="37"/>
      <c r="G319" s="54"/>
    </row>
    <row r="320" spans="1:7" ht="15" customHeight="1">
      <c r="A320" s="37"/>
      <c r="B320" s="37"/>
      <c r="C320" s="50"/>
      <c r="D320" s="50"/>
      <c r="E320" s="37"/>
      <c r="F320" s="37"/>
      <c r="G320" s="54"/>
    </row>
    <row r="321" spans="1:9" ht="15" customHeight="1">
      <c r="A321" s="37"/>
      <c r="B321" s="37"/>
      <c r="C321" s="50"/>
      <c r="D321" s="50"/>
      <c r="E321" s="37"/>
      <c r="F321" s="37"/>
      <c r="G321" s="54"/>
    </row>
    <row r="322" spans="1:9" ht="15" customHeight="1">
      <c r="A322" s="37"/>
      <c r="B322" s="37"/>
      <c r="C322" s="50"/>
      <c r="D322" s="50"/>
      <c r="E322" s="37"/>
      <c r="F322" s="37"/>
      <c r="G322" s="54"/>
    </row>
    <row r="323" spans="1:9" ht="15" customHeight="1">
      <c r="A323" s="37"/>
      <c r="B323" s="37"/>
      <c r="C323" s="50"/>
      <c r="D323" s="50"/>
      <c r="E323" s="37"/>
      <c r="F323" s="37"/>
      <c r="G323" s="54"/>
    </row>
    <row r="324" spans="1:9" ht="15" customHeight="1">
      <c r="A324" s="37"/>
      <c r="B324" s="37"/>
      <c r="C324" s="50"/>
      <c r="D324" s="50"/>
      <c r="E324" s="37"/>
      <c r="F324" s="37"/>
      <c r="G324" s="54"/>
    </row>
    <row r="325" spans="1:9" ht="15" customHeight="1">
      <c r="A325" s="37"/>
      <c r="B325" s="37"/>
      <c r="C325" s="50"/>
      <c r="D325" s="50"/>
      <c r="E325" s="37"/>
      <c r="F325" s="37"/>
      <c r="G325" s="54"/>
    </row>
    <row r="326" spans="1:9" ht="15" customHeight="1">
      <c r="A326" s="37"/>
      <c r="B326" s="37"/>
      <c r="C326" s="50"/>
      <c r="D326" s="50"/>
      <c r="E326" s="37"/>
      <c r="F326" s="37"/>
      <c r="G326" s="54"/>
    </row>
    <row r="327" spans="1:9" ht="15" customHeight="1">
      <c r="A327" s="37"/>
      <c r="B327" s="37"/>
      <c r="C327" s="50"/>
      <c r="D327" s="50"/>
      <c r="E327" s="37"/>
      <c r="F327" s="37"/>
      <c r="G327" s="54"/>
    </row>
    <row r="328" spans="1:9" ht="15" customHeight="1">
      <c r="A328" s="37"/>
      <c r="B328" s="37"/>
      <c r="C328" s="50"/>
      <c r="D328" s="50"/>
      <c r="E328" s="37"/>
      <c r="F328" s="37"/>
      <c r="G328" s="54"/>
    </row>
    <row r="329" spans="1:9" ht="15" customHeight="1">
      <c r="A329" s="37"/>
      <c r="B329" s="37"/>
      <c r="C329" s="50"/>
      <c r="D329" s="50"/>
      <c r="E329" s="37"/>
      <c r="F329" s="37"/>
      <c r="G329" s="54"/>
    </row>
    <row r="330" spans="1:9" ht="15" customHeight="1">
      <c r="A330" s="37"/>
      <c r="B330" s="37"/>
      <c r="C330" s="50"/>
      <c r="D330" s="50"/>
      <c r="E330" s="37"/>
      <c r="F330" s="37"/>
      <c r="G330" s="54"/>
    </row>
    <row r="331" spans="1:9" ht="15" customHeight="1">
      <c r="A331" s="37"/>
      <c r="B331" s="37"/>
      <c r="C331" s="50"/>
      <c r="D331" s="50"/>
      <c r="E331" s="37"/>
      <c r="F331" s="37"/>
      <c r="G331" s="54"/>
    </row>
    <row r="332" spans="1:9" ht="15" customHeight="1">
      <c r="A332" s="37"/>
      <c r="B332" s="37"/>
      <c r="C332" s="50"/>
      <c r="D332" s="50"/>
      <c r="E332" s="37"/>
      <c r="F332" s="37"/>
      <c r="G332" s="54"/>
    </row>
    <row r="333" spans="1:9" ht="15" customHeight="1">
      <c r="A333" s="37"/>
      <c r="B333" s="37"/>
      <c r="C333" s="50"/>
      <c r="D333" s="50"/>
      <c r="E333" s="37"/>
      <c r="F333" s="37"/>
      <c r="G333" s="54"/>
    </row>
    <row r="336" spans="1:9" ht="19.5" customHeight="1">
      <c r="A336" s="289" t="s">
        <v>1748</v>
      </c>
      <c r="B336" s="262"/>
      <c r="C336" s="262"/>
      <c r="D336" s="262"/>
      <c r="E336" s="262"/>
      <c r="F336" s="262"/>
      <c r="G336" s="262"/>
      <c r="H336" s="262"/>
      <c r="I336" s="262"/>
    </row>
    <row r="337" spans="1:9" ht="25.5" customHeight="1">
      <c r="A337" s="32" t="s">
        <v>1648</v>
      </c>
      <c r="B337" s="32" t="s">
        <v>1749</v>
      </c>
      <c r="C337" s="32" t="s">
        <v>1750</v>
      </c>
      <c r="D337" s="32" t="s">
        <v>1751</v>
      </c>
      <c r="E337" s="32" t="s">
        <v>1752</v>
      </c>
      <c r="F337" s="32" t="s">
        <v>1753</v>
      </c>
      <c r="G337" s="32" t="s">
        <v>1754</v>
      </c>
      <c r="H337" s="32" t="s">
        <v>1408</v>
      </c>
      <c r="I337" s="32" t="s">
        <v>175</v>
      </c>
    </row>
    <row r="338" spans="1:9" ht="15" customHeight="1">
      <c r="A338" s="37"/>
      <c r="B338" s="34" t="str">
        <f t="shared" ref="B338:B367" si="12">IF(A338="","","RIS"&amp;TEXT(ROW()-337,"0000"))</f>
        <v/>
      </c>
      <c r="C338" s="49"/>
      <c r="D338" s="37"/>
      <c r="E338" s="37"/>
      <c r="F338" s="37"/>
      <c r="G338" s="49"/>
      <c r="H338" s="37"/>
      <c r="I338" s="37"/>
    </row>
    <row r="339" spans="1:9" ht="15" customHeight="1">
      <c r="A339" s="37"/>
      <c r="B339" s="34" t="str">
        <f t="shared" si="12"/>
        <v/>
      </c>
      <c r="C339" s="49"/>
      <c r="D339" s="37"/>
      <c r="E339" s="37"/>
      <c r="F339" s="37"/>
      <c r="G339" s="49"/>
      <c r="H339" s="37"/>
      <c r="I339" s="37"/>
    </row>
    <row r="340" spans="1:9" ht="15" customHeight="1">
      <c r="A340" s="37"/>
      <c r="B340" s="34" t="str">
        <f t="shared" si="12"/>
        <v/>
      </c>
      <c r="C340" s="49"/>
      <c r="D340" s="37"/>
      <c r="E340" s="37"/>
      <c r="F340" s="37"/>
      <c r="G340" s="49"/>
      <c r="H340" s="37"/>
      <c r="I340" s="37"/>
    </row>
    <row r="341" spans="1:9" ht="15" customHeight="1">
      <c r="A341" s="37"/>
      <c r="B341" s="34" t="str">
        <f t="shared" si="12"/>
        <v/>
      </c>
      <c r="C341" s="49"/>
      <c r="D341" s="37"/>
      <c r="E341" s="37"/>
      <c r="F341" s="37"/>
      <c r="G341" s="49"/>
      <c r="H341" s="37"/>
      <c r="I341" s="37"/>
    </row>
    <row r="342" spans="1:9" ht="15" customHeight="1">
      <c r="A342" s="37"/>
      <c r="B342" s="34" t="str">
        <f t="shared" si="12"/>
        <v/>
      </c>
      <c r="C342" s="49"/>
      <c r="D342" s="37"/>
      <c r="E342" s="37"/>
      <c r="F342" s="37"/>
      <c r="G342" s="49"/>
      <c r="H342" s="37"/>
      <c r="I342" s="37"/>
    </row>
    <row r="343" spans="1:9" ht="15" customHeight="1">
      <c r="A343" s="37"/>
      <c r="B343" s="34" t="str">
        <f t="shared" si="12"/>
        <v/>
      </c>
      <c r="C343" s="49"/>
      <c r="D343" s="37"/>
      <c r="E343" s="37"/>
      <c r="F343" s="37"/>
      <c r="G343" s="49"/>
      <c r="H343" s="37"/>
      <c r="I343" s="37"/>
    </row>
    <row r="344" spans="1:9" ht="15" customHeight="1">
      <c r="A344" s="37"/>
      <c r="B344" s="34" t="str">
        <f t="shared" si="12"/>
        <v/>
      </c>
      <c r="C344" s="49"/>
      <c r="D344" s="37"/>
      <c r="E344" s="37"/>
      <c r="F344" s="37"/>
      <c r="G344" s="49"/>
      <c r="H344" s="37"/>
      <c r="I344" s="37"/>
    </row>
    <row r="345" spans="1:9" ht="15" customHeight="1">
      <c r="A345" s="37"/>
      <c r="B345" s="34" t="str">
        <f t="shared" si="12"/>
        <v/>
      </c>
      <c r="C345" s="49"/>
      <c r="D345" s="37"/>
      <c r="E345" s="37"/>
      <c r="F345" s="37"/>
      <c r="G345" s="49"/>
      <c r="H345" s="37"/>
      <c r="I345" s="37"/>
    </row>
    <row r="346" spans="1:9" ht="15" customHeight="1">
      <c r="A346" s="37"/>
      <c r="B346" s="34" t="str">
        <f t="shared" si="12"/>
        <v/>
      </c>
      <c r="C346" s="49"/>
      <c r="D346" s="37"/>
      <c r="E346" s="37"/>
      <c r="F346" s="37"/>
      <c r="G346" s="49"/>
      <c r="H346" s="37"/>
      <c r="I346" s="37"/>
    </row>
    <row r="347" spans="1:9" ht="15" customHeight="1">
      <c r="A347" s="37"/>
      <c r="B347" s="34" t="str">
        <f t="shared" si="12"/>
        <v/>
      </c>
      <c r="C347" s="49"/>
      <c r="D347" s="37"/>
      <c r="E347" s="37"/>
      <c r="F347" s="37"/>
      <c r="G347" s="49"/>
      <c r="H347" s="37"/>
      <c r="I347" s="37"/>
    </row>
    <row r="348" spans="1:9" ht="15" customHeight="1">
      <c r="A348" s="37"/>
      <c r="B348" s="34" t="str">
        <f t="shared" si="12"/>
        <v/>
      </c>
      <c r="C348" s="49"/>
      <c r="D348" s="37"/>
      <c r="E348" s="37"/>
      <c r="F348" s="37"/>
      <c r="G348" s="49"/>
      <c r="H348" s="37"/>
      <c r="I348" s="37"/>
    </row>
    <row r="349" spans="1:9" ht="15" customHeight="1">
      <c r="A349" s="37"/>
      <c r="B349" s="34" t="str">
        <f t="shared" si="12"/>
        <v/>
      </c>
      <c r="C349" s="49"/>
      <c r="D349" s="37"/>
      <c r="E349" s="37"/>
      <c r="F349" s="37"/>
      <c r="G349" s="49"/>
      <c r="H349" s="37"/>
      <c r="I349" s="37"/>
    </row>
    <row r="350" spans="1:9" ht="15" customHeight="1">
      <c r="A350" s="37"/>
      <c r="B350" s="34" t="str">
        <f t="shared" si="12"/>
        <v/>
      </c>
      <c r="C350" s="49"/>
      <c r="D350" s="37"/>
      <c r="E350" s="37"/>
      <c r="F350" s="37"/>
      <c r="G350" s="49"/>
      <c r="H350" s="37"/>
      <c r="I350" s="37"/>
    </row>
    <row r="351" spans="1:9" ht="15" customHeight="1">
      <c r="A351" s="37"/>
      <c r="B351" s="34" t="str">
        <f t="shared" si="12"/>
        <v/>
      </c>
      <c r="C351" s="49"/>
      <c r="D351" s="37"/>
      <c r="E351" s="37"/>
      <c r="F351" s="37"/>
      <c r="G351" s="49"/>
      <c r="H351" s="37"/>
      <c r="I351" s="37"/>
    </row>
    <row r="352" spans="1:9" ht="15" customHeight="1">
      <c r="A352" s="37"/>
      <c r="B352" s="34" t="str">
        <f t="shared" si="12"/>
        <v/>
      </c>
      <c r="C352" s="49"/>
      <c r="D352" s="37"/>
      <c r="E352" s="37"/>
      <c r="F352" s="37"/>
      <c r="G352" s="49"/>
      <c r="H352" s="37"/>
      <c r="I352" s="37"/>
    </row>
    <row r="353" spans="1:9" ht="15" customHeight="1">
      <c r="A353" s="37"/>
      <c r="B353" s="34" t="str">
        <f t="shared" si="12"/>
        <v/>
      </c>
      <c r="C353" s="49"/>
      <c r="D353" s="37"/>
      <c r="E353" s="37"/>
      <c r="F353" s="37"/>
      <c r="G353" s="49"/>
      <c r="H353" s="37"/>
      <c r="I353" s="37"/>
    </row>
    <row r="354" spans="1:9" ht="15" customHeight="1">
      <c r="A354" s="37"/>
      <c r="B354" s="34" t="str">
        <f t="shared" si="12"/>
        <v/>
      </c>
      <c r="C354" s="49"/>
      <c r="D354" s="37"/>
      <c r="E354" s="37"/>
      <c r="F354" s="37"/>
      <c r="G354" s="49"/>
      <c r="H354" s="37"/>
      <c r="I354" s="37"/>
    </row>
    <row r="355" spans="1:9" ht="15" customHeight="1">
      <c r="A355" s="37"/>
      <c r="B355" s="34" t="str">
        <f t="shared" si="12"/>
        <v/>
      </c>
      <c r="C355" s="49"/>
      <c r="D355" s="37"/>
      <c r="E355" s="37"/>
      <c r="F355" s="37"/>
      <c r="G355" s="49"/>
      <c r="H355" s="37"/>
      <c r="I355" s="37"/>
    </row>
    <row r="356" spans="1:9" ht="15" customHeight="1">
      <c r="A356" s="37"/>
      <c r="B356" s="34" t="str">
        <f t="shared" si="12"/>
        <v/>
      </c>
      <c r="C356" s="49"/>
      <c r="D356" s="37"/>
      <c r="E356" s="37"/>
      <c r="F356" s="37"/>
      <c r="G356" s="49"/>
      <c r="H356" s="37"/>
      <c r="I356" s="37"/>
    </row>
    <row r="357" spans="1:9" ht="15" customHeight="1">
      <c r="A357" s="37"/>
      <c r="B357" s="34" t="str">
        <f t="shared" si="12"/>
        <v/>
      </c>
      <c r="C357" s="49"/>
      <c r="D357" s="37"/>
      <c r="E357" s="37"/>
      <c r="F357" s="37"/>
      <c r="G357" s="49"/>
      <c r="H357" s="37"/>
      <c r="I357" s="37"/>
    </row>
    <row r="358" spans="1:9" ht="15" customHeight="1">
      <c r="A358" s="37"/>
      <c r="B358" s="34" t="str">
        <f t="shared" si="12"/>
        <v/>
      </c>
      <c r="C358" s="49"/>
      <c r="D358" s="37"/>
      <c r="E358" s="37"/>
      <c r="F358" s="37"/>
      <c r="G358" s="49"/>
      <c r="H358" s="37"/>
      <c r="I358" s="37"/>
    </row>
    <row r="359" spans="1:9" ht="15" customHeight="1">
      <c r="A359" s="37"/>
      <c r="B359" s="34" t="str">
        <f t="shared" si="12"/>
        <v/>
      </c>
      <c r="C359" s="49"/>
      <c r="D359" s="37"/>
      <c r="E359" s="37"/>
      <c r="F359" s="37"/>
      <c r="G359" s="49"/>
      <c r="H359" s="37"/>
      <c r="I359" s="37"/>
    </row>
    <row r="360" spans="1:9" ht="15" customHeight="1">
      <c r="A360" s="37"/>
      <c r="B360" s="34" t="str">
        <f t="shared" si="12"/>
        <v/>
      </c>
      <c r="C360" s="49"/>
      <c r="D360" s="37"/>
      <c r="E360" s="37"/>
      <c r="F360" s="37"/>
      <c r="G360" s="49"/>
      <c r="H360" s="37"/>
      <c r="I360" s="37"/>
    </row>
    <row r="361" spans="1:9" ht="15" customHeight="1">
      <c r="A361" s="37"/>
      <c r="B361" s="34" t="str">
        <f t="shared" si="12"/>
        <v/>
      </c>
      <c r="C361" s="49"/>
      <c r="D361" s="37"/>
      <c r="E361" s="37"/>
      <c r="F361" s="37"/>
      <c r="G361" s="49"/>
      <c r="H361" s="37"/>
      <c r="I361" s="37"/>
    </row>
    <row r="362" spans="1:9" ht="15" customHeight="1">
      <c r="A362" s="37"/>
      <c r="B362" s="34" t="str">
        <f t="shared" si="12"/>
        <v/>
      </c>
      <c r="C362" s="49"/>
      <c r="D362" s="37"/>
      <c r="E362" s="37"/>
      <c r="F362" s="37"/>
      <c r="G362" s="49"/>
      <c r="H362" s="37"/>
      <c r="I362" s="37"/>
    </row>
    <row r="363" spans="1:9" ht="15" customHeight="1">
      <c r="A363" s="37"/>
      <c r="B363" s="34" t="str">
        <f t="shared" si="12"/>
        <v/>
      </c>
      <c r="C363" s="49"/>
      <c r="D363" s="37"/>
      <c r="E363" s="37"/>
      <c r="F363" s="37"/>
      <c r="G363" s="49"/>
      <c r="H363" s="37"/>
      <c r="I363" s="37"/>
    </row>
    <row r="364" spans="1:9" ht="15" customHeight="1">
      <c r="A364" s="37"/>
      <c r="B364" s="34" t="str">
        <f t="shared" si="12"/>
        <v/>
      </c>
      <c r="C364" s="49"/>
      <c r="D364" s="37"/>
      <c r="E364" s="37"/>
      <c r="F364" s="37"/>
      <c r="G364" s="49"/>
      <c r="H364" s="37"/>
      <c r="I364" s="37"/>
    </row>
    <row r="365" spans="1:9" ht="15" customHeight="1">
      <c r="A365" s="37"/>
      <c r="B365" s="34" t="str">
        <f t="shared" si="12"/>
        <v/>
      </c>
      <c r="C365" s="49"/>
      <c r="D365" s="37"/>
      <c r="E365" s="37"/>
      <c r="F365" s="37"/>
      <c r="G365" s="49"/>
      <c r="H365" s="37"/>
      <c r="I365" s="37"/>
    </row>
    <row r="366" spans="1:9" ht="15" customHeight="1">
      <c r="A366" s="37"/>
      <c r="B366" s="34" t="str">
        <f t="shared" si="12"/>
        <v/>
      </c>
      <c r="C366" s="49"/>
      <c r="D366" s="37"/>
      <c r="E366" s="37"/>
      <c r="F366" s="37"/>
      <c r="G366" s="49"/>
      <c r="H366" s="37"/>
      <c r="I366" s="37"/>
    </row>
    <row r="367" spans="1:9" ht="15" customHeight="1">
      <c r="A367" s="37"/>
      <c r="B367" s="34" t="str">
        <f t="shared" si="12"/>
        <v/>
      </c>
      <c r="C367" s="49"/>
      <c r="D367" s="37"/>
      <c r="E367" s="37"/>
      <c r="F367" s="37"/>
      <c r="G367" s="49"/>
      <c r="H367" s="37"/>
      <c r="I367" s="37"/>
    </row>
    <row r="370" spans="1:8" ht="19.5" customHeight="1">
      <c r="A370" s="289" t="s">
        <v>1755</v>
      </c>
      <c r="B370" s="262"/>
      <c r="C370" s="262"/>
      <c r="D370" s="262"/>
      <c r="E370" s="262"/>
      <c r="F370" s="262"/>
      <c r="G370" s="262"/>
      <c r="H370" s="262"/>
    </row>
    <row r="371" spans="1:8" ht="25.5" customHeight="1">
      <c r="A371" s="32" t="s">
        <v>1648</v>
      </c>
      <c r="B371" s="32" t="s">
        <v>1756</v>
      </c>
      <c r="C371" s="32" t="s">
        <v>1716</v>
      </c>
      <c r="D371" s="32" t="s">
        <v>842</v>
      </c>
      <c r="E371" s="32" t="s">
        <v>1427</v>
      </c>
      <c r="F371" s="32" t="s">
        <v>1718</v>
      </c>
      <c r="G371" s="32" t="s">
        <v>1719</v>
      </c>
      <c r="H371" s="32" t="s">
        <v>1757</v>
      </c>
    </row>
    <row r="372" spans="1:8" ht="15" customHeight="1">
      <c r="A372" s="37"/>
      <c r="B372" s="37"/>
      <c r="C372" s="49"/>
      <c r="D372" s="37"/>
      <c r="E372" s="51"/>
      <c r="F372" s="51"/>
      <c r="G372" s="51"/>
      <c r="H372" s="53" t="str">
        <f t="shared" ref="H372:H401" si="13">IF(OR(F372="",F372=0,G372=""),"",G372/F372)</f>
        <v/>
      </c>
    </row>
    <row r="373" spans="1:8" ht="15" customHeight="1">
      <c r="A373" s="37"/>
      <c r="B373" s="37"/>
      <c r="C373" s="49"/>
      <c r="D373" s="37"/>
      <c r="E373" s="51"/>
      <c r="F373" s="51"/>
      <c r="G373" s="51"/>
      <c r="H373" s="53" t="str">
        <f t="shared" si="13"/>
        <v/>
      </c>
    </row>
    <row r="374" spans="1:8" ht="15" customHeight="1">
      <c r="A374" s="37"/>
      <c r="B374" s="37"/>
      <c r="C374" s="49"/>
      <c r="D374" s="37"/>
      <c r="E374" s="51"/>
      <c r="F374" s="51"/>
      <c r="G374" s="51"/>
      <c r="H374" s="53" t="str">
        <f t="shared" si="13"/>
        <v/>
      </c>
    </row>
    <row r="375" spans="1:8" ht="15" customHeight="1">
      <c r="A375" s="37"/>
      <c r="B375" s="37"/>
      <c r="C375" s="49"/>
      <c r="D375" s="37"/>
      <c r="E375" s="51"/>
      <c r="F375" s="51"/>
      <c r="G375" s="51"/>
      <c r="H375" s="53" t="str">
        <f t="shared" si="13"/>
        <v/>
      </c>
    </row>
    <row r="376" spans="1:8" ht="15" customHeight="1">
      <c r="A376" s="37"/>
      <c r="B376" s="37"/>
      <c r="C376" s="49"/>
      <c r="D376" s="37"/>
      <c r="E376" s="51"/>
      <c r="F376" s="51"/>
      <c r="G376" s="51"/>
      <c r="H376" s="53" t="str">
        <f t="shared" si="13"/>
        <v/>
      </c>
    </row>
    <row r="377" spans="1:8" ht="15" customHeight="1">
      <c r="A377" s="37"/>
      <c r="B377" s="37"/>
      <c r="C377" s="49"/>
      <c r="D377" s="37"/>
      <c r="E377" s="51"/>
      <c r="F377" s="51"/>
      <c r="G377" s="51"/>
      <c r="H377" s="53" t="str">
        <f t="shared" si="13"/>
        <v/>
      </c>
    </row>
    <row r="378" spans="1:8" ht="15" customHeight="1">
      <c r="A378" s="37"/>
      <c r="B378" s="37"/>
      <c r="C378" s="49"/>
      <c r="D378" s="37"/>
      <c r="E378" s="51"/>
      <c r="F378" s="51"/>
      <c r="G378" s="51"/>
      <c r="H378" s="53" t="str">
        <f t="shared" si="13"/>
        <v/>
      </c>
    </row>
    <row r="379" spans="1:8" ht="15" customHeight="1">
      <c r="A379" s="37"/>
      <c r="B379" s="37"/>
      <c r="C379" s="49"/>
      <c r="D379" s="37"/>
      <c r="E379" s="51"/>
      <c r="F379" s="51"/>
      <c r="G379" s="51"/>
      <c r="H379" s="53" t="str">
        <f t="shared" si="13"/>
        <v/>
      </c>
    </row>
    <row r="380" spans="1:8" ht="15" customHeight="1">
      <c r="A380" s="37"/>
      <c r="B380" s="37"/>
      <c r="C380" s="49"/>
      <c r="D380" s="37"/>
      <c r="E380" s="51"/>
      <c r="F380" s="51"/>
      <c r="G380" s="51"/>
      <c r="H380" s="53" t="str">
        <f t="shared" si="13"/>
        <v/>
      </c>
    </row>
    <row r="381" spans="1:8" ht="15" customHeight="1">
      <c r="A381" s="37"/>
      <c r="B381" s="37"/>
      <c r="C381" s="49"/>
      <c r="D381" s="37"/>
      <c r="E381" s="51"/>
      <c r="F381" s="51"/>
      <c r="G381" s="51"/>
      <c r="H381" s="53" t="str">
        <f t="shared" si="13"/>
        <v/>
      </c>
    </row>
    <row r="382" spans="1:8" ht="15" customHeight="1">
      <c r="A382" s="37"/>
      <c r="B382" s="37"/>
      <c r="C382" s="49"/>
      <c r="D382" s="37"/>
      <c r="E382" s="51"/>
      <c r="F382" s="51"/>
      <c r="G382" s="51"/>
      <c r="H382" s="53" t="str">
        <f t="shared" si="13"/>
        <v/>
      </c>
    </row>
    <row r="383" spans="1:8" ht="15" customHeight="1">
      <c r="A383" s="37"/>
      <c r="B383" s="37"/>
      <c r="C383" s="49"/>
      <c r="D383" s="37"/>
      <c r="E383" s="51"/>
      <c r="F383" s="51"/>
      <c r="G383" s="51"/>
      <c r="H383" s="53" t="str">
        <f t="shared" si="13"/>
        <v/>
      </c>
    </row>
    <row r="384" spans="1:8" ht="15" customHeight="1">
      <c r="A384" s="37"/>
      <c r="B384" s="37"/>
      <c r="C384" s="49"/>
      <c r="D384" s="37"/>
      <c r="E384" s="51"/>
      <c r="F384" s="51"/>
      <c r="G384" s="51"/>
      <c r="H384" s="53" t="str">
        <f t="shared" si="13"/>
        <v/>
      </c>
    </row>
    <row r="385" spans="1:8" ht="15" customHeight="1">
      <c r="A385" s="37"/>
      <c r="B385" s="37"/>
      <c r="C385" s="49"/>
      <c r="D385" s="37"/>
      <c r="E385" s="51"/>
      <c r="F385" s="51"/>
      <c r="G385" s="51"/>
      <c r="H385" s="53" t="str">
        <f t="shared" si="13"/>
        <v/>
      </c>
    </row>
    <row r="386" spans="1:8" ht="15" customHeight="1">
      <c r="A386" s="37"/>
      <c r="B386" s="37"/>
      <c r="C386" s="49"/>
      <c r="D386" s="37"/>
      <c r="E386" s="51"/>
      <c r="F386" s="51"/>
      <c r="G386" s="51"/>
      <c r="H386" s="53" t="str">
        <f t="shared" si="13"/>
        <v/>
      </c>
    </row>
    <row r="387" spans="1:8" ht="15" customHeight="1">
      <c r="A387" s="37"/>
      <c r="B387" s="37"/>
      <c r="C387" s="49"/>
      <c r="D387" s="37"/>
      <c r="E387" s="51"/>
      <c r="F387" s="51"/>
      <c r="G387" s="51"/>
      <c r="H387" s="53" t="str">
        <f t="shared" si="13"/>
        <v/>
      </c>
    </row>
    <row r="388" spans="1:8" ht="15" customHeight="1">
      <c r="A388" s="37"/>
      <c r="B388" s="37"/>
      <c r="C388" s="49"/>
      <c r="D388" s="37"/>
      <c r="E388" s="51"/>
      <c r="F388" s="51"/>
      <c r="G388" s="51"/>
      <c r="H388" s="53" t="str">
        <f t="shared" si="13"/>
        <v/>
      </c>
    </row>
    <row r="389" spans="1:8" ht="15" customHeight="1">
      <c r="A389" s="37"/>
      <c r="B389" s="37"/>
      <c r="C389" s="49"/>
      <c r="D389" s="37"/>
      <c r="E389" s="51"/>
      <c r="F389" s="51"/>
      <c r="G389" s="51"/>
      <c r="H389" s="53" t="str">
        <f t="shared" si="13"/>
        <v/>
      </c>
    </row>
    <row r="390" spans="1:8" ht="15" customHeight="1">
      <c r="A390" s="37"/>
      <c r="B390" s="37"/>
      <c r="C390" s="49"/>
      <c r="D390" s="37"/>
      <c r="E390" s="51"/>
      <c r="F390" s="51"/>
      <c r="G390" s="51"/>
      <c r="H390" s="53" t="str">
        <f t="shared" si="13"/>
        <v/>
      </c>
    </row>
    <row r="391" spans="1:8" ht="15" customHeight="1">
      <c r="A391" s="37"/>
      <c r="B391" s="37"/>
      <c r="C391" s="49"/>
      <c r="D391" s="37"/>
      <c r="E391" s="51"/>
      <c r="F391" s="51"/>
      <c r="G391" s="51"/>
      <c r="H391" s="53" t="str">
        <f t="shared" si="13"/>
        <v/>
      </c>
    </row>
    <row r="392" spans="1:8" ht="15" customHeight="1">
      <c r="A392" s="37"/>
      <c r="B392" s="37"/>
      <c r="C392" s="49"/>
      <c r="D392" s="37"/>
      <c r="E392" s="51"/>
      <c r="F392" s="51"/>
      <c r="G392" s="51"/>
      <c r="H392" s="53" t="str">
        <f t="shared" si="13"/>
        <v/>
      </c>
    </row>
    <row r="393" spans="1:8" ht="15" customHeight="1">
      <c r="A393" s="37"/>
      <c r="B393" s="37"/>
      <c r="C393" s="49"/>
      <c r="D393" s="37"/>
      <c r="E393" s="51"/>
      <c r="F393" s="51"/>
      <c r="G393" s="51"/>
      <c r="H393" s="53" t="str">
        <f t="shared" si="13"/>
        <v/>
      </c>
    </row>
    <row r="394" spans="1:8" ht="15" customHeight="1">
      <c r="A394" s="37"/>
      <c r="B394" s="37"/>
      <c r="C394" s="49"/>
      <c r="D394" s="37"/>
      <c r="E394" s="51"/>
      <c r="F394" s="51"/>
      <c r="G394" s="51"/>
      <c r="H394" s="53" t="str">
        <f t="shared" si="13"/>
        <v/>
      </c>
    </row>
    <row r="395" spans="1:8" ht="15" customHeight="1">
      <c r="A395" s="37"/>
      <c r="B395" s="37"/>
      <c r="C395" s="49"/>
      <c r="D395" s="37"/>
      <c r="E395" s="51"/>
      <c r="F395" s="51"/>
      <c r="G395" s="51"/>
      <c r="H395" s="53" t="str">
        <f t="shared" si="13"/>
        <v/>
      </c>
    </row>
    <row r="396" spans="1:8" ht="15" customHeight="1">
      <c r="A396" s="37"/>
      <c r="B396" s="37"/>
      <c r="C396" s="49"/>
      <c r="D396" s="37"/>
      <c r="E396" s="51"/>
      <c r="F396" s="51"/>
      <c r="G396" s="51"/>
      <c r="H396" s="53" t="str">
        <f t="shared" si="13"/>
        <v/>
      </c>
    </row>
    <row r="397" spans="1:8" ht="15" customHeight="1">
      <c r="A397" s="37"/>
      <c r="B397" s="37"/>
      <c r="C397" s="49"/>
      <c r="D397" s="37"/>
      <c r="E397" s="51"/>
      <c r="F397" s="51"/>
      <c r="G397" s="51"/>
      <c r="H397" s="53" t="str">
        <f t="shared" si="13"/>
        <v/>
      </c>
    </row>
    <row r="398" spans="1:8" ht="15" customHeight="1">
      <c r="A398" s="37"/>
      <c r="B398" s="37"/>
      <c r="C398" s="49"/>
      <c r="D398" s="37"/>
      <c r="E398" s="51"/>
      <c r="F398" s="51"/>
      <c r="G398" s="51"/>
      <c r="H398" s="53" t="str">
        <f t="shared" si="13"/>
        <v/>
      </c>
    </row>
    <row r="399" spans="1:8" ht="15" customHeight="1">
      <c r="A399" s="37"/>
      <c r="B399" s="37"/>
      <c r="C399" s="49"/>
      <c r="D399" s="37"/>
      <c r="E399" s="51"/>
      <c r="F399" s="51"/>
      <c r="G399" s="51"/>
      <c r="H399" s="53" t="str">
        <f t="shared" si="13"/>
        <v/>
      </c>
    </row>
    <row r="400" spans="1:8" ht="15" customHeight="1">
      <c r="A400" s="37"/>
      <c r="B400" s="37"/>
      <c r="C400" s="49"/>
      <c r="D400" s="37"/>
      <c r="E400" s="51"/>
      <c r="F400" s="51"/>
      <c r="G400" s="51"/>
      <c r="H400" s="53" t="str">
        <f t="shared" si="13"/>
        <v/>
      </c>
    </row>
    <row r="401" spans="1:8" ht="15" customHeight="1">
      <c r="A401" s="37"/>
      <c r="B401" s="37"/>
      <c r="C401" s="49"/>
      <c r="D401" s="37"/>
      <c r="E401" s="51"/>
      <c r="F401" s="51"/>
      <c r="G401" s="51"/>
      <c r="H401" s="53" t="str">
        <f t="shared" si="13"/>
        <v/>
      </c>
    </row>
    <row r="404" spans="1:8" ht="19.5" customHeight="1">
      <c r="A404" s="289" t="s">
        <v>1758</v>
      </c>
      <c r="B404" s="262"/>
      <c r="C404" s="262"/>
      <c r="D404" s="262"/>
      <c r="E404" s="262"/>
      <c r="F404" s="262"/>
    </row>
    <row r="405" spans="1:8" ht="25.5" customHeight="1">
      <c r="A405" s="32" t="s">
        <v>1648</v>
      </c>
      <c r="B405" s="32" t="s">
        <v>1603</v>
      </c>
      <c r="C405" s="32" t="s">
        <v>1427</v>
      </c>
      <c r="D405" s="32" t="s">
        <v>1428</v>
      </c>
      <c r="E405" s="32" t="s">
        <v>175</v>
      </c>
      <c r="F405" s="32" t="s">
        <v>1759</v>
      </c>
    </row>
    <row r="406" spans="1:8" ht="15" customHeight="1">
      <c r="A406" s="37"/>
      <c r="B406" s="37"/>
      <c r="C406" s="37"/>
      <c r="D406" s="50"/>
      <c r="E406" s="37"/>
      <c r="F406" s="37"/>
    </row>
    <row r="407" spans="1:8" ht="15" customHeight="1">
      <c r="A407" s="37"/>
      <c r="B407" s="37"/>
      <c r="C407" s="37"/>
      <c r="D407" s="50"/>
      <c r="E407" s="37"/>
      <c r="F407" s="37"/>
    </row>
    <row r="408" spans="1:8" ht="15" customHeight="1">
      <c r="A408" s="37"/>
      <c r="B408" s="37"/>
      <c r="C408" s="37"/>
      <c r="D408" s="50"/>
      <c r="E408" s="37"/>
      <c r="F408" s="37"/>
    </row>
    <row r="409" spans="1:8" ht="15" customHeight="1">
      <c r="A409" s="37"/>
      <c r="B409" s="37"/>
      <c r="C409" s="37"/>
      <c r="D409" s="50"/>
      <c r="E409" s="37"/>
      <c r="F409" s="37"/>
    </row>
    <row r="410" spans="1:8" ht="15" customHeight="1">
      <c r="A410" s="37"/>
      <c r="B410" s="37"/>
      <c r="C410" s="37"/>
      <c r="D410" s="50"/>
      <c r="E410" s="37"/>
      <c r="F410" s="37"/>
    </row>
    <row r="411" spans="1:8" ht="15" customHeight="1">
      <c r="A411" s="37"/>
      <c r="B411" s="37"/>
      <c r="C411" s="37"/>
      <c r="D411" s="50"/>
      <c r="E411" s="37"/>
      <c r="F411" s="37"/>
    </row>
    <row r="412" spans="1:8" ht="15" customHeight="1">
      <c r="A412" s="37"/>
      <c r="B412" s="37"/>
      <c r="C412" s="37"/>
      <c r="D412" s="50"/>
      <c r="E412" s="37"/>
      <c r="F412" s="37"/>
    </row>
    <row r="413" spans="1:8" ht="15" customHeight="1">
      <c r="A413" s="37"/>
      <c r="B413" s="37"/>
      <c r="C413" s="37"/>
      <c r="D413" s="50"/>
      <c r="E413" s="37"/>
      <c r="F413" s="37"/>
    </row>
    <row r="414" spans="1:8" ht="15" customHeight="1">
      <c r="A414" s="37"/>
      <c r="B414" s="37"/>
      <c r="C414" s="37"/>
      <c r="D414" s="50"/>
      <c r="E414" s="37"/>
      <c r="F414" s="37"/>
    </row>
    <row r="415" spans="1:8" ht="15" customHeight="1">
      <c r="A415" s="37"/>
      <c r="B415" s="37"/>
      <c r="C415" s="37"/>
      <c r="D415" s="50"/>
      <c r="E415" s="37"/>
      <c r="F415" s="37"/>
    </row>
    <row r="416" spans="1:8" ht="15" customHeight="1">
      <c r="A416" s="37"/>
      <c r="B416" s="37"/>
      <c r="C416" s="37"/>
      <c r="D416" s="50"/>
      <c r="E416" s="37"/>
      <c r="F416" s="37"/>
    </row>
    <row r="417" spans="1:6" ht="15" customHeight="1">
      <c r="A417" s="37"/>
      <c r="B417" s="37"/>
      <c r="C417" s="37"/>
      <c r="D417" s="50"/>
      <c r="E417" s="37"/>
      <c r="F417" s="37"/>
    </row>
    <row r="418" spans="1:6" ht="15" customHeight="1">
      <c r="A418" s="37"/>
      <c r="B418" s="37"/>
      <c r="C418" s="37"/>
      <c r="D418" s="50"/>
      <c r="E418" s="37"/>
      <c r="F418" s="37"/>
    </row>
    <row r="419" spans="1:6" ht="15" customHeight="1">
      <c r="A419" s="37"/>
      <c r="B419" s="37"/>
      <c r="C419" s="37"/>
      <c r="D419" s="50"/>
      <c r="E419" s="37"/>
      <c r="F419" s="37"/>
    </row>
    <row r="420" spans="1:6" ht="15" customHeight="1">
      <c r="A420" s="37"/>
      <c r="B420" s="37"/>
      <c r="C420" s="37"/>
      <c r="D420" s="50"/>
      <c r="E420" s="37"/>
      <c r="F420" s="37"/>
    </row>
    <row r="421" spans="1:6" ht="15" customHeight="1">
      <c r="A421" s="37"/>
      <c r="B421" s="37"/>
      <c r="C421" s="37"/>
      <c r="D421" s="50"/>
      <c r="E421" s="37"/>
      <c r="F421" s="37"/>
    </row>
    <row r="422" spans="1:6" ht="15" customHeight="1">
      <c r="A422" s="37"/>
      <c r="B422" s="37"/>
      <c r="C422" s="37"/>
      <c r="D422" s="50"/>
      <c r="E422" s="37"/>
      <c r="F422" s="37"/>
    </row>
    <row r="423" spans="1:6" ht="15" customHeight="1">
      <c r="A423" s="37"/>
      <c r="B423" s="37"/>
      <c r="C423" s="37"/>
      <c r="D423" s="50"/>
      <c r="E423" s="37"/>
      <c r="F423" s="37"/>
    </row>
    <row r="424" spans="1:6" ht="15" customHeight="1">
      <c r="A424" s="37"/>
      <c r="B424" s="37"/>
      <c r="C424" s="37"/>
      <c r="D424" s="50"/>
      <c r="E424" s="37"/>
      <c r="F424" s="37"/>
    </row>
    <row r="425" spans="1:6" ht="15" customHeight="1">
      <c r="A425" s="37"/>
      <c r="B425" s="37"/>
      <c r="C425" s="37"/>
      <c r="D425" s="50"/>
      <c r="E425" s="37"/>
      <c r="F425" s="37"/>
    </row>
    <row r="426" spans="1:6" ht="15" customHeight="1">
      <c r="A426" s="37"/>
      <c r="B426" s="37"/>
      <c r="C426" s="37"/>
      <c r="D426" s="50"/>
      <c r="E426" s="37"/>
      <c r="F426" s="37"/>
    </row>
    <row r="427" spans="1:6" ht="15" customHeight="1">
      <c r="A427" s="37"/>
      <c r="B427" s="37"/>
      <c r="C427" s="37"/>
      <c r="D427" s="50"/>
      <c r="E427" s="37"/>
      <c r="F427" s="37"/>
    </row>
    <row r="428" spans="1:6" ht="15" customHeight="1">
      <c r="A428" s="37"/>
      <c r="B428" s="37"/>
      <c r="C428" s="37"/>
      <c r="D428" s="50"/>
      <c r="E428" s="37"/>
      <c r="F428" s="37"/>
    </row>
    <row r="429" spans="1:6" ht="15" customHeight="1">
      <c r="A429" s="37"/>
      <c r="B429" s="37"/>
      <c r="C429" s="37"/>
      <c r="D429" s="50"/>
      <c r="E429" s="37"/>
      <c r="F429" s="37"/>
    </row>
    <row r="430" spans="1:6" ht="15" customHeight="1">
      <c r="A430" s="37"/>
      <c r="B430" s="37"/>
      <c r="C430" s="37"/>
      <c r="D430" s="50"/>
      <c r="E430" s="37"/>
      <c r="F430" s="37"/>
    </row>
    <row r="431" spans="1:6" ht="15" customHeight="1">
      <c r="A431" s="37"/>
      <c r="B431" s="37"/>
      <c r="C431" s="37"/>
      <c r="D431" s="50"/>
      <c r="E431" s="37"/>
      <c r="F431" s="37"/>
    </row>
    <row r="432" spans="1:6" ht="15" customHeight="1">
      <c r="A432" s="37"/>
      <c r="B432" s="37"/>
      <c r="C432" s="37"/>
      <c r="D432" s="50"/>
      <c r="E432" s="37"/>
      <c r="F432" s="37"/>
    </row>
    <row r="433" spans="1:6" ht="15" customHeight="1">
      <c r="A433" s="37"/>
      <c r="B433" s="37"/>
      <c r="C433" s="37"/>
      <c r="D433" s="50"/>
      <c r="E433" s="37"/>
      <c r="F433" s="37"/>
    </row>
    <row r="434" spans="1:6" ht="15" customHeight="1">
      <c r="A434" s="37"/>
      <c r="B434" s="37"/>
      <c r="C434" s="37"/>
      <c r="D434" s="50"/>
      <c r="E434" s="37"/>
      <c r="F434" s="37"/>
    </row>
    <row r="435" spans="1:6" ht="15" customHeight="1">
      <c r="A435" s="37"/>
      <c r="B435" s="37"/>
      <c r="C435" s="37"/>
      <c r="D435" s="50"/>
      <c r="E435" s="37"/>
      <c r="F435" s="37"/>
    </row>
  </sheetData>
  <mergeCells count="16">
    <mergeCell ref="A404:F404"/>
    <mergeCell ref="A166:G166"/>
    <mergeCell ref="A132:H132"/>
    <mergeCell ref="A54:BI54"/>
    <mergeCell ref="A98:G98"/>
    <mergeCell ref="A268:G268"/>
    <mergeCell ref="A370:H370"/>
    <mergeCell ref="A302:G302"/>
    <mergeCell ref="A336:I336"/>
    <mergeCell ref="A1:P1"/>
    <mergeCell ref="A2:R2"/>
    <mergeCell ref="A10:R10"/>
    <mergeCell ref="A200:F200"/>
    <mergeCell ref="A234:L234"/>
    <mergeCell ref="A6:R6"/>
    <mergeCell ref="A4:R4"/>
  </mergeCells>
  <conditionalFormatting sqref="BD56:BD95">
    <cfRule type="cellIs" dxfId="72" priority="2" operator="lessThan">
      <formula>0.34</formula>
    </cfRule>
    <cfRule type="cellIs" dxfId="71" priority="3" operator="between">
      <formula>0.34</formula>
      <formula>0.69</formula>
    </cfRule>
    <cfRule type="cellIs" dxfId="70" priority="4" operator="greaterThanOrEqual">
      <formula>0.7</formula>
    </cfRule>
  </conditionalFormatting>
  <conditionalFormatting sqref="BE56:BE95">
    <cfRule type="expression" dxfId="69" priority="5">
      <formula>BE56="OUI"</formula>
    </cfRule>
  </conditionalFormatting>
  <conditionalFormatting sqref="BG56:BG95">
    <cfRule type="expression" dxfId="68" priority="6">
      <formula>BG56="OUI"</formula>
    </cfRule>
  </conditionalFormatting>
  <conditionalFormatting sqref="BH56:BH95">
    <cfRule type="expression" dxfId="67" priority="7">
      <formula>BH56="OUI"</formula>
    </cfRule>
  </conditionalFormatting>
  <dataValidations count="20">
    <dataValidation type="list" allowBlank="1" showErrorMessage="1" sqref="J56:J95">
      <formula1>Liste_Domaines</formula1>
      <formula2>0</formula2>
    </dataValidation>
    <dataValidation type="list" allowBlank="1" showErrorMessage="1" sqref="K56:K95">
      <formula1>Liste_TypesProjets</formula1>
      <formula2>0</formula2>
    </dataValidation>
    <dataValidation type="list" allowBlank="1" showErrorMessage="1" sqref="O56:O95 D168:D197">
      <formula1>Liste_Fonctions</formula1>
      <formula2>0</formula2>
    </dataValidation>
    <dataValidation type="list" allowBlank="1" showErrorMessage="1" sqref="R56:R95 B270:B299">
      <formula1>Liste_ZonesGeo</formula1>
      <formula2>0</formula2>
    </dataValidation>
    <dataValidation type="list" allowBlank="1" showErrorMessage="1" sqref="AD56:AD95">
      <formula1>Liste_StatutsProjets</formula1>
      <formula2>0</formula2>
    </dataValidation>
    <dataValidation type="list" allowBlank="1" showErrorMessage="1" sqref="AE56:AE95">
      <formula1>Liste_NiveauxPriorite</formula1>
      <formula2>0</formula2>
    </dataValidation>
    <dataValidation type="list" allowBlank="1" showErrorMessage="1" sqref="G100:G129 F304:F333 L236:L265 F202:F231">
      <formula1>Liste_StatutsGeneraux</formula1>
      <formula2>0</formula2>
    </dataValidation>
    <dataValidation type="list" allowBlank="1" showErrorMessage="1" sqref="G168:G197">
      <formula1>"Actif,Inactif"</formula1>
      <formula2>0</formula2>
    </dataValidation>
    <dataValidation type="list" allowBlank="1" showErrorMessage="1" sqref="D202:D231">
      <formula1>Liste_TypesPartenaires</formula1>
      <formula2>0</formula2>
    </dataValidation>
    <dataValidation type="list" allowBlank="1" showErrorMessage="1" sqref="D236:D265">
      <formula1>Liste_TypesDonateurs</formula1>
      <formula2>0</formula2>
    </dataValidation>
    <dataValidation type="list" allowBlank="1" showErrorMessage="1" sqref="E236:E265">
      <formula1>Liste_SourcesFinancement</formula1>
      <formula2>0</formula2>
    </dataValidation>
    <dataValidation type="list" allowBlank="1" showErrorMessage="1" sqref="F236:F265">
      <formula1>Liste_TypesFinancement</formula1>
      <formula2>0</formula2>
    </dataValidation>
    <dataValidation type="list" allowBlank="1" showErrorMessage="1" sqref="D338:D367">
      <formula1>Liste_NiveauxRisque</formula1>
      <formula2>0</formula2>
    </dataValidation>
    <dataValidation type="list" allowBlank="1" showErrorMessage="1" sqref="E338:E367">
      <formula1>"Faible,Moyenne,Elevee"</formula1>
      <formula2>0</formula2>
    </dataValidation>
    <dataValidation type="list" allowBlank="1" showErrorMessage="1" sqref="F338:F367">
      <formula1>"Faible,Moyen,Eleve"</formula1>
      <formula2>0</formula2>
    </dataValidation>
    <dataValidation type="list" allowBlank="1" showErrorMessage="1" sqref="I338:I367">
      <formula1>Liste_StatutsRisques</formula1>
      <formula2>0</formula2>
    </dataValidation>
    <dataValidation type="list" allowBlank="1" showErrorMessage="1" sqref="D372:D401">
      <formula1>Liste_UnitesMesure</formula1>
      <formula2>0</formula2>
    </dataValidation>
    <dataValidation type="list" allowBlank="1" showErrorMessage="1" sqref="B406:B435">
      <formula1>Liste_TypesDocuments</formula1>
      <formula2>0</formula2>
    </dataValidation>
    <dataValidation type="list" allowBlank="1" showErrorMessage="1" sqref="E406:E435">
      <formula1>Liste_StatutsDocuments</formula1>
      <formula2>0</formula2>
    </dataValidation>
    <dataValidation type="list" errorTitle="Année invalide" error="Choisissez une année entre 2024 et 2033 ou Total." promptTitle="Filtre par année" prompt="Sélectionnez l’année à afficher dans la synthèse." sqref="L7">
      <formula1>"2024,2025,2026,2027,2028,2029,2030,2031,2032,2033,Total"</formula1>
      <formula2>0</formula2>
    </dataValidation>
  </dataValidations>
  <hyperlinks>
    <hyperlink ref="Q1" location="ONG!A1" display="-&gt; ONG"/>
    <hyperlink ref="R1" location="BENEFICIAIRES!A1" display="-&gt; BENEFICIAIRES"/>
  </hyperlinks>
  <pageMargins left="0.75" right="0.75" top="1" bottom="1" header="0.511811023622047" footer="0.511811023622047"/>
  <pageSetup paperSize="9" orientation="portrait" horizontalDpi="300" verticalDpi="300"/>
  <tableParts count="11">
    <tablePart r:id="rId1"/>
    <tablePart r:id="rId2"/>
    <tablePart r:id="rId3"/>
    <tablePart r:id="rId4"/>
    <tablePart r:id="rId5"/>
    <tablePart r:id="rId6"/>
    <tablePart r:id="rId7"/>
    <tablePart r:id="rId8"/>
    <tablePart r:id="rId9"/>
    <tablePart r:id="rId10"/>
    <tablePart r:id="rId1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N332"/>
  <sheetViews>
    <sheetView showGridLines="0" zoomScale="90" zoomScaleNormal="90" workbookViewId="0">
      <selection activeCell="G57" sqref="G57"/>
    </sheetView>
  </sheetViews>
  <sheetFormatPr baseColWidth="10" defaultColWidth="8.7109375" defaultRowHeight="15" customHeight="1"/>
  <cols>
    <col min="1" max="1" width="30" customWidth="1"/>
    <col min="2" max="2" width="22" customWidth="1"/>
    <col min="3" max="3" width="18" customWidth="1"/>
    <col min="4" max="4" width="12" customWidth="1"/>
    <col min="5" max="5" width="16" customWidth="1"/>
    <col min="6" max="6" width="30" customWidth="1"/>
    <col min="7" max="7" width="24" customWidth="1"/>
    <col min="8" max="8" width="16" customWidth="1"/>
    <col min="9" max="9" width="14" customWidth="1"/>
    <col min="10" max="14" width="16" customWidth="1"/>
    <col min="15" max="19" width="11" customWidth="1"/>
    <col min="20" max="22" width="16" customWidth="1"/>
    <col min="23" max="25" width="11" customWidth="1"/>
    <col min="26" max="26" width="16" customWidth="1"/>
    <col min="27" max="28" width="11" customWidth="1"/>
    <col min="29" max="51" width="16" customWidth="1"/>
    <col min="52" max="53" width="11" customWidth="1"/>
    <col min="54" max="58" width="16" customWidth="1"/>
    <col min="59" max="59" width="11" customWidth="1"/>
    <col min="60" max="64" width="16" customWidth="1"/>
    <col min="65" max="65" width="26" customWidth="1"/>
    <col min="66" max="70" width="16" customWidth="1"/>
    <col min="71" max="73" width="26" customWidth="1"/>
    <col min="74" max="75" width="16" customWidth="1"/>
    <col min="76" max="79" width="11" customWidth="1"/>
    <col min="80" max="81" width="26" customWidth="1"/>
    <col min="82" max="83" width="11" customWidth="1"/>
    <col min="84" max="85" width="16" customWidth="1"/>
    <col min="86" max="86" width="11" customWidth="1"/>
    <col min="87" max="88" width="26" customWidth="1"/>
    <col min="89" max="91" width="11" customWidth="1"/>
    <col min="92" max="92" width="26" customWidth="1"/>
  </cols>
  <sheetData>
    <row r="1" spans="1:19" ht="25.5" customHeight="1">
      <c r="A1" s="292" t="s">
        <v>1760</v>
      </c>
      <c r="B1" s="262"/>
      <c r="C1" s="262"/>
      <c r="D1" s="262"/>
      <c r="E1" s="262"/>
      <c r="F1" s="262"/>
      <c r="G1" s="262"/>
      <c r="H1" s="262"/>
      <c r="I1" s="262"/>
      <c r="J1" s="262"/>
      <c r="K1" s="262"/>
      <c r="L1" s="262"/>
      <c r="M1" s="262"/>
      <c r="N1" s="262"/>
      <c r="O1" s="262"/>
      <c r="P1" s="262"/>
      <c r="Q1" s="55" t="s">
        <v>1761</v>
      </c>
      <c r="R1" s="55" t="s">
        <v>1634</v>
      </c>
      <c r="S1" s="55" t="s">
        <v>1526</v>
      </c>
    </row>
    <row r="2" spans="1:19" ht="25.5" customHeight="1">
      <c r="A2" s="294" t="s">
        <v>1762</v>
      </c>
      <c r="B2" s="262"/>
      <c r="C2" s="262"/>
      <c r="D2" s="262"/>
      <c r="E2" s="262"/>
      <c r="F2" s="262"/>
      <c r="G2" s="262"/>
      <c r="H2" s="262"/>
      <c r="I2" s="262"/>
      <c r="J2" s="262"/>
      <c r="K2" s="262"/>
      <c r="L2" s="262"/>
      <c r="M2" s="262"/>
      <c r="N2" s="262"/>
      <c r="O2" s="262"/>
      <c r="P2" s="262"/>
      <c r="Q2" s="262"/>
      <c r="R2" s="262"/>
    </row>
    <row r="4" spans="1:19" ht="15" customHeight="1">
      <c r="A4" s="297" t="s">
        <v>1527</v>
      </c>
      <c r="B4" s="262"/>
      <c r="C4" s="262"/>
      <c r="D4" s="262"/>
      <c r="E4" s="262"/>
      <c r="F4" s="262"/>
      <c r="G4" s="262"/>
      <c r="H4" s="262"/>
      <c r="I4" s="262"/>
      <c r="J4" s="262"/>
      <c r="K4" s="262"/>
      <c r="L4" s="262"/>
      <c r="M4" s="262"/>
      <c r="N4" s="262"/>
      <c r="O4" s="262"/>
      <c r="P4" s="262"/>
      <c r="Q4" s="262"/>
      <c r="R4" s="262"/>
    </row>
    <row r="6" spans="1:19" ht="15.75" customHeight="1">
      <c r="A6" s="296" t="s">
        <v>1763</v>
      </c>
      <c r="B6" s="262"/>
      <c r="C6" s="262"/>
      <c r="D6" s="262"/>
      <c r="E6" s="262"/>
      <c r="F6" s="262"/>
      <c r="G6" s="262"/>
      <c r="H6" s="262"/>
      <c r="I6" s="262"/>
      <c r="J6" s="262"/>
      <c r="K6" s="262"/>
      <c r="L6" s="262"/>
      <c r="M6" s="262"/>
      <c r="N6" s="262"/>
      <c r="O6" s="262"/>
      <c r="P6" s="262"/>
      <c r="Q6" s="262"/>
      <c r="R6" s="262"/>
    </row>
    <row r="7" spans="1:19" ht="24" customHeight="1">
      <c r="A7" s="56" t="s">
        <v>1764</v>
      </c>
      <c r="B7" s="56" t="s">
        <v>1765</v>
      </c>
      <c r="C7" s="56" t="s">
        <v>13</v>
      </c>
      <c r="D7" s="56" t="s">
        <v>1766</v>
      </c>
      <c r="E7" s="56" t="s">
        <v>1767</v>
      </c>
      <c r="F7" s="56" t="s">
        <v>1768</v>
      </c>
      <c r="G7" s="56" t="s">
        <v>1769</v>
      </c>
      <c r="H7" s="56" t="s">
        <v>1770</v>
      </c>
      <c r="I7" s="57" t="s">
        <v>1282</v>
      </c>
      <c r="J7" s="56" t="s">
        <v>1282</v>
      </c>
    </row>
    <row r="8" spans="1:19" ht="15" customHeight="1">
      <c r="A8" s="34">
        <f>COUNTIF(A56:A105,"ACT*")</f>
        <v>1</v>
      </c>
      <c r="B8" s="34">
        <f>IF($I$7="Total",COUNTIFS(A56:A105,"ACT*",Z56:Z105,"Planifiee"),COUNTIFS(A56:A105,"ACT*",Z56:Z105,"Planifiee",S56:S105,$I$7))</f>
        <v>0</v>
      </c>
      <c r="C8" s="34">
        <f>IF($I$7="Total",COUNTIFS(A56:A105,"ACT*",Z56:Z105,"En cours"),COUNTIFS(A56:A105,"ACT*",Z56:Z105,"En cours",S56:S105,$I$7))</f>
        <v>1</v>
      </c>
      <c r="D8" s="34">
        <f>IF($I$7="Total",COUNTIFS(A56:A105,"ACT*",Z56:Z105,"Realisee"),COUNTIFS(A56:A105,"ACT*",Z56:Z105,"Realisee",S56:S105,$I$7))</f>
        <v>0</v>
      </c>
      <c r="E8" s="34">
        <f>IF($I$7="Total",COUNTIFS(A56:A105,"ACT*",Z56:Z105,"Reportee"),COUNTIFS(A56:A105,"ACT*",Z56:Z105,"Reportee",S56:S105,$I$7))</f>
        <v>0</v>
      </c>
      <c r="F8" s="34">
        <f>IF($I$7="Total",COUNTIFS(A56:A105,"ACT*",Z56:Z105,"Annulee"),COUNTIFS(A56:A105,"ACT*",Z56:Z105,"Annulee",S56:S105,$I$7))</f>
        <v>0</v>
      </c>
      <c r="G8" s="53">
        <f>IFERROR(D8/A8,0)</f>
        <v>0</v>
      </c>
      <c r="H8" s="34">
        <f>SUMPRODUCT((C56:C105&lt;&gt;"")/COUNTIF(C56:C105,C56:C105&amp;""))</f>
        <v>1</v>
      </c>
    </row>
    <row r="10" spans="1:19" ht="15.75" customHeight="1">
      <c r="A10" s="296" t="s">
        <v>1644</v>
      </c>
      <c r="B10" s="262"/>
      <c r="C10" s="262"/>
      <c r="D10" s="262"/>
      <c r="E10" s="262"/>
      <c r="F10" s="262"/>
      <c r="G10" s="262"/>
      <c r="H10" s="262"/>
      <c r="I10" s="262"/>
      <c r="J10" s="262"/>
      <c r="K10" s="262"/>
      <c r="L10" s="262"/>
      <c r="M10" s="262"/>
      <c r="N10" s="262"/>
      <c r="O10" s="262"/>
      <c r="P10" s="262"/>
      <c r="Q10" s="262"/>
      <c r="R10" s="262"/>
    </row>
    <row r="11" spans="1:19" ht="24" customHeight="1">
      <c r="A11" s="56" t="s">
        <v>1771</v>
      </c>
      <c r="B11" s="56" t="s">
        <v>1772</v>
      </c>
      <c r="D11" s="56" t="s">
        <v>1623</v>
      </c>
      <c r="E11" s="56" t="s">
        <v>1772</v>
      </c>
      <c r="G11" s="56" t="s">
        <v>1540</v>
      </c>
      <c r="H11" s="56" t="s">
        <v>1772</v>
      </c>
    </row>
    <row r="12" spans="1:19" ht="15" customHeight="1">
      <c r="A12" s="58" t="s">
        <v>237</v>
      </c>
      <c r="B12" s="59">
        <f>COUNTIFS(tbl_Activites[Statut de l''activite],A12)</f>
        <v>0</v>
      </c>
      <c r="D12" s="58" t="s">
        <v>385</v>
      </c>
      <c r="E12" s="59">
        <f>COUNTIFS(tbl_Activites[Type d''activite],D12)</f>
        <v>0</v>
      </c>
      <c r="G12" s="58" t="s">
        <v>11</v>
      </c>
      <c r="H12" s="59">
        <f>COUNTIFS(tbl_Activites[Domaine d''intervention (activite)],G12)</f>
        <v>0</v>
      </c>
    </row>
    <row r="13" spans="1:19" ht="15" customHeight="1">
      <c r="A13" s="58" t="s">
        <v>211</v>
      </c>
      <c r="B13" s="59">
        <f>COUNTIFS(tbl_Activites[Statut de l''activite],A13)</f>
        <v>0</v>
      </c>
      <c r="D13" s="58" t="s">
        <v>387</v>
      </c>
      <c r="E13" s="59">
        <f>COUNTIFS(tbl_Activites[Type d''activite],D13)</f>
        <v>0</v>
      </c>
      <c r="G13" s="58" t="s">
        <v>15</v>
      </c>
      <c r="H13" s="59">
        <f>COUNTIFS(tbl_Activites[Domaine d''intervention (activite)],G13)</f>
        <v>0</v>
      </c>
    </row>
    <row r="14" spans="1:19" ht="15" customHeight="1">
      <c r="A14" s="58" t="s">
        <v>240</v>
      </c>
      <c r="B14" s="59">
        <f>COUNTIFS(tbl_Activites[Statut de l''activite],A14)</f>
        <v>0</v>
      </c>
      <c r="D14" s="58" t="s">
        <v>389</v>
      </c>
      <c r="E14" s="59">
        <f>COUNTIFS(tbl_Activites[Type d''activite],D14)</f>
        <v>0</v>
      </c>
      <c r="G14" s="58" t="s">
        <v>19</v>
      </c>
      <c r="H14" s="59">
        <f>COUNTIFS(tbl_Activites[Domaine d''intervention (activite)],G14)</f>
        <v>0</v>
      </c>
    </row>
    <row r="15" spans="1:19" ht="15" customHeight="1">
      <c r="A15" s="58" t="s">
        <v>13</v>
      </c>
      <c r="B15" s="59">
        <f>COUNTIFS(tbl_Activites[Statut de l''activite],A15)</f>
        <v>1</v>
      </c>
      <c r="D15" s="58" t="s">
        <v>391</v>
      </c>
      <c r="E15" s="59">
        <f>COUNTIFS(tbl_Activites[Type d''activite],D15)</f>
        <v>0</v>
      </c>
      <c r="G15" s="58" t="s">
        <v>24</v>
      </c>
      <c r="H15" s="59">
        <f>COUNTIFS(tbl_Activites[Domaine d''intervention (activite)],G15)</f>
        <v>0</v>
      </c>
    </row>
    <row r="16" spans="1:19" ht="15" customHeight="1">
      <c r="A16" s="58" t="s">
        <v>243</v>
      </c>
      <c r="B16" s="59">
        <f>COUNTIFS(tbl_Activites[Statut de l''activite],A16)</f>
        <v>0</v>
      </c>
      <c r="D16" s="58" t="s">
        <v>393</v>
      </c>
      <c r="E16" s="59">
        <f>COUNTIFS(tbl_Activites[Type d''activite],D16)</f>
        <v>0</v>
      </c>
      <c r="G16" s="58" t="s">
        <v>32</v>
      </c>
      <c r="H16" s="59">
        <f>COUNTIFS(tbl_Activites[Domaine d''intervention (activite)],G16)</f>
        <v>0</v>
      </c>
    </row>
    <row r="17" spans="1:8" ht="15" customHeight="1">
      <c r="A17" s="58" t="s">
        <v>245</v>
      </c>
      <c r="B17" s="59">
        <f>COUNTIFS(tbl_Activites[Statut de l''activite],A17)</f>
        <v>0</v>
      </c>
      <c r="D17" s="58" t="s">
        <v>395</v>
      </c>
      <c r="E17" s="59">
        <f>COUNTIFS(tbl_Activites[Type d''activite],D17)</f>
        <v>0</v>
      </c>
      <c r="G17" s="58" t="s">
        <v>34</v>
      </c>
      <c r="H17" s="59">
        <f>COUNTIFS(tbl_Activites[Domaine d''intervention (activite)],G17)</f>
        <v>0</v>
      </c>
    </row>
    <row r="18" spans="1:8" ht="15" customHeight="1">
      <c r="A18" s="58" t="s">
        <v>247</v>
      </c>
      <c r="B18" s="59">
        <f>COUNTIFS(tbl_Activites[Statut de l''activite],A18)</f>
        <v>0</v>
      </c>
      <c r="D18" s="58" t="s">
        <v>397</v>
      </c>
      <c r="E18" s="59">
        <f>COUNTIFS(tbl_Activites[Type d''activite],D18)</f>
        <v>0</v>
      </c>
      <c r="G18" s="58" t="s">
        <v>36</v>
      </c>
      <c r="H18" s="59">
        <f>COUNTIFS(tbl_Activites[Domaine d''intervention (activite)],G18)</f>
        <v>0</v>
      </c>
    </row>
    <row r="19" spans="1:8" ht="15" customHeight="1">
      <c r="A19" s="58" t="s">
        <v>249</v>
      </c>
      <c r="B19" s="59">
        <f>COUNTIFS(tbl_Activites[Statut de l''activite],A19)</f>
        <v>0</v>
      </c>
      <c r="D19" s="58" t="s">
        <v>399</v>
      </c>
      <c r="E19" s="59">
        <f>COUNTIFS(tbl_Activites[Type d''activite],D19)</f>
        <v>0</v>
      </c>
      <c r="G19" s="58" t="s">
        <v>38</v>
      </c>
      <c r="H19" s="59">
        <f>COUNTIFS(tbl_Activites[Domaine d''intervention (activite)],G19)</f>
        <v>0</v>
      </c>
    </row>
    <row r="20" spans="1:8" ht="15" customHeight="1">
      <c r="A20" s="58" t="s">
        <v>251</v>
      </c>
      <c r="B20" s="59">
        <f>COUNTIFS(tbl_Activites[Statut de l''activite],A20)</f>
        <v>0</v>
      </c>
      <c r="D20" s="58" t="s">
        <v>401</v>
      </c>
      <c r="E20" s="59">
        <f>COUNTIFS(tbl_Activites[Type d''activite],D20)</f>
        <v>0</v>
      </c>
      <c r="G20" s="58" t="s">
        <v>46</v>
      </c>
      <c r="H20" s="59">
        <f>COUNTIFS(tbl_Activites[Domaine d''intervention (activite)],G20)</f>
        <v>0</v>
      </c>
    </row>
    <row r="21" spans="1:8" ht="15" customHeight="1">
      <c r="D21" s="58" t="s">
        <v>403</v>
      </c>
      <c r="E21" s="59">
        <f>COUNTIFS(tbl_Activites[Type d''activite],D21)</f>
        <v>0</v>
      </c>
      <c r="G21" s="58" t="s">
        <v>48</v>
      </c>
      <c r="H21" s="59">
        <f>COUNTIFS(tbl_Activites[Domaine d''intervention (activite)],G21)</f>
        <v>0</v>
      </c>
    </row>
    <row r="22" spans="1:8" ht="15" customHeight="1">
      <c r="D22" s="58" t="s">
        <v>405</v>
      </c>
      <c r="E22" s="59">
        <f>COUNTIFS(tbl_Activites[Type d''activite],D22)</f>
        <v>0</v>
      </c>
      <c r="G22" s="58" t="s">
        <v>50</v>
      </c>
      <c r="H22" s="59">
        <f>COUNTIFS(tbl_Activites[Domaine d''intervention (activite)],G22)</f>
        <v>0</v>
      </c>
    </row>
    <row r="23" spans="1:8" ht="15" customHeight="1">
      <c r="D23" s="58" t="s">
        <v>407</v>
      </c>
      <c r="E23" s="59">
        <f>COUNTIFS(tbl_Activites[Type d''activite],D23)</f>
        <v>0</v>
      </c>
      <c r="G23" s="58" t="s">
        <v>52</v>
      </c>
      <c r="H23" s="59">
        <f>COUNTIFS(tbl_Activites[Domaine d''intervention (activite)],G23)</f>
        <v>0</v>
      </c>
    </row>
    <row r="24" spans="1:8" ht="15" customHeight="1">
      <c r="D24" s="58" t="s">
        <v>409</v>
      </c>
      <c r="E24" s="59">
        <f>COUNTIFS(tbl_Activites[Type d''activite],D24)</f>
        <v>0</v>
      </c>
      <c r="G24" s="58" t="s">
        <v>53</v>
      </c>
      <c r="H24" s="59">
        <f>COUNTIFS(tbl_Activites[Domaine d''intervention (activite)],G24)</f>
        <v>0</v>
      </c>
    </row>
    <row r="25" spans="1:8" ht="15" customHeight="1">
      <c r="D25" s="58" t="s">
        <v>411</v>
      </c>
      <c r="E25" s="59">
        <f>COUNTIFS(tbl_Activites[Type d''activite],D25)</f>
        <v>0</v>
      </c>
      <c r="G25" s="58" t="s">
        <v>60</v>
      </c>
      <c r="H25" s="59">
        <f>COUNTIFS(tbl_Activites[Domaine d''intervention (activite)],G25)</f>
        <v>0</v>
      </c>
    </row>
    <row r="26" spans="1:8" ht="15" customHeight="1">
      <c r="D26" s="58" t="s">
        <v>413</v>
      </c>
      <c r="E26" s="59">
        <f>COUNTIFS(tbl_Activites[Type d''activite],D26)</f>
        <v>0</v>
      </c>
      <c r="G26" s="58" t="s">
        <v>61</v>
      </c>
      <c r="H26" s="59">
        <f>COUNTIFS(tbl_Activites[Domaine d''intervention (activite)],G26)</f>
        <v>0</v>
      </c>
    </row>
    <row r="27" spans="1:8" ht="15" customHeight="1">
      <c r="D27" s="58" t="s">
        <v>415</v>
      </c>
      <c r="E27" s="59">
        <f>COUNTIFS(tbl_Activites[Type d''activite],D27)</f>
        <v>0</v>
      </c>
      <c r="G27" s="58" t="s">
        <v>62</v>
      </c>
      <c r="H27" s="59">
        <f>COUNTIFS(tbl_Activites[Domaine d''intervention (activite)],G27)</f>
        <v>0</v>
      </c>
    </row>
    <row r="28" spans="1:8" ht="15" customHeight="1">
      <c r="D28" s="58" t="s">
        <v>417</v>
      </c>
      <c r="E28" s="59">
        <f>COUNTIFS(tbl_Activites[Type d''activite],D28)</f>
        <v>0</v>
      </c>
      <c r="G28" s="58" t="s">
        <v>63</v>
      </c>
      <c r="H28" s="59">
        <f>COUNTIFS(tbl_Activites[Domaine d''intervention (activite)],G28)</f>
        <v>0</v>
      </c>
    </row>
    <row r="29" spans="1:8" ht="15" customHeight="1">
      <c r="D29" s="58" t="s">
        <v>419</v>
      </c>
      <c r="E29" s="59">
        <f>COUNTIFS(tbl_Activites[Type d''activite],D29)</f>
        <v>0</v>
      </c>
      <c r="G29" s="58" t="s">
        <v>64</v>
      </c>
      <c r="H29" s="59">
        <f>COUNTIFS(tbl_Activites[Domaine d''intervention (activite)],G29)</f>
        <v>0</v>
      </c>
    </row>
    <row r="30" spans="1:8" ht="15" customHeight="1">
      <c r="D30" s="58" t="s">
        <v>421</v>
      </c>
      <c r="E30" s="59">
        <f>COUNTIFS(tbl_Activites[Type d''activite],D30)</f>
        <v>0</v>
      </c>
      <c r="G30" s="58" t="s">
        <v>67</v>
      </c>
      <c r="H30" s="59">
        <f>COUNTIFS(tbl_Activites[Domaine d''intervention (activite)],G30)</f>
        <v>0</v>
      </c>
    </row>
    <row r="31" spans="1:8" ht="15" customHeight="1">
      <c r="D31" s="58" t="s">
        <v>423</v>
      </c>
      <c r="E31" s="59">
        <f>COUNTIFS(tbl_Activites[Type d''activite],D31)</f>
        <v>0</v>
      </c>
      <c r="G31" s="58" t="s">
        <v>68</v>
      </c>
      <c r="H31" s="59">
        <f>COUNTIFS(tbl_Activites[Domaine d''intervention (activite)],G31)</f>
        <v>0</v>
      </c>
    </row>
    <row r="32" spans="1:8" ht="15" customHeight="1">
      <c r="D32" s="58" t="s">
        <v>425</v>
      </c>
      <c r="E32" s="59">
        <f>COUNTIFS(tbl_Activites[Type d''activite],D32)</f>
        <v>0</v>
      </c>
      <c r="G32" s="58" t="s">
        <v>69</v>
      </c>
      <c r="H32" s="59">
        <f>COUNTIFS(tbl_Activites[Domaine d''intervention (activite)],G32)</f>
        <v>0</v>
      </c>
    </row>
    <row r="33" spans="4:8" ht="15" customHeight="1">
      <c r="D33" s="58" t="s">
        <v>427</v>
      </c>
      <c r="E33" s="59">
        <f>COUNTIFS(tbl_Activites[Type d''activite],D33)</f>
        <v>0</v>
      </c>
      <c r="G33" s="58" t="s">
        <v>70</v>
      </c>
      <c r="H33" s="59">
        <f>COUNTIFS(tbl_Activites[Domaine d''intervention (activite)],G33)</f>
        <v>0</v>
      </c>
    </row>
    <row r="34" spans="4:8" ht="15" customHeight="1">
      <c r="D34" s="58" t="s">
        <v>429</v>
      </c>
      <c r="E34" s="59">
        <f>COUNTIFS(tbl_Activites[Type d''activite],D34)</f>
        <v>0</v>
      </c>
      <c r="G34" s="58" t="s">
        <v>71</v>
      </c>
      <c r="H34" s="59">
        <f>COUNTIFS(tbl_Activites[Domaine d''intervention (activite)],G34)</f>
        <v>0</v>
      </c>
    </row>
    <row r="35" spans="4:8" ht="15" customHeight="1">
      <c r="D35" s="58" t="s">
        <v>431</v>
      </c>
      <c r="E35" s="59">
        <f>COUNTIFS(tbl_Activites[Type d''activite],D35)</f>
        <v>0</v>
      </c>
      <c r="G35" s="58" t="s">
        <v>72</v>
      </c>
      <c r="H35" s="59">
        <f>COUNTIFS(tbl_Activites[Domaine d''intervention (activite)],G35)</f>
        <v>0</v>
      </c>
    </row>
    <row r="36" spans="4:8" ht="15" customHeight="1">
      <c r="D36" s="58" t="s">
        <v>433</v>
      </c>
      <c r="E36" s="59">
        <f>COUNTIFS(tbl_Activites[Type d''activite],D36)</f>
        <v>0</v>
      </c>
      <c r="G36" s="58" t="s">
        <v>73</v>
      </c>
      <c r="H36" s="59">
        <f>COUNTIFS(tbl_Activites[Domaine d''intervention (activite)],G36)</f>
        <v>0</v>
      </c>
    </row>
    <row r="37" spans="4:8" ht="15" customHeight="1">
      <c r="D37" s="58" t="s">
        <v>435</v>
      </c>
      <c r="E37" s="59">
        <f>COUNTIFS(tbl_Activites[Type d''activite],D37)</f>
        <v>0</v>
      </c>
      <c r="G37" s="58" t="s">
        <v>74</v>
      </c>
      <c r="H37" s="59">
        <f>COUNTIFS(tbl_Activites[Domaine d''intervention (activite)],G37)</f>
        <v>0</v>
      </c>
    </row>
    <row r="38" spans="4:8" ht="15" customHeight="1">
      <c r="D38" s="58" t="s">
        <v>437</v>
      </c>
      <c r="E38" s="59">
        <f>COUNTIFS(tbl_Activites[Type d''activite],D38)</f>
        <v>0</v>
      </c>
      <c r="G38" s="58" t="s">
        <v>75</v>
      </c>
      <c r="H38" s="59">
        <f>COUNTIFS(tbl_Activites[Domaine d''intervention (activite)],G38)</f>
        <v>0</v>
      </c>
    </row>
    <row r="39" spans="4:8" ht="15" customHeight="1">
      <c r="D39" s="58" t="s">
        <v>439</v>
      </c>
      <c r="E39" s="59">
        <f>COUNTIFS(tbl_Activites[Type d''activite],D39)</f>
        <v>0</v>
      </c>
      <c r="G39" s="58" t="s">
        <v>76</v>
      </c>
      <c r="H39" s="59">
        <f>COUNTIFS(tbl_Activites[Domaine d''intervention (activite)],G39)</f>
        <v>0</v>
      </c>
    </row>
    <row r="40" spans="4:8" ht="15" customHeight="1">
      <c r="D40" s="58" t="s">
        <v>441</v>
      </c>
      <c r="E40" s="59">
        <f>COUNTIFS(tbl_Activites[Type d''activite],D40)</f>
        <v>0</v>
      </c>
      <c r="G40" s="58" t="s">
        <v>77</v>
      </c>
      <c r="H40" s="59">
        <f>COUNTIFS(tbl_Activites[Domaine d''intervention (activite)],G40)</f>
        <v>0</v>
      </c>
    </row>
    <row r="41" spans="4:8" ht="15" customHeight="1">
      <c r="D41" s="58" t="s">
        <v>383</v>
      </c>
      <c r="E41" s="59">
        <f>COUNTIFS(tbl_Activites[Type d''activite],D41)</f>
        <v>0</v>
      </c>
      <c r="G41" s="58" t="s">
        <v>78</v>
      </c>
      <c r="H41" s="59">
        <f>COUNTIFS(tbl_Activites[Domaine d''intervention (activite)],G41)</f>
        <v>0</v>
      </c>
    </row>
    <row r="42" spans="4:8" ht="15" customHeight="1">
      <c r="G42" s="58" t="s">
        <v>79</v>
      </c>
      <c r="H42" s="59">
        <f>COUNTIFS(tbl_Activites[Domaine d''intervention (activite)],G42)</f>
        <v>0</v>
      </c>
    </row>
    <row r="43" spans="4:8" ht="15" customHeight="1">
      <c r="G43" s="58" t="s">
        <v>80</v>
      </c>
      <c r="H43" s="59">
        <f>COUNTIFS(tbl_Activites[Domaine d''intervention (activite)],G43)</f>
        <v>0</v>
      </c>
    </row>
    <row r="44" spans="4:8" ht="15" customHeight="1">
      <c r="G44" s="58" t="s">
        <v>81</v>
      </c>
      <c r="H44" s="59">
        <f>COUNTIFS(tbl_Activites[Domaine d''intervention (activite)],G44)</f>
        <v>0</v>
      </c>
    </row>
    <row r="45" spans="4:8" ht="15" customHeight="1">
      <c r="G45" s="58" t="s">
        <v>83</v>
      </c>
      <c r="H45" s="59">
        <f>COUNTIFS(tbl_Activites[Domaine d''intervention (activite)],G45)</f>
        <v>0</v>
      </c>
    </row>
    <row r="46" spans="4:8" ht="15" customHeight="1">
      <c r="G46" s="58" t="s">
        <v>88</v>
      </c>
      <c r="H46" s="59">
        <f>COUNTIFS(tbl_Activites[Domaine d''intervention (activite)],G46)</f>
        <v>0</v>
      </c>
    </row>
    <row r="47" spans="4:8" ht="15" customHeight="1">
      <c r="G47" s="58" t="s">
        <v>91</v>
      </c>
      <c r="H47" s="59">
        <f>COUNTIFS(tbl_Activites[Domaine d''intervention (activite)],G47)</f>
        <v>0</v>
      </c>
    </row>
    <row r="48" spans="4:8" ht="15" customHeight="1">
      <c r="G48" s="58" t="s">
        <v>94</v>
      </c>
      <c r="H48" s="59">
        <f>COUNTIFS(tbl_Activites[Domaine d''intervention (activite)],G48)</f>
        <v>0</v>
      </c>
    </row>
    <row r="49" spans="1:92" ht="15" customHeight="1">
      <c r="G49" s="58" t="s">
        <v>96</v>
      </c>
      <c r="H49" s="59">
        <f>COUNTIFS(tbl_Activites[Domaine d''intervention (activite)],G49)</f>
        <v>0</v>
      </c>
    </row>
    <row r="50" spans="1:92" ht="15" customHeight="1">
      <c r="G50" s="58" t="s">
        <v>98</v>
      </c>
      <c r="H50" s="59">
        <f>COUNTIFS(tbl_Activites[Domaine d''intervention (activite)],G50)</f>
        <v>0</v>
      </c>
    </row>
    <row r="51" spans="1:92" ht="15" customHeight="1">
      <c r="G51" s="58" t="s">
        <v>100</v>
      </c>
      <c r="H51" s="59">
        <f>COUNTIFS(tbl_Activites[Domaine d''intervention (activite)],G51)</f>
        <v>0</v>
      </c>
    </row>
    <row r="54" spans="1:92" ht="15.75" customHeight="1">
      <c r="A54" s="296" t="s">
        <v>1773</v>
      </c>
      <c r="B54" s="262"/>
      <c r="C54" s="262"/>
      <c r="D54" s="262"/>
      <c r="E54" s="262"/>
      <c r="F54" s="262"/>
      <c r="G54" s="262"/>
      <c r="H54" s="262"/>
      <c r="I54" s="262"/>
      <c r="J54" s="262"/>
      <c r="K54" s="262"/>
      <c r="L54" s="262"/>
      <c r="M54" s="262"/>
      <c r="N54" s="262"/>
      <c r="O54" s="262"/>
      <c r="P54" s="262"/>
      <c r="Q54" s="262"/>
      <c r="R54" s="262"/>
      <c r="S54" s="262"/>
      <c r="T54" s="262"/>
      <c r="U54" s="262"/>
      <c r="V54" s="262"/>
      <c r="W54" s="262"/>
      <c r="X54" s="262"/>
      <c r="Y54" s="262"/>
      <c r="Z54" s="262"/>
      <c r="AA54" s="262"/>
      <c r="AB54" s="262"/>
      <c r="AC54" s="262"/>
      <c r="AD54" s="262"/>
      <c r="AE54" s="262"/>
      <c r="AF54" s="262"/>
      <c r="AG54" s="262"/>
      <c r="AH54" s="262"/>
      <c r="AI54" s="262"/>
      <c r="AJ54" s="262"/>
      <c r="AK54" s="262"/>
      <c r="AL54" s="262"/>
      <c r="AM54" s="262"/>
      <c r="AN54" s="262"/>
      <c r="AO54" s="262"/>
      <c r="AP54" s="262"/>
      <c r="AQ54" s="262"/>
      <c r="AR54" s="262"/>
      <c r="AS54" s="262"/>
      <c r="AT54" s="262"/>
      <c r="AU54" s="262"/>
      <c r="AV54" s="262"/>
      <c r="AW54" s="262"/>
      <c r="AX54" s="262"/>
      <c r="AY54" s="262"/>
      <c r="AZ54" s="262"/>
      <c r="BA54" s="262"/>
      <c r="BB54" s="262"/>
      <c r="BC54" s="262"/>
      <c r="BD54" s="262"/>
      <c r="BE54" s="262"/>
      <c r="BF54" s="262"/>
      <c r="BG54" s="262"/>
      <c r="BH54" s="262"/>
      <c r="BI54" s="262"/>
      <c r="BJ54" s="262"/>
      <c r="BK54" s="262"/>
      <c r="BL54" s="262"/>
      <c r="BM54" s="262"/>
      <c r="BN54" s="262"/>
      <c r="BO54" s="262"/>
      <c r="BP54" s="262"/>
      <c r="BQ54" s="262"/>
      <c r="BR54" s="262"/>
      <c r="BS54" s="262"/>
      <c r="BT54" s="262"/>
      <c r="BU54" s="262"/>
      <c r="BV54" s="262"/>
      <c r="BW54" s="262"/>
      <c r="BX54" s="262"/>
      <c r="BY54" s="262"/>
      <c r="BZ54" s="262"/>
      <c r="CA54" s="262"/>
      <c r="CB54" s="262"/>
      <c r="CC54" s="262"/>
      <c r="CD54" s="262"/>
      <c r="CE54" s="262"/>
      <c r="CF54" s="262"/>
      <c r="CG54" s="262"/>
      <c r="CH54" s="262"/>
      <c r="CI54" s="262"/>
      <c r="CJ54" s="262"/>
      <c r="CK54" s="262"/>
      <c r="CL54" s="262"/>
      <c r="CM54" s="262"/>
      <c r="CN54" s="262"/>
    </row>
    <row r="55" spans="1:92" ht="30" customHeight="1">
      <c r="A55" s="32" t="s">
        <v>1774</v>
      </c>
      <c r="B55" s="32" t="s">
        <v>1649</v>
      </c>
      <c r="C55" s="32" t="s">
        <v>1648</v>
      </c>
      <c r="D55" s="32" t="s">
        <v>1586</v>
      </c>
      <c r="E55" s="32" t="s">
        <v>1775</v>
      </c>
      <c r="F55" s="32" t="s">
        <v>1776</v>
      </c>
      <c r="G55" s="32" t="s">
        <v>1777</v>
      </c>
      <c r="H55" s="32" t="s">
        <v>252</v>
      </c>
      <c r="I55" s="32" t="s">
        <v>1778</v>
      </c>
      <c r="J55" s="32" t="s">
        <v>1623</v>
      </c>
      <c r="K55" s="32" t="s">
        <v>1779</v>
      </c>
      <c r="L55" s="32" t="s">
        <v>1745</v>
      </c>
      <c r="M55" s="32" t="s">
        <v>1780</v>
      </c>
      <c r="N55" s="32" t="s">
        <v>1781</v>
      </c>
      <c r="O55" s="32" t="s">
        <v>1782</v>
      </c>
      <c r="P55" s="32" t="s">
        <v>1479</v>
      </c>
      <c r="Q55" s="32" t="s">
        <v>8</v>
      </c>
      <c r="R55" s="32" t="s">
        <v>188</v>
      </c>
      <c r="S55" s="32" t="s">
        <v>174</v>
      </c>
      <c r="T55" s="32" t="s">
        <v>1746</v>
      </c>
      <c r="U55" s="32" t="s">
        <v>1783</v>
      </c>
      <c r="V55" s="32" t="s">
        <v>1784</v>
      </c>
      <c r="W55" s="32" t="s">
        <v>1785</v>
      </c>
      <c r="X55" s="32" t="s">
        <v>1786</v>
      </c>
      <c r="Y55" s="32" t="s">
        <v>1787</v>
      </c>
      <c r="Z55" s="32" t="s">
        <v>1771</v>
      </c>
      <c r="AA55" s="32" t="s">
        <v>1788</v>
      </c>
      <c r="AB55" s="32" t="s">
        <v>1789</v>
      </c>
      <c r="AC55" s="32" t="s">
        <v>1659</v>
      </c>
      <c r="AD55" s="32" t="s">
        <v>1790</v>
      </c>
      <c r="AE55" s="32" t="s">
        <v>1661</v>
      </c>
      <c r="AF55" s="32" t="s">
        <v>1662</v>
      </c>
      <c r="AG55" s="32" t="s">
        <v>1663</v>
      </c>
      <c r="AH55" s="32" t="s">
        <v>949</v>
      </c>
      <c r="AI55" s="32" t="s">
        <v>941</v>
      </c>
      <c r="AJ55" s="32" t="s">
        <v>943</v>
      </c>
      <c r="AK55" s="32" t="s">
        <v>945</v>
      </c>
      <c r="AL55" s="32" t="s">
        <v>947</v>
      </c>
      <c r="AM55" s="32" t="s">
        <v>1791</v>
      </c>
      <c r="AN55" s="32" t="s">
        <v>1792</v>
      </c>
      <c r="AO55" s="32" t="s">
        <v>1679</v>
      </c>
      <c r="AP55" s="32" t="s">
        <v>1793</v>
      </c>
      <c r="AQ55" s="32" t="s">
        <v>1794</v>
      </c>
      <c r="AR55" s="32" t="s">
        <v>1795</v>
      </c>
      <c r="AS55" s="32" t="s">
        <v>1796</v>
      </c>
      <c r="AT55" s="32" t="s">
        <v>1797</v>
      </c>
      <c r="AU55" s="32" t="s">
        <v>1798</v>
      </c>
      <c r="AV55" s="32" t="s">
        <v>1799</v>
      </c>
      <c r="AW55" s="32" t="s">
        <v>1800</v>
      </c>
      <c r="AX55" s="32" t="s">
        <v>1801</v>
      </c>
      <c r="AY55" s="32" t="s">
        <v>1802</v>
      </c>
      <c r="AZ55" s="32" t="s">
        <v>1803</v>
      </c>
      <c r="BA55" s="32" t="s">
        <v>1804</v>
      </c>
      <c r="BB55" s="32" t="s">
        <v>1805</v>
      </c>
      <c r="BC55" s="32" t="s">
        <v>1806</v>
      </c>
      <c r="BD55" s="32" t="s">
        <v>1673</v>
      </c>
      <c r="BE55" s="32" t="s">
        <v>1807</v>
      </c>
      <c r="BF55" s="32" t="s">
        <v>1677</v>
      </c>
      <c r="BG55" s="32" t="s">
        <v>1808</v>
      </c>
      <c r="BH55" s="32" t="s">
        <v>1734</v>
      </c>
      <c r="BI55" s="32" t="s">
        <v>1809</v>
      </c>
      <c r="BJ55" s="32" t="s">
        <v>1810</v>
      </c>
      <c r="BK55" s="32" t="s">
        <v>1811</v>
      </c>
      <c r="BL55" s="32" t="s">
        <v>1812</v>
      </c>
      <c r="BM55" s="32" t="s">
        <v>1813</v>
      </c>
      <c r="BN55" s="32" t="s">
        <v>1814</v>
      </c>
      <c r="BO55" s="32" t="s">
        <v>1815</v>
      </c>
      <c r="BP55" s="32" t="s">
        <v>1816</v>
      </c>
      <c r="BQ55" s="32" t="s">
        <v>1817</v>
      </c>
      <c r="BR55" s="32" t="s">
        <v>1818</v>
      </c>
      <c r="BS55" s="32" t="s">
        <v>1819</v>
      </c>
      <c r="BT55" s="32" t="s">
        <v>1820</v>
      </c>
      <c r="BU55" s="32" t="s">
        <v>1821</v>
      </c>
      <c r="BV55" s="32" t="s">
        <v>1822</v>
      </c>
      <c r="BW55" s="32" t="s">
        <v>1823</v>
      </c>
      <c r="BX55" s="32" t="s">
        <v>1824</v>
      </c>
      <c r="BY55" s="32" t="s">
        <v>1825</v>
      </c>
      <c r="BZ55" s="32" t="s">
        <v>1826</v>
      </c>
      <c r="CA55" s="32" t="s">
        <v>1827</v>
      </c>
      <c r="CB55" s="32" t="s">
        <v>1828</v>
      </c>
      <c r="CC55" s="32" t="s">
        <v>1829</v>
      </c>
      <c r="CD55" s="32" t="s">
        <v>1696</v>
      </c>
      <c r="CE55" s="32" t="s">
        <v>1830</v>
      </c>
      <c r="CF55" s="32" t="s">
        <v>1831</v>
      </c>
      <c r="CG55" s="32" t="s">
        <v>1832</v>
      </c>
      <c r="CH55" s="32" t="s">
        <v>1833</v>
      </c>
      <c r="CI55" s="32" t="s">
        <v>1834</v>
      </c>
      <c r="CJ55" s="32" t="s">
        <v>1835</v>
      </c>
      <c r="CK55" s="32" t="s">
        <v>1836</v>
      </c>
      <c r="CL55" s="32" t="s">
        <v>1837</v>
      </c>
      <c r="CM55" s="32" t="s">
        <v>1699</v>
      </c>
      <c r="CN55" s="32" t="s">
        <v>1611</v>
      </c>
    </row>
    <row r="56" spans="1:92" ht="30" customHeight="1">
      <c r="A56" s="34" t="str">
        <f t="shared" ref="A56:A87" si="0">IF(G56="","","ACT"&amp;TEXT(ROW()-55,"00000"))</f>
        <v>ACT00001</v>
      </c>
      <c r="B56" s="60"/>
      <c r="C56" s="57" t="s">
        <v>1617</v>
      </c>
      <c r="D56" s="61" t="str">
        <f>IFERROR(INDEX(tbl_Projets[Titre complet du projet],MATCH(C56,tbl_Projets[ID Projet],0)),"")</f>
        <v>Projet d'appui a l'insertion professionnelle des jeunes</v>
      </c>
      <c r="E56" s="34" t="str">
        <f>IFERROR(INDEX(tbl_Projets[Domaine d''intervention],MATCH(C56,tbl_Projets[ID Projet],0)),"")</f>
        <v>Education</v>
      </c>
      <c r="F56" s="34" t="str">
        <f>IFERROR(INDEX(tbl_Projets[Nom du responsable],MATCH(C56,tbl_Projets[ID Projet],0)),"")</f>
        <v>Jean MABIALA</v>
      </c>
      <c r="G56" s="60" t="s">
        <v>1838</v>
      </c>
      <c r="H56" s="60"/>
      <c r="I56" s="60"/>
      <c r="J56" s="57"/>
      <c r="K56" s="57"/>
      <c r="L56" s="50">
        <v>46285</v>
      </c>
      <c r="M56" s="62"/>
      <c r="N56" s="62"/>
      <c r="O56" s="63" t="str">
        <f t="shared" ref="O56:O87" si="1">IF(OR(M56="",N56=""),"",(N56-M56)*24)</f>
        <v/>
      </c>
      <c r="P56" s="57"/>
      <c r="Q56" s="64" t="str">
        <f>IF(L56="","",INDEX(PARAMETRES!$B$53:$B$65,MONTH(L56)))</f>
        <v>Septembre</v>
      </c>
      <c r="R56" s="64" t="str">
        <f>IF(L56="","",INDEX(PARAMETRES!$C$53:$C$65,MONTH(L56)))</f>
        <v>T3</v>
      </c>
      <c r="S56" s="34">
        <f t="shared" ref="S56:S87" si="2">IF(L56="","",YEAR(L56))</f>
        <v>2026</v>
      </c>
      <c r="T56" s="50">
        <v>46290</v>
      </c>
      <c r="U56" s="65" t="s">
        <v>1839</v>
      </c>
      <c r="V56" s="62"/>
      <c r="W56" s="63" t="str">
        <f t="shared" ref="W56:W87" si="3">IF(OR(U56="",V56=""),"",(V56-U56)*24)</f>
        <v/>
      </c>
      <c r="X56" s="57" t="s">
        <v>256</v>
      </c>
      <c r="Y56" s="54"/>
      <c r="Z56" s="57" t="s">
        <v>13</v>
      </c>
      <c r="AA56" s="52">
        <f t="shared" ref="AA56:AA87" si="4">IF(AND(L56&lt;&gt;"",T56&lt;&gt;""),T56-L56,"")</f>
        <v>5</v>
      </c>
      <c r="AB56" s="34" t="str">
        <f t="shared" ref="AB56:AB87" ca="1" si="5">IF(L56="","",IF(AND(TODAY()&gt;L56,T56="",NOT(OR(Z56="Realisee",Z56="Annulee"))),"OUI","NON"))</f>
        <v>NON</v>
      </c>
      <c r="AC56" s="60"/>
      <c r="AD56" s="60"/>
      <c r="AE56" s="57"/>
      <c r="AF56" s="60"/>
      <c r="AG56" s="60"/>
      <c r="AH56" s="57"/>
      <c r="AI56" s="34" t="str">
        <f>IFERROR(INDEX(PARAMETRES!$B$536:$B$586,MATCH(AH56,PARAMETRES!$J$536:$J$586,0)),"")</f>
        <v/>
      </c>
      <c r="AJ56" s="34" t="str">
        <f>IFERROR(INDEX(PARAMETRES!$D$536:$D$586,MATCH(AH56,PARAMETRES!$J$536:$J$586,0)),"")</f>
        <v/>
      </c>
      <c r="AK56" s="34" t="str">
        <f>IFERROR(INDEX(PARAMETRES!$F$536:$F$586,MATCH(AH56,PARAMETRES!$J$536:$J$586,0)),"")</f>
        <v/>
      </c>
      <c r="AL56" s="34" t="str">
        <f>IFERROR(INDEX(PARAMETRES!$H$536:$H$586,MATCH(AH56,PARAMETRES!$J$536:$J$586,0)),"")</f>
        <v/>
      </c>
      <c r="AM56" s="60"/>
      <c r="AN56" s="60"/>
      <c r="AO56" s="51"/>
      <c r="AP56" s="51"/>
      <c r="AQ56" s="51"/>
      <c r="AR56" s="51"/>
      <c r="AS56" s="51"/>
      <c r="AT56" s="51"/>
      <c r="AU56" s="51"/>
      <c r="AV56" s="52">
        <f>IF(A56="",0,COUNTIFS(tbl_Beneficiaires_Activites[ID activite],A56))</f>
        <v>0</v>
      </c>
      <c r="AW56" s="51"/>
      <c r="AX56" s="51"/>
      <c r="AY56" s="51"/>
      <c r="AZ56" s="57"/>
      <c r="BA56" s="57"/>
      <c r="BB56" s="60"/>
      <c r="BC56" s="51"/>
      <c r="BD56" s="51"/>
      <c r="BE56" s="51"/>
      <c r="BF56" s="52">
        <f t="shared" ref="BF56:BF87" si="6">IF(BD56="",0,BD56)-IF(BE56="",0,BE56)</f>
        <v>0</v>
      </c>
      <c r="BG56" s="53">
        <f t="shared" ref="BG56:BG87" si="7">IF(OR(BD56="",BD56=0),0,BE56/BD56)</f>
        <v>0</v>
      </c>
      <c r="BH56" s="57" t="s">
        <v>583</v>
      </c>
      <c r="BI56" s="60"/>
      <c r="BJ56" s="51"/>
      <c r="BK56" s="51"/>
      <c r="BL56" s="57"/>
      <c r="BM56" s="60"/>
      <c r="BN56" s="60"/>
      <c r="BO56" s="60"/>
      <c r="BP56" s="60"/>
      <c r="BQ56" s="51"/>
      <c r="BR56" s="57"/>
      <c r="BS56" s="60"/>
      <c r="BT56" s="60"/>
      <c r="BU56" s="60"/>
      <c r="BV56" s="52" t="str">
        <f t="shared" ref="BV56:BV87" si="8">IF(OR(AO56="",AV56=""),"",AV56-AO56)</f>
        <v/>
      </c>
      <c r="BW56" s="52" t="str">
        <f t="shared" ref="BW56:BW87" si="9">IF(OR(BE56="",BD56=""),"",BE56-BD56)</f>
        <v/>
      </c>
      <c r="BX56" s="57"/>
      <c r="BY56" s="57"/>
      <c r="BZ56" s="57"/>
      <c r="CA56" s="57"/>
      <c r="CB56" s="60"/>
      <c r="CC56" s="60"/>
      <c r="CD56" s="54"/>
      <c r="CE56" s="57" t="s">
        <v>256</v>
      </c>
      <c r="CF56" s="50"/>
      <c r="CG56" s="60"/>
      <c r="CH56" s="57"/>
      <c r="CI56" s="60"/>
      <c r="CJ56" s="60"/>
      <c r="CK56" s="52">
        <f>IF(A56="",0,COUNTIF(tbl_Activites_Documents[ID Activite],A56))</f>
        <v>0</v>
      </c>
      <c r="CL56" s="52">
        <f>IF(A56="",0,COUNTIF(tbl_Activites_Risques[ID Activite],A56))</f>
        <v>0</v>
      </c>
      <c r="CM56" s="34" t="str">
        <f t="shared" ref="CM56:CM87" si="10">IF(A56="","",IF(BE56&gt;BD56,"OUI","NON"))</f>
        <v>NON</v>
      </c>
      <c r="CN56" s="60"/>
    </row>
    <row r="57" spans="1:92" ht="30" customHeight="1">
      <c r="A57" s="34" t="str">
        <f t="shared" si="0"/>
        <v/>
      </c>
      <c r="B57" s="60"/>
      <c r="C57" s="57"/>
      <c r="D57" s="61" t="str">
        <f>IFERROR(INDEX(tbl_Projets[Titre complet du projet],MATCH(C57,tbl_Projets[ID Projet],0)),"")</f>
        <v/>
      </c>
      <c r="E57" s="34" t="str">
        <f>IFERROR(INDEX(tbl_Projets[Domaine d''intervention],MATCH(C57,tbl_Projets[ID Projet],0)),"")</f>
        <v/>
      </c>
      <c r="F57" s="34" t="str">
        <f>IFERROR(INDEX(tbl_Projets[Nom du responsable],MATCH(C57,tbl_Projets[ID Projet],0)),"")</f>
        <v/>
      </c>
      <c r="G57" s="60"/>
      <c r="H57" s="60"/>
      <c r="I57" s="60"/>
      <c r="J57" s="57"/>
      <c r="K57" s="57"/>
      <c r="L57" s="50"/>
      <c r="M57" s="62"/>
      <c r="N57" s="62"/>
      <c r="O57" s="63" t="str">
        <f t="shared" si="1"/>
        <v/>
      </c>
      <c r="P57" s="57"/>
      <c r="Q57" s="64" t="str">
        <f>IF(L57="","",INDEX(PARAMETRES!$B$53:$B$65,MONTH(L57)))</f>
        <v/>
      </c>
      <c r="R57" s="64" t="str">
        <f>IF(L57="","",INDEX(PARAMETRES!$C$53:$C$65,MONTH(L57)))</f>
        <v/>
      </c>
      <c r="S57" s="34" t="str">
        <f t="shared" si="2"/>
        <v/>
      </c>
      <c r="T57" s="50"/>
      <c r="U57" s="62"/>
      <c r="V57" s="62"/>
      <c r="W57" s="63" t="str">
        <f t="shared" si="3"/>
        <v/>
      </c>
      <c r="X57" s="57"/>
      <c r="Y57" s="54"/>
      <c r="Z57" s="57"/>
      <c r="AA57" s="52" t="str">
        <f t="shared" si="4"/>
        <v/>
      </c>
      <c r="AB57" s="34" t="str">
        <f t="shared" ca="1" si="5"/>
        <v/>
      </c>
      <c r="AC57" s="60"/>
      <c r="AD57" s="60"/>
      <c r="AE57" s="57"/>
      <c r="AF57" s="60"/>
      <c r="AG57" s="60"/>
      <c r="AH57" s="57"/>
      <c r="AI57" s="34" t="str">
        <f>IFERROR(INDEX(PARAMETRES!$B$536:$B$586,MATCH(AH57,PARAMETRES!$J$536:$J$586,0)),"")</f>
        <v/>
      </c>
      <c r="AJ57" s="34" t="str">
        <f>IFERROR(INDEX(PARAMETRES!$D$536:$D$586,MATCH(AH57,PARAMETRES!$J$536:$J$586,0)),"")</f>
        <v/>
      </c>
      <c r="AK57" s="34" t="str">
        <f>IFERROR(INDEX(PARAMETRES!$F$536:$F$586,MATCH(AH57,PARAMETRES!$J$536:$J$586,0)),"")</f>
        <v/>
      </c>
      <c r="AL57" s="34" t="str">
        <f>IFERROR(INDEX(PARAMETRES!$H$536:$H$586,MATCH(AH57,PARAMETRES!$J$536:$J$586,0)),"")</f>
        <v/>
      </c>
      <c r="AM57" s="60"/>
      <c r="AN57" s="60"/>
      <c r="AO57" s="51"/>
      <c r="AP57" s="51"/>
      <c r="AQ57" s="51"/>
      <c r="AR57" s="51"/>
      <c r="AS57" s="51"/>
      <c r="AT57" s="51"/>
      <c r="AU57" s="51"/>
      <c r="AV57" s="52">
        <f>IF(A57="",0,COUNTIFS(tbl_Beneficiaires_Activites[ID activite],A57))</f>
        <v>0</v>
      </c>
      <c r="AW57" s="51"/>
      <c r="AX57" s="51"/>
      <c r="AY57" s="51"/>
      <c r="AZ57" s="57"/>
      <c r="BA57" s="57"/>
      <c r="BB57" s="60"/>
      <c r="BC57" s="51"/>
      <c r="BD57" s="51"/>
      <c r="BE57" s="51"/>
      <c r="BF57" s="52">
        <f t="shared" si="6"/>
        <v>0</v>
      </c>
      <c r="BG57" s="53">
        <f t="shared" si="7"/>
        <v>0</v>
      </c>
      <c r="BH57" s="57"/>
      <c r="BI57" s="60"/>
      <c r="BJ57" s="51"/>
      <c r="BK57" s="51"/>
      <c r="BL57" s="57"/>
      <c r="BM57" s="60"/>
      <c r="BN57" s="60"/>
      <c r="BO57" s="60"/>
      <c r="BP57" s="60"/>
      <c r="BQ57" s="51"/>
      <c r="BR57" s="57"/>
      <c r="BS57" s="60"/>
      <c r="BT57" s="60"/>
      <c r="BU57" s="60"/>
      <c r="BV57" s="52" t="str">
        <f t="shared" si="8"/>
        <v/>
      </c>
      <c r="BW57" s="52" t="str">
        <f t="shared" si="9"/>
        <v/>
      </c>
      <c r="BX57" s="57"/>
      <c r="BY57" s="57"/>
      <c r="BZ57" s="57"/>
      <c r="CA57" s="57"/>
      <c r="CB57" s="60"/>
      <c r="CC57" s="60"/>
      <c r="CD57" s="54"/>
      <c r="CE57" s="57"/>
      <c r="CF57" s="50"/>
      <c r="CG57" s="60"/>
      <c r="CH57" s="57"/>
      <c r="CI57" s="60"/>
      <c r="CJ57" s="60"/>
      <c r="CK57" s="52">
        <f>IF(A57="",0,COUNTIF(tbl_Activites_Documents[ID Activite],A57))</f>
        <v>0</v>
      </c>
      <c r="CL57" s="52">
        <f>IF(A57="",0,COUNTIF(tbl_Activites_Risques[ID Activite],A57))</f>
        <v>0</v>
      </c>
      <c r="CM57" s="34" t="str">
        <f t="shared" si="10"/>
        <v/>
      </c>
      <c r="CN57" s="60"/>
    </row>
    <row r="58" spans="1:92" ht="30" customHeight="1">
      <c r="A58" s="34" t="str">
        <f t="shared" si="0"/>
        <v/>
      </c>
      <c r="B58" s="60"/>
      <c r="C58" s="57"/>
      <c r="D58" s="61" t="str">
        <f>IFERROR(INDEX(tbl_Projets[Titre complet du projet],MATCH(C58,tbl_Projets[ID Projet],0)),"")</f>
        <v/>
      </c>
      <c r="E58" s="34" t="str">
        <f>IFERROR(INDEX(tbl_Projets[Domaine d''intervention],MATCH(C58,tbl_Projets[ID Projet],0)),"")</f>
        <v/>
      </c>
      <c r="F58" s="34" t="str">
        <f>IFERROR(INDEX(tbl_Projets[Nom du responsable],MATCH(C58,tbl_Projets[ID Projet],0)),"")</f>
        <v/>
      </c>
      <c r="G58" s="60"/>
      <c r="H58" s="60"/>
      <c r="I58" s="60"/>
      <c r="J58" s="57"/>
      <c r="K58" s="57"/>
      <c r="L58" s="50"/>
      <c r="M58" s="62"/>
      <c r="N58" s="62"/>
      <c r="O58" s="63" t="str">
        <f t="shared" si="1"/>
        <v/>
      </c>
      <c r="P58" s="57"/>
      <c r="Q58" s="64" t="str">
        <f>IF(L58="","",INDEX(PARAMETRES!$B$53:$B$65,MONTH(L58)))</f>
        <v/>
      </c>
      <c r="R58" s="64" t="str">
        <f>IF(L58="","",INDEX(PARAMETRES!$C$53:$C$65,MONTH(L58)))</f>
        <v/>
      </c>
      <c r="S58" s="34" t="str">
        <f t="shared" si="2"/>
        <v/>
      </c>
      <c r="T58" s="50"/>
      <c r="U58" s="62"/>
      <c r="V58" s="62"/>
      <c r="W58" s="63" t="str">
        <f t="shared" si="3"/>
        <v/>
      </c>
      <c r="X58" s="57"/>
      <c r="Y58" s="54"/>
      <c r="Z58" s="57"/>
      <c r="AA58" s="52" t="str">
        <f t="shared" si="4"/>
        <v/>
      </c>
      <c r="AB58" s="34" t="str">
        <f t="shared" ca="1" si="5"/>
        <v/>
      </c>
      <c r="AC58" s="60"/>
      <c r="AD58" s="60"/>
      <c r="AE58" s="57"/>
      <c r="AF58" s="60"/>
      <c r="AG58" s="60"/>
      <c r="AH58" s="57"/>
      <c r="AI58" s="34" t="str">
        <f>IFERROR(INDEX(PARAMETRES!$B$536:$B$586,MATCH(AH58,PARAMETRES!$J$536:$J$586,0)),"")</f>
        <v/>
      </c>
      <c r="AJ58" s="34" t="str">
        <f>IFERROR(INDEX(PARAMETRES!$D$536:$D$586,MATCH(AH58,PARAMETRES!$J$536:$J$586,0)),"")</f>
        <v/>
      </c>
      <c r="AK58" s="34" t="str">
        <f>IFERROR(INDEX(PARAMETRES!$F$536:$F$586,MATCH(AH58,PARAMETRES!$J$536:$J$586,0)),"")</f>
        <v/>
      </c>
      <c r="AL58" s="34" t="str">
        <f>IFERROR(INDEX(PARAMETRES!$H$536:$H$586,MATCH(AH58,PARAMETRES!$J$536:$J$586,0)),"")</f>
        <v/>
      </c>
      <c r="AM58" s="60"/>
      <c r="AN58" s="60"/>
      <c r="AO58" s="51"/>
      <c r="AP58" s="51"/>
      <c r="AQ58" s="51"/>
      <c r="AR58" s="51"/>
      <c r="AS58" s="51"/>
      <c r="AT58" s="51"/>
      <c r="AU58" s="51"/>
      <c r="AV58" s="52">
        <f>IF(A58="",0,COUNTIFS(tbl_Beneficiaires_Activites[ID activite],A58))</f>
        <v>0</v>
      </c>
      <c r="AW58" s="51"/>
      <c r="AX58" s="51"/>
      <c r="AY58" s="51"/>
      <c r="AZ58" s="57"/>
      <c r="BA58" s="57"/>
      <c r="BB58" s="60"/>
      <c r="BC58" s="51"/>
      <c r="BD58" s="51"/>
      <c r="BE58" s="51"/>
      <c r="BF58" s="52">
        <f t="shared" si="6"/>
        <v>0</v>
      </c>
      <c r="BG58" s="53">
        <f t="shared" si="7"/>
        <v>0</v>
      </c>
      <c r="BH58" s="57"/>
      <c r="BI58" s="60"/>
      <c r="BJ58" s="51"/>
      <c r="BK58" s="51"/>
      <c r="BL58" s="57"/>
      <c r="BM58" s="60"/>
      <c r="BN58" s="60"/>
      <c r="BO58" s="60"/>
      <c r="BP58" s="60"/>
      <c r="BQ58" s="51"/>
      <c r="BR58" s="57"/>
      <c r="BS58" s="60"/>
      <c r="BT58" s="60"/>
      <c r="BU58" s="60"/>
      <c r="BV58" s="52" t="str">
        <f t="shared" si="8"/>
        <v/>
      </c>
      <c r="BW58" s="52" t="str">
        <f t="shared" si="9"/>
        <v/>
      </c>
      <c r="BX58" s="57"/>
      <c r="BY58" s="57"/>
      <c r="BZ58" s="57"/>
      <c r="CA58" s="57"/>
      <c r="CB58" s="60"/>
      <c r="CC58" s="60"/>
      <c r="CD58" s="54"/>
      <c r="CE58" s="57"/>
      <c r="CF58" s="50"/>
      <c r="CG58" s="60"/>
      <c r="CH58" s="57"/>
      <c r="CI58" s="60"/>
      <c r="CJ58" s="60"/>
      <c r="CK58" s="52">
        <f>IF(A58="",0,COUNTIF(tbl_Activites_Documents[ID Activite],A58))</f>
        <v>0</v>
      </c>
      <c r="CL58" s="52">
        <f>IF(A58="",0,COUNTIF(tbl_Activites_Risques[ID Activite],A58))</f>
        <v>0</v>
      </c>
      <c r="CM58" s="34" t="str">
        <f t="shared" si="10"/>
        <v/>
      </c>
      <c r="CN58" s="60"/>
    </row>
    <row r="59" spans="1:92" ht="30" customHeight="1">
      <c r="A59" s="34" t="str">
        <f t="shared" si="0"/>
        <v/>
      </c>
      <c r="B59" s="60"/>
      <c r="C59" s="57"/>
      <c r="D59" s="61" t="str">
        <f>IFERROR(INDEX(tbl_Projets[Titre complet du projet],MATCH(C59,tbl_Projets[ID Projet],0)),"")</f>
        <v/>
      </c>
      <c r="E59" s="34" t="str">
        <f>IFERROR(INDEX(tbl_Projets[Domaine d''intervention],MATCH(C59,tbl_Projets[ID Projet],0)),"")</f>
        <v/>
      </c>
      <c r="F59" s="34" t="str">
        <f>IFERROR(INDEX(tbl_Projets[Nom du responsable],MATCH(C59,tbl_Projets[ID Projet],0)),"")</f>
        <v/>
      </c>
      <c r="G59" s="60"/>
      <c r="H59" s="60"/>
      <c r="I59" s="60"/>
      <c r="J59" s="57"/>
      <c r="K59" s="57"/>
      <c r="L59" s="50"/>
      <c r="M59" s="62"/>
      <c r="N59" s="62"/>
      <c r="O59" s="63" t="str">
        <f t="shared" si="1"/>
        <v/>
      </c>
      <c r="P59" s="57"/>
      <c r="Q59" s="64" t="str">
        <f>IF(L59="","",INDEX(PARAMETRES!$B$53:$B$65,MONTH(L59)))</f>
        <v/>
      </c>
      <c r="R59" s="64" t="str">
        <f>IF(L59="","",INDEX(PARAMETRES!$C$53:$C$65,MONTH(L59)))</f>
        <v/>
      </c>
      <c r="S59" s="34" t="str">
        <f t="shared" si="2"/>
        <v/>
      </c>
      <c r="T59" s="50"/>
      <c r="U59" s="62"/>
      <c r="V59" s="62"/>
      <c r="W59" s="63" t="str">
        <f t="shared" si="3"/>
        <v/>
      </c>
      <c r="X59" s="57"/>
      <c r="Y59" s="54"/>
      <c r="Z59" s="57"/>
      <c r="AA59" s="52" t="str">
        <f t="shared" si="4"/>
        <v/>
      </c>
      <c r="AB59" s="34" t="str">
        <f t="shared" ca="1" si="5"/>
        <v/>
      </c>
      <c r="AC59" s="60"/>
      <c r="AD59" s="60"/>
      <c r="AE59" s="57"/>
      <c r="AF59" s="60"/>
      <c r="AG59" s="60"/>
      <c r="AH59" s="57"/>
      <c r="AI59" s="34" t="str">
        <f>IFERROR(INDEX(PARAMETRES!$B$536:$B$586,MATCH(AH59,PARAMETRES!$J$536:$J$586,0)),"")</f>
        <v/>
      </c>
      <c r="AJ59" s="34" t="str">
        <f>IFERROR(INDEX(PARAMETRES!$D$536:$D$586,MATCH(AH59,PARAMETRES!$J$536:$J$586,0)),"")</f>
        <v/>
      </c>
      <c r="AK59" s="34" t="str">
        <f>IFERROR(INDEX(PARAMETRES!$F$536:$F$586,MATCH(AH59,PARAMETRES!$J$536:$J$586,0)),"")</f>
        <v/>
      </c>
      <c r="AL59" s="34" t="str">
        <f>IFERROR(INDEX(PARAMETRES!$H$536:$H$586,MATCH(AH59,PARAMETRES!$J$536:$J$586,0)),"")</f>
        <v/>
      </c>
      <c r="AM59" s="60"/>
      <c r="AN59" s="60"/>
      <c r="AO59" s="51"/>
      <c r="AP59" s="51"/>
      <c r="AQ59" s="51"/>
      <c r="AR59" s="51"/>
      <c r="AS59" s="51"/>
      <c r="AT59" s="51"/>
      <c r="AU59" s="51"/>
      <c r="AV59" s="52">
        <f>IF(A59="",0,COUNTIFS(tbl_Beneficiaires_Activites[ID activite],A59))</f>
        <v>0</v>
      </c>
      <c r="AW59" s="51"/>
      <c r="AX59" s="51"/>
      <c r="AY59" s="51"/>
      <c r="AZ59" s="57"/>
      <c r="BA59" s="57"/>
      <c r="BB59" s="60"/>
      <c r="BC59" s="51"/>
      <c r="BD59" s="51"/>
      <c r="BE59" s="51"/>
      <c r="BF59" s="52">
        <f t="shared" si="6"/>
        <v>0</v>
      </c>
      <c r="BG59" s="53">
        <f t="shared" si="7"/>
        <v>0</v>
      </c>
      <c r="BH59" s="57"/>
      <c r="BI59" s="60"/>
      <c r="BJ59" s="51"/>
      <c r="BK59" s="51"/>
      <c r="BL59" s="57"/>
      <c r="BM59" s="60"/>
      <c r="BN59" s="60"/>
      <c r="BO59" s="60"/>
      <c r="BP59" s="60"/>
      <c r="BQ59" s="51"/>
      <c r="BR59" s="57"/>
      <c r="BS59" s="60"/>
      <c r="BT59" s="60"/>
      <c r="BU59" s="60"/>
      <c r="BV59" s="52" t="str">
        <f t="shared" si="8"/>
        <v/>
      </c>
      <c r="BW59" s="52" t="str">
        <f t="shared" si="9"/>
        <v/>
      </c>
      <c r="BX59" s="57"/>
      <c r="BY59" s="57"/>
      <c r="BZ59" s="57"/>
      <c r="CA59" s="57"/>
      <c r="CB59" s="60"/>
      <c r="CC59" s="60"/>
      <c r="CD59" s="54"/>
      <c r="CE59" s="57"/>
      <c r="CF59" s="50"/>
      <c r="CG59" s="60"/>
      <c r="CH59" s="57"/>
      <c r="CI59" s="60"/>
      <c r="CJ59" s="60"/>
      <c r="CK59" s="52">
        <f>IF(A59="",0,COUNTIF(tbl_Activites_Documents[ID Activite],A59))</f>
        <v>0</v>
      </c>
      <c r="CL59" s="52">
        <f>IF(A59="",0,COUNTIF(tbl_Activites_Risques[ID Activite],A59))</f>
        <v>0</v>
      </c>
      <c r="CM59" s="34" t="str">
        <f t="shared" si="10"/>
        <v/>
      </c>
      <c r="CN59" s="60"/>
    </row>
    <row r="60" spans="1:92" ht="30" customHeight="1">
      <c r="A60" s="34" t="str">
        <f t="shared" si="0"/>
        <v/>
      </c>
      <c r="B60" s="60"/>
      <c r="C60" s="57"/>
      <c r="D60" s="61" t="str">
        <f>IFERROR(INDEX(tbl_Projets[Titre complet du projet],MATCH(C60,tbl_Projets[ID Projet],0)),"")</f>
        <v/>
      </c>
      <c r="E60" s="34" t="str">
        <f>IFERROR(INDEX(tbl_Projets[Domaine d''intervention],MATCH(C60,tbl_Projets[ID Projet],0)),"")</f>
        <v/>
      </c>
      <c r="F60" s="34" t="str">
        <f>IFERROR(INDEX(tbl_Projets[Nom du responsable],MATCH(C60,tbl_Projets[ID Projet],0)),"")</f>
        <v/>
      </c>
      <c r="G60" s="60"/>
      <c r="H60" s="60"/>
      <c r="I60" s="60"/>
      <c r="J60" s="57"/>
      <c r="K60" s="57"/>
      <c r="L60" s="50"/>
      <c r="M60" s="62"/>
      <c r="N60" s="62"/>
      <c r="O60" s="63" t="str">
        <f t="shared" si="1"/>
        <v/>
      </c>
      <c r="P60" s="57"/>
      <c r="Q60" s="64" t="str">
        <f>IF(L60="","",INDEX(PARAMETRES!$B$53:$B$65,MONTH(L60)))</f>
        <v/>
      </c>
      <c r="R60" s="64" t="str">
        <f>IF(L60="","",INDEX(PARAMETRES!$C$53:$C$65,MONTH(L60)))</f>
        <v/>
      </c>
      <c r="S60" s="34" t="str">
        <f t="shared" si="2"/>
        <v/>
      </c>
      <c r="T60" s="50"/>
      <c r="U60" s="62"/>
      <c r="V60" s="62"/>
      <c r="W60" s="63" t="str">
        <f t="shared" si="3"/>
        <v/>
      </c>
      <c r="X60" s="57"/>
      <c r="Y60" s="54"/>
      <c r="Z60" s="57"/>
      <c r="AA60" s="52" t="str">
        <f t="shared" si="4"/>
        <v/>
      </c>
      <c r="AB60" s="34" t="str">
        <f t="shared" ca="1" si="5"/>
        <v/>
      </c>
      <c r="AC60" s="60"/>
      <c r="AD60" s="60"/>
      <c r="AE60" s="57"/>
      <c r="AF60" s="60"/>
      <c r="AG60" s="60"/>
      <c r="AH60" s="57"/>
      <c r="AI60" s="34" t="str">
        <f>IFERROR(INDEX(PARAMETRES!$B$536:$B$586,MATCH(AH60,PARAMETRES!$J$536:$J$586,0)),"")</f>
        <v/>
      </c>
      <c r="AJ60" s="34" t="str">
        <f>IFERROR(INDEX(PARAMETRES!$D$536:$D$586,MATCH(AH60,PARAMETRES!$J$536:$J$586,0)),"")</f>
        <v/>
      </c>
      <c r="AK60" s="34" t="str">
        <f>IFERROR(INDEX(PARAMETRES!$F$536:$F$586,MATCH(AH60,PARAMETRES!$J$536:$J$586,0)),"")</f>
        <v/>
      </c>
      <c r="AL60" s="34" t="str">
        <f>IFERROR(INDEX(PARAMETRES!$H$536:$H$586,MATCH(AH60,PARAMETRES!$J$536:$J$586,0)),"")</f>
        <v/>
      </c>
      <c r="AM60" s="60"/>
      <c r="AN60" s="60"/>
      <c r="AO60" s="51"/>
      <c r="AP60" s="51"/>
      <c r="AQ60" s="51"/>
      <c r="AR60" s="51"/>
      <c r="AS60" s="51"/>
      <c r="AT60" s="51"/>
      <c r="AU60" s="51"/>
      <c r="AV60" s="52">
        <f>IF(A60="",0,COUNTIFS(tbl_Beneficiaires_Activites[ID activite],A60))</f>
        <v>0</v>
      </c>
      <c r="AW60" s="51"/>
      <c r="AX60" s="51"/>
      <c r="AY60" s="51"/>
      <c r="AZ60" s="57"/>
      <c r="BA60" s="57"/>
      <c r="BB60" s="60"/>
      <c r="BC60" s="51"/>
      <c r="BD60" s="51"/>
      <c r="BE60" s="51"/>
      <c r="BF60" s="52">
        <f t="shared" si="6"/>
        <v>0</v>
      </c>
      <c r="BG60" s="53">
        <f t="shared" si="7"/>
        <v>0</v>
      </c>
      <c r="BH60" s="57"/>
      <c r="BI60" s="60"/>
      <c r="BJ60" s="51"/>
      <c r="BK60" s="51"/>
      <c r="BL60" s="57"/>
      <c r="BM60" s="60"/>
      <c r="BN60" s="60"/>
      <c r="BO60" s="60"/>
      <c r="BP60" s="60"/>
      <c r="BQ60" s="51"/>
      <c r="BR60" s="57"/>
      <c r="BS60" s="60"/>
      <c r="BT60" s="60"/>
      <c r="BU60" s="60"/>
      <c r="BV60" s="52" t="str">
        <f t="shared" si="8"/>
        <v/>
      </c>
      <c r="BW60" s="52" t="str">
        <f t="shared" si="9"/>
        <v/>
      </c>
      <c r="BX60" s="57"/>
      <c r="BY60" s="57"/>
      <c r="BZ60" s="57"/>
      <c r="CA60" s="57"/>
      <c r="CB60" s="60"/>
      <c r="CC60" s="60"/>
      <c r="CD60" s="54"/>
      <c r="CE60" s="57"/>
      <c r="CF60" s="50"/>
      <c r="CG60" s="60"/>
      <c r="CH60" s="57"/>
      <c r="CI60" s="60"/>
      <c r="CJ60" s="60"/>
      <c r="CK60" s="52">
        <f>IF(A60="",0,COUNTIF(tbl_Activites_Documents[ID Activite],A60))</f>
        <v>0</v>
      </c>
      <c r="CL60" s="52">
        <f>IF(A60="",0,COUNTIF(tbl_Activites_Risques[ID Activite],A60))</f>
        <v>0</v>
      </c>
      <c r="CM60" s="34" t="str">
        <f t="shared" si="10"/>
        <v/>
      </c>
      <c r="CN60" s="60"/>
    </row>
    <row r="61" spans="1:92" ht="30" customHeight="1">
      <c r="A61" s="34" t="str">
        <f t="shared" si="0"/>
        <v/>
      </c>
      <c r="B61" s="60"/>
      <c r="C61" s="57"/>
      <c r="D61" s="61" t="str">
        <f>IFERROR(INDEX(tbl_Projets[Titre complet du projet],MATCH(C61,tbl_Projets[ID Projet],0)),"")</f>
        <v/>
      </c>
      <c r="E61" s="34" t="str">
        <f>IFERROR(INDEX(tbl_Projets[Domaine d''intervention],MATCH(C61,tbl_Projets[ID Projet],0)),"")</f>
        <v/>
      </c>
      <c r="F61" s="34" t="str">
        <f>IFERROR(INDEX(tbl_Projets[Nom du responsable],MATCH(C61,tbl_Projets[ID Projet],0)),"")</f>
        <v/>
      </c>
      <c r="G61" s="60"/>
      <c r="H61" s="60"/>
      <c r="I61" s="60"/>
      <c r="J61" s="57"/>
      <c r="K61" s="57"/>
      <c r="L61" s="50"/>
      <c r="M61" s="62"/>
      <c r="N61" s="62"/>
      <c r="O61" s="63" t="str">
        <f t="shared" si="1"/>
        <v/>
      </c>
      <c r="P61" s="57"/>
      <c r="Q61" s="64" t="str">
        <f>IF(L61="","",INDEX(PARAMETRES!$B$53:$B$65,MONTH(L61)))</f>
        <v/>
      </c>
      <c r="R61" s="64" t="str">
        <f>IF(L61="","",INDEX(PARAMETRES!$C$53:$C$65,MONTH(L61)))</f>
        <v/>
      </c>
      <c r="S61" s="34" t="str">
        <f t="shared" si="2"/>
        <v/>
      </c>
      <c r="T61" s="50"/>
      <c r="U61" s="62"/>
      <c r="V61" s="62"/>
      <c r="W61" s="63" t="str">
        <f t="shared" si="3"/>
        <v/>
      </c>
      <c r="X61" s="57"/>
      <c r="Y61" s="54"/>
      <c r="Z61" s="57"/>
      <c r="AA61" s="52" t="str">
        <f t="shared" si="4"/>
        <v/>
      </c>
      <c r="AB61" s="34" t="str">
        <f t="shared" ca="1" si="5"/>
        <v/>
      </c>
      <c r="AC61" s="60"/>
      <c r="AD61" s="60"/>
      <c r="AE61" s="57"/>
      <c r="AF61" s="60"/>
      <c r="AG61" s="60"/>
      <c r="AH61" s="57"/>
      <c r="AI61" s="34" t="str">
        <f>IFERROR(INDEX(PARAMETRES!$B$536:$B$586,MATCH(AH61,PARAMETRES!$J$536:$J$586,0)),"")</f>
        <v/>
      </c>
      <c r="AJ61" s="34" t="str">
        <f>IFERROR(INDEX(PARAMETRES!$D$536:$D$586,MATCH(AH61,PARAMETRES!$J$536:$J$586,0)),"")</f>
        <v/>
      </c>
      <c r="AK61" s="34" t="str">
        <f>IFERROR(INDEX(PARAMETRES!$F$536:$F$586,MATCH(AH61,PARAMETRES!$J$536:$J$586,0)),"")</f>
        <v/>
      </c>
      <c r="AL61" s="34" t="str">
        <f>IFERROR(INDEX(PARAMETRES!$H$536:$H$586,MATCH(AH61,PARAMETRES!$J$536:$J$586,0)),"")</f>
        <v/>
      </c>
      <c r="AM61" s="60"/>
      <c r="AN61" s="60"/>
      <c r="AO61" s="51"/>
      <c r="AP61" s="51"/>
      <c r="AQ61" s="51"/>
      <c r="AR61" s="51"/>
      <c r="AS61" s="51"/>
      <c r="AT61" s="51"/>
      <c r="AU61" s="51"/>
      <c r="AV61" s="52">
        <f>IF(A61="",0,COUNTIFS(tbl_Beneficiaires_Activites[ID activite],A61))</f>
        <v>0</v>
      </c>
      <c r="AW61" s="51"/>
      <c r="AX61" s="51"/>
      <c r="AY61" s="51"/>
      <c r="AZ61" s="57"/>
      <c r="BA61" s="57"/>
      <c r="BB61" s="60"/>
      <c r="BC61" s="51"/>
      <c r="BD61" s="51"/>
      <c r="BE61" s="51"/>
      <c r="BF61" s="52">
        <f t="shared" si="6"/>
        <v>0</v>
      </c>
      <c r="BG61" s="53">
        <f t="shared" si="7"/>
        <v>0</v>
      </c>
      <c r="BH61" s="57"/>
      <c r="BI61" s="60"/>
      <c r="BJ61" s="51"/>
      <c r="BK61" s="51"/>
      <c r="BL61" s="57"/>
      <c r="BM61" s="60"/>
      <c r="BN61" s="60"/>
      <c r="BO61" s="60"/>
      <c r="BP61" s="60"/>
      <c r="BQ61" s="51"/>
      <c r="BR61" s="57"/>
      <c r="BS61" s="60"/>
      <c r="BT61" s="60"/>
      <c r="BU61" s="60"/>
      <c r="BV61" s="52" t="str">
        <f t="shared" si="8"/>
        <v/>
      </c>
      <c r="BW61" s="52" t="str">
        <f t="shared" si="9"/>
        <v/>
      </c>
      <c r="BX61" s="57"/>
      <c r="BY61" s="57"/>
      <c r="BZ61" s="57"/>
      <c r="CA61" s="57"/>
      <c r="CB61" s="60"/>
      <c r="CC61" s="60"/>
      <c r="CD61" s="54"/>
      <c r="CE61" s="57"/>
      <c r="CF61" s="50"/>
      <c r="CG61" s="60"/>
      <c r="CH61" s="57"/>
      <c r="CI61" s="60"/>
      <c r="CJ61" s="60"/>
      <c r="CK61" s="52">
        <f>IF(A61="",0,COUNTIF(tbl_Activites_Documents[ID Activite],A61))</f>
        <v>0</v>
      </c>
      <c r="CL61" s="52">
        <f>IF(A61="",0,COUNTIF(tbl_Activites_Risques[ID Activite],A61))</f>
        <v>0</v>
      </c>
      <c r="CM61" s="34" t="str">
        <f t="shared" si="10"/>
        <v/>
      </c>
      <c r="CN61" s="60"/>
    </row>
    <row r="62" spans="1:92" ht="30" customHeight="1">
      <c r="A62" s="34" t="str">
        <f t="shared" si="0"/>
        <v/>
      </c>
      <c r="B62" s="60"/>
      <c r="C62" s="57"/>
      <c r="D62" s="61" t="str">
        <f>IFERROR(INDEX(tbl_Projets[Titre complet du projet],MATCH(C62,tbl_Projets[ID Projet],0)),"")</f>
        <v/>
      </c>
      <c r="E62" s="34" t="str">
        <f>IFERROR(INDEX(tbl_Projets[Domaine d''intervention],MATCH(C62,tbl_Projets[ID Projet],0)),"")</f>
        <v/>
      </c>
      <c r="F62" s="34" t="str">
        <f>IFERROR(INDEX(tbl_Projets[Nom du responsable],MATCH(C62,tbl_Projets[ID Projet],0)),"")</f>
        <v/>
      </c>
      <c r="G62" s="60"/>
      <c r="H62" s="60"/>
      <c r="I62" s="60"/>
      <c r="J62" s="57"/>
      <c r="K62" s="57"/>
      <c r="L62" s="50"/>
      <c r="M62" s="62"/>
      <c r="N62" s="62"/>
      <c r="O62" s="63" t="str">
        <f t="shared" si="1"/>
        <v/>
      </c>
      <c r="P62" s="57"/>
      <c r="Q62" s="64" t="str">
        <f>IF(L62="","",INDEX(PARAMETRES!$B$53:$B$65,MONTH(L62)))</f>
        <v/>
      </c>
      <c r="R62" s="64" t="str">
        <f>IF(L62="","",INDEX(PARAMETRES!$C$53:$C$65,MONTH(L62)))</f>
        <v/>
      </c>
      <c r="S62" s="34" t="str">
        <f t="shared" si="2"/>
        <v/>
      </c>
      <c r="T62" s="50"/>
      <c r="U62" s="62"/>
      <c r="V62" s="62"/>
      <c r="W62" s="63" t="str">
        <f t="shared" si="3"/>
        <v/>
      </c>
      <c r="X62" s="57"/>
      <c r="Y62" s="54"/>
      <c r="Z62" s="57"/>
      <c r="AA62" s="52" t="str">
        <f t="shared" si="4"/>
        <v/>
      </c>
      <c r="AB62" s="34" t="str">
        <f t="shared" ca="1" si="5"/>
        <v/>
      </c>
      <c r="AC62" s="60"/>
      <c r="AD62" s="60"/>
      <c r="AE62" s="57"/>
      <c r="AF62" s="60"/>
      <c r="AG62" s="60"/>
      <c r="AH62" s="57"/>
      <c r="AI62" s="34" t="str">
        <f>IFERROR(INDEX(PARAMETRES!$B$536:$B$586,MATCH(AH62,PARAMETRES!$J$536:$J$586,0)),"")</f>
        <v/>
      </c>
      <c r="AJ62" s="34" t="str">
        <f>IFERROR(INDEX(PARAMETRES!$D$536:$D$586,MATCH(AH62,PARAMETRES!$J$536:$J$586,0)),"")</f>
        <v/>
      </c>
      <c r="AK62" s="34" t="str">
        <f>IFERROR(INDEX(PARAMETRES!$F$536:$F$586,MATCH(AH62,PARAMETRES!$J$536:$J$586,0)),"")</f>
        <v/>
      </c>
      <c r="AL62" s="34" t="str">
        <f>IFERROR(INDEX(PARAMETRES!$H$536:$H$586,MATCH(AH62,PARAMETRES!$J$536:$J$586,0)),"")</f>
        <v/>
      </c>
      <c r="AM62" s="60"/>
      <c r="AN62" s="60"/>
      <c r="AO62" s="51"/>
      <c r="AP62" s="51"/>
      <c r="AQ62" s="51"/>
      <c r="AR62" s="51"/>
      <c r="AS62" s="51"/>
      <c r="AT62" s="51"/>
      <c r="AU62" s="51"/>
      <c r="AV62" s="52">
        <f>IF(A62="",0,COUNTIFS(tbl_Beneficiaires_Activites[ID activite],A62))</f>
        <v>0</v>
      </c>
      <c r="AW62" s="51"/>
      <c r="AX62" s="51"/>
      <c r="AY62" s="51"/>
      <c r="AZ62" s="57"/>
      <c r="BA62" s="57"/>
      <c r="BB62" s="60"/>
      <c r="BC62" s="51"/>
      <c r="BD62" s="51"/>
      <c r="BE62" s="51"/>
      <c r="BF62" s="52">
        <f t="shared" si="6"/>
        <v>0</v>
      </c>
      <c r="BG62" s="53">
        <f t="shared" si="7"/>
        <v>0</v>
      </c>
      <c r="BH62" s="57"/>
      <c r="BI62" s="60"/>
      <c r="BJ62" s="51"/>
      <c r="BK62" s="51"/>
      <c r="BL62" s="57"/>
      <c r="BM62" s="60"/>
      <c r="BN62" s="60"/>
      <c r="BO62" s="60"/>
      <c r="BP62" s="60"/>
      <c r="BQ62" s="51"/>
      <c r="BR62" s="57"/>
      <c r="BS62" s="60"/>
      <c r="BT62" s="60"/>
      <c r="BU62" s="60"/>
      <c r="BV62" s="52" t="str">
        <f t="shared" si="8"/>
        <v/>
      </c>
      <c r="BW62" s="52" t="str">
        <f t="shared" si="9"/>
        <v/>
      </c>
      <c r="BX62" s="57"/>
      <c r="BY62" s="57"/>
      <c r="BZ62" s="57"/>
      <c r="CA62" s="57"/>
      <c r="CB62" s="60"/>
      <c r="CC62" s="60"/>
      <c r="CD62" s="54"/>
      <c r="CE62" s="57"/>
      <c r="CF62" s="50"/>
      <c r="CG62" s="60"/>
      <c r="CH62" s="57"/>
      <c r="CI62" s="60"/>
      <c r="CJ62" s="60"/>
      <c r="CK62" s="52">
        <f>IF(A62="",0,COUNTIF(tbl_Activites_Documents[ID Activite],A62))</f>
        <v>0</v>
      </c>
      <c r="CL62" s="52">
        <f>IF(A62="",0,COUNTIF(tbl_Activites_Risques[ID Activite],A62))</f>
        <v>0</v>
      </c>
      <c r="CM62" s="34" t="str">
        <f t="shared" si="10"/>
        <v/>
      </c>
      <c r="CN62" s="60"/>
    </row>
    <row r="63" spans="1:92" ht="30" customHeight="1">
      <c r="A63" s="34" t="str">
        <f t="shared" si="0"/>
        <v/>
      </c>
      <c r="B63" s="60"/>
      <c r="C63" s="57"/>
      <c r="D63" s="61" t="str">
        <f>IFERROR(INDEX(tbl_Projets[Titre complet du projet],MATCH(C63,tbl_Projets[ID Projet],0)),"")</f>
        <v/>
      </c>
      <c r="E63" s="34" t="str">
        <f>IFERROR(INDEX(tbl_Projets[Domaine d''intervention],MATCH(C63,tbl_Projets[ID Projet],0)),"")</f>
        <v/>
      </c>
      <c r="F63" s="34" t="str">
        <f>IFERROR(INDEX(tbl_Projets[Nom du responsable],MATCH(C63,tbl_Projets[ID Projet],0)),"")</f>
        <v/>
      </c>
      <c r="G63" s="60"/>
      <c r="H63" s="60"/>
      <c r="I63" s="60"/>
      <c r="J63" s="57"/>
      <c r="K63" s="57"/>
      <c r="L63" s="50"/>
      <c r="M63" s="62"/>
      <c r="N63" s="62"/>
      <c r="O63" s="63" t="str">
        <f t="shared" si="1"/>
        <v/>
      </c>
      <c r="P63" s="57"/>
      <c r="Q63" s="64" t="str">
        <f>IF(L63="","",INDEX(PARAMETRES!$B$53:$B$65,MONTH(L63)))</f>
        <v/>
      </c>
      <c r="R63" s="64" t="str">
        <f>IF(L63="","",INDEX(PARAMETRES!$C$53:$C$65,MONTH(L63)))</f>
        <v/>
      </c>
      <c r="S63" s="34" t="str">
        <f t="shared" si="2"/>
        <v/>
      </c>
      <c r="T63" s="50"/>
      <c r="U63" s="62"/>
      <c r="V63" s="62"/>
      <c r="W63" s="63" t="str">
        <f t="shared" si="3"/>
        <v/>
      </c>
      <c r="X63" s="57"/>
      <c r="Y63" s="54"/>
      <c r="Z63" s="57"/>
      <c r="AA63" s="52" t="str">
        <f t="shared" si="4"/>
        <v/>
      </c>
      <c r="AB63" s="34" t="str">
        <f t="shared" ca="1" si="5"/>
        <v/>
      </c>
      <c r="AC63" s="60"/>
      <c r="AD63" s="60"/>
      <c r="AE63" s="57"/>
      <c r="AF63" s="60"/>
      <c r="AG63" s="60"/>
      <c r="AH63" s="57"/>
      <c r="AI63" s="34" t="str">
        <f>IFERROR(INDEX(PARAMETRES!$B$536:$B$586,MATCH(AH63,PARAMETRES!$J$536:$J$586,0)),"")</f>
        <v/>
      </c>
      <c r="AJ63" s="34" t="str">
        <f>IFERROR(INDEX(PARAMETRES!$D$536:$D$586,MATCH(AH63,PARAMETRES!$J$536:$J$586,0)),"")</f>
        <v/>
      </c>
      <c r="AK63" s="34" t="str">
        <f>IFERROR(INDEX(PARAMETRES!$F$536:$F$586,MATCH(AH63,PARAMETRES!$J$536:$J$586,0)),"")</f>
        <v/>
      </c>
      <c r="AL63" s="34" t="str">
        <f>IFERROR(INDEX(PARAMETRES!$H$536:$H$586,MATCH(AH63,PARAMETRES!$J$536:$J$586,0)),"")</f>
        <v/>
      </c>
      <c r="AM63" s="60"/>
      <c r="AN63" s="60"/>
      <c r="AO63" s="51"/>
      <c r="AP63" s="51"/>
      <c r="AQ63" s="51"/>
      <c r="AR63" s="51"/>
      <c r="AS63" s="51"/>
      <c r="AT63" s="51"/>
      <c r="AU63" s="51"/>
      <c r="AV63" s="52">
        <f>IF(A63="",0,COUNTIFS(tbl_Beneficiaires_Activites[ID activite],A63))</f>
        <v>0</v>
      </c>
      <c r="AW63" s="51"/>
      <c r="AX63" s="51"/>
      <c r="AY63" s="51"/>
      <c r="AZ63" s="57"/>
      <c r="BA63" s="57"/>
      <c r="BB63" s="60"/>
      <c r="BC63" s="51"/>
      <c r="BD63" s="51"/>
      <c r="BE63" s="51"/>
      <c r="BF63" s="52">
        <f t="shared" si="6"/>
        <v>0</v>
      </c>
      <c r="BG63" s="53">
        <f t="shared" si="7"/>
        <v>0</v>
      </c>
      <c r="BH63" s="57"/>
      <c r="BI63" s="60"/>
      <c r="BJ63" s="51"/>
      <c r="BK63" s="51"/>
      <c r="BL63" s="57"/>
      <c r="BM63" s="60"/>
      <c r="BN63" s="60"/>
      <c r="BO63" s="60"/>
      <c r="BP63" s="60"/>
      <c r="BQ63" s="51"/>
      <c r="BR63" s="57"/>
      <c r="BS63" s="60"/>
      <c r="BT63" s="60"/>
      <c r="BU63" s="60"/>
      <c r="BV63" s="52" t="str">
        <f t="shared" si="8"/>
        <v/>
      </c>
      <c r="BW63" s="52" t="str">
        <f t="shared" si="9"/>
        <v/>
      </c>
      <c r="BX63" s="57"/>
      <c r="BY63" s="57"/>
      <c r="BZ63" s="57"/>
      <c r="CA63" s="57"/>
      <c r="CB63" s="60"/>
      <c r="CC63" s="60"/>
      <c r="CD63" s="54"/>
      <c r="CE63" s="57"/>
      <c r="CF63" s="50"/>
      <c r="CG63" s="60"/>
      <c r="CH63" s="57"/>
      <c r="CI63" s="60"/>
      <c r="CJ63" s="60"/>
      <c r="CK63" s="52">
        <f>IF(A63="",0,COUNTIF(tbl_Activites_Documents[ID Activite],A63))</f>
        <v>0</v>
      </c>
      <c r="CL63" s="52">
        <f>IF(A63="",0,COUNTIF(tbl_Activites_Risques[ID Activite],A63))</f>
        <v>0</v>
      </c>
      <c r="CM63" s="34" t="str">
        <f t="shared" si="10"/>
        <v/>
      </c>
      <c r="CN63" s="60"/>
    </row>
    <row r="64" spans="1:92" ht="30" customHeight="1">
      <c r="A64" s="34" t="str">
        <f t="shared" si="0"/>
        <v/>
      </c>
      <c r="B64" s="60"/>
      <c r="C64" s="57"/>
      <c r="D64" s="61" t="str">
        <f>IFERROR(INDEX(tbl_Projets[Titre complet du projet],MATCH(C64,tbl_Projets[ID Projet],0)),"")</f>
        <v/>
      </c>
      <c r="E64" s="34" t="str">
        <f>IFERROR(INDEX(tbl_Projets[Domaine d''intervention],MATCH(C64,tbl_Projets[ID Projet],0)),"")</f>
        <v/>
      </c>
      <c r="F64" s="34" t="str">
        <f>IFERROR(INDEX(tbl_Projets[Nom du responsable],MATCH(C64,tbl_Projets[ID Projet],0)),"")</f>
        <v/>
      </c>
      <c r="G64" s="60"/>
      <c r="H64" s="60"/>
      <c r="I64" s="60"/>
      <c r="J64" s="57"/>
      <c r="K64" s="57"/>
      <c r="L64" s="50"/>
      <c r="M64" s="62"/>
      <c r="N64" s="62"/>
      <c r="O64" s="63" t="str">
        <f t="shared" si="1"/>
        <v/>
      </c>
      <c r="P64" s="57"/>
      <c r="Q64" s="64" t="str">
        <f>IF(L64="","",INDEX(PARAMETRES!$B$53:$B$65,MONTH(L64)))</f>
        <v/>
      </c>
      <c r="R64" s="64" t="str">
        <f>IF(L64="","",INDEX(PARAMETRES!$C$53:$C$65,MONTH(L64)))</f>
        <v/>
      </c>
      <c r="S64" s="34" t="str">
        <f t="shared" si="2"/>
        <v/>
      </c>
      <c r="T64" s="50"/>
      <c r="U64" s="62"/>
      <c r="V64" s="62"/>
      <c r="W64" s="63" t="str">
        <f t="shared" si="3"/>
        <v/>
      </c>
      <c r="X64" s="57"/>
      <c r="Y64" s="54"/>
      <c r="Z64" s="57"/>
      <c r="AA64" s="52" t="str">
        <f t="shared" si="4"/>
        <v/>
      </c>
      <c r="AB64" s="34" t="str">
        <f t="shared" ca="1" si="5"/>
        <v/>
      </c>
      <c r="AC64" s="60"/>
      <c r="AD64" s="60"/>
      <c r="AE64" s="57"/>
      <c r="AF64" s="60"/>
      <c r="AG64" s="60"/>
      <c r="AH64" s="57"/>
      <c r="AI64" s="34" t="str">
        <f>IFERROR(INDEX(PARAMETRES!$B$536:$B$586,MATCH(AH64,PARAMETRES!$J$536:$J$586,0)),"")</f>
        <v/>
      </c>
      <c r="AJ64" s="34" t="str">
        <f>IFERROR(INDEX(PARAMETRES!$D$536:$D$586,MATCH(AH64,PARAMETRES!$J$536:$J$586,0)),"")</f>
        <v/>
      </c>
      <c r="AK64" s="34" t="str">
        <f>IFERROR(INDEX(PARAMETRES!$F$536:$F$586,MATCH(AH64,PARAMETRES!$J$536:$J$586,0)),"")</f>
        <v/>
      </c>
      <c r="AL64" s="34" t="str">
        <f>IFERROR(INDEX(PARAMETRES!$H$536:$H$586,MATCH(AH64,PARAMETRES!$J$536:$J$586,0)),"")</f>
        <v/>
      </c>
      <c r="AM64" s="60"/>
      <c r="AN64" s="60"/>
      <c r="AO64" s="51"/>
      <c r="AP64" s="51"/>
      <c r="AQ64" s="51"/>
      <c r="AR64" s="51"/>
      <c r="AS64" s="51"/>
      <c r="AT64" s="51"/>
      <c r="AU64" s="51"/>
      <c r="AV64" s="52">
        <f>IF(A64="",0,COUNTIFS(tbl_Beneficiaires_Activites[ID activite],A64))</f>
        <v>0</v>
      </c>
      <c r="AW64" s="51"/>
      <c r="AX64" s="51"/>
      <c r="AY64" s="51"/>
      <c r="AZ64" s="57"/>
      <c r="BA64" s="57"/>
      <c r="BB64" s="60"/>
      <c r="BC64" s="51"/>
      <c r="BD64" s="51"/>
      <c r="BE64" s="51"/>
      <c r="BF64" s="52">
        <f t="shared" si="6"/>
        <v>0</v>
      </c>
      <c r="BG64" s="53">
        <f t="shared" si="7"/>
        <v>0</v>
      </c>
      <c r="BH64" s="57"/>
      <c r="BI64" s="60"/>
      <c r="BJ64" s="51"/>
      <c r="BK64" s="51"/>
      <c r="BL64" s="57"/>
      <c r="BM64" s="60"/>
      <c r="BN64" s="60"/>
      <c r="BO64" s="60"/>
      <c r="BP64" s="60"/>
      <c r="BQ64" s="51"/>
      <c r="BR64" s="57"/>
      <c r="BS64" s="60"/>
      <c r="BT64" s="60"/>
      <c r="BU64" s="60"/>
      <c r="BV64" s="52" t="str">
        <f t="shared" si="8"/>
        <v/>
      </c>
      <c r="BW64" s="52" t="str">
        <f t="shared" si="9"/>
        <v/>
      </c>
      <c r="BX64" s="57"/>
      <c r="BY64" s="57"/>
      <c r="BZ64" s="57"/>
      <c r="CA64" s="57"/>
      <c r="CB64" s="60"/>
      <c r="CC64" s="60"/>
      <c r="CD64" s="54"/>
      <c r="CE64" s="57"/>
      <c r="CF64" s="50"/>
      <c r="CG64" s="60"/>
      <c r="CH64" s="57"/>
      <c r="CI64" s="60"/>
      <c r="CJ64" s="60"/>
      <c r="CK64" s="52">
        <f>IF(A64="",0,COUNTIF(tbl_Activites_Documents[ID Activite],A64))</f>
        <v>0</v>
      </c>
      <c r="CL64" s="52">
        <f>IF(A64="",0,COUNTIF(tbl_Activites_Risques[ID Activite],A64))</f>
        <v>0</v>
      </c>
      <c r="CM64" s="34" t="str">
        <f t="shared" si="10"/>
        <v/>
      </c>
      <c r="CN64" s="60"/>
    </row>
    <row r="65" spans="1:92" ht="30" customHeight="1">
      <c r="A65" s="34" t="str">
        <f t="shared" si="0"/>
        <v/>
      </c>
      <c r="B65" s="60"/>
      <c r="C65" s="57"/>
      <c r="D65" s="61" t="str">
        <f>IFERROR(INDEX(tbl_Projets[Titre complet du projet],MATCH(C65,tbl_Projets[ID Projet],0)),"")</f>
        <v/>
      </c>
      <c r="E65" s="34" t="str">
        <f>IFERROR(INDEX(tbl_Projets[Domaine d''intervention],MATCH(C65,tbl_Projets[ID Projet],0)),"")</f>
        <v/>
      </c>
      <c r="F65" s="34" t="str">
        <f>IFERROR(INDEX(tbl_Projets[Nom du responsable],MATCH(C65,tbl_Projets[ID Projet],0)),"")</f>
        <v/>
      </c>
      <c r="G65" s="60"/>
      <c r="H65" s="60"/>
      <c r="I65" s="60"/>
      <c r="J65" s="57"/>
      <c r="K65" s="57"/>
      <c r="L65" s="50"/>
      <c r="M65" s="62"/>
      <c r="N65" s="62"/>
      <c r="O65" s="63" t="str">
        <f t="shared" si="1"/>
        <v/>
      </c>
      <c r="P65" s="57"/>
      <c r="Q65" s="64" t="str">
        <f>IF(L65="","",INDEX(PARAMETRES!$B$53:$B$65,MONTH(L65)))</f>
        <v/>
      </c>
      <c r="R65" s="64" t="str">
        <f>IF(L65="","",INDEX(PARAMETRES!$C$53:$C$65,MONTH(L65)))</f>
        <v/>
      </c>
      <c r="S65" s="34" t="str">
        <f t="shared" si="2"/>
        <v/>
      </c>
      <c r="T65" s="50"/>
      <c r="U65" s="62"/>
      <c r="V65" s="62"/>
      <c r="W65" s="63" t="str">
        <f t="shared" si="3"/>
        <v/>
      </c>
      <c r="X65" s="57"/>
      <c r="Y65" s="54"/>
      <c r="Z65" s="57"/>
      <c r="AA65" s="52" t="str">
        <f t="shared" si="4"/>
        <v/>
      </c>
      <c r="AB65" s="34" t="str">
        <f t="shared" ca="1" si="5"/>
        <v/>
      </c>
      <c r="AC65" s="60"/>
      <c r="AD65" s="60"/>
      <c r="AE65" s="57"/>
      <c r="AF65" s="60"/>
      <c r="AG65" s="60"/>
      <c r="AH65" s="57"/>
      <c r="AI65" s="34" t="str">
        <f>IFERROR(INDEX(PARAMETRES!$B$536:$B$586,MATCH(AH65,PARAMETRES!$J$536:$J$586,0)),"")</f>
        <v/>
      </c>
      <c r="AJ65" s="34" t="str">
        <f>IFERROR(INDEX(PARAMETRES!$D$536:$D$586,MATCH(AH65,PARAMETRES!$J$536:$J$586,0)),"")</f>
        <v/>
      </c>
      <c r="AK65" s="34" t="str">
        <f>IFERROR(INDEX(PARAMETRES!$F$536:$F$586,MATCH(AH65,PARAMETRES!$J$536:$J$586,0)),"")</f>
        <v/>
      </c>
      <c r="AL65" s="34" t="str">
        <f>IFERROR(INDEX(PARAMETRES!$H$536:$H$586,MATCH(AH65,PARAMETRES!$J$536:$J$586,0)),"")</f>
        <v/>
      </c>
      <c r="AM65" s="60"/>
      <c r="AN65" s="60"/>
      <c r="AO65" s="51"/>
      <c r="AP65" s="51"/>
      <c r="AQ65" s="51"/>
      <c r="AR65" s="51"/>
      <c r="AS65" s="51"/>
      <c r="AT65" s="51"/>
      <c r="AU65" s="51"/>
      <c r="AV65" s="52">
        <f>IF(A65="",0,COUNTIFS(tbl_Beneficiaires_Activites[ID activite],A65))</f>
        <v>0</v>
      </c>
      <c r="AW65" s="51"/>
      <c r="AX65" s="51"/>
      <c r="AY65" s="51"/>
      <c r="AZ65" s="57"/>
      <c r="BA65" s="57"/>
      <c r="BB65" s="60"/>
      <c r="BC65" s="51"/>
      <c r="BD65" s="51"/>
      <c r="BE65" s="51"/>
      <c r="BF65" s="52">
        <f t="shared" si="6"/>
        <v>0</v>
      </c>
      <c r="BG65" s="53">
        <f t="shared" si="7"/>
        <v>0</v>
      </c>
      <c r="BH65" s="57"/>
      <c r="BI65" s="60"/>
      <c r="BJ65" s="51"/>
      <c r="BK65" s="51"/>
      <c r="BL65" s="57"/>
      <c r="BM65" s="60"/>
      <c r="BN65" s="60"/>
      <c r="BO65" s="60"/>
      <c r="BP65" s="60"/>
      <c r="BQ65" s="51"/>
      <c r="BR65" s="57"/>
      <c r="BS65" s="60"/>
      <c r="BT65" s="60"/>
      <c r="BU65" s="60"/>
      <c r="BV65" s="52" t="str">
        <f t="shared" si="8"/>
        <v/>
      </c>
      <c r="BW65" s="52" t="str">
        <f t="shared" si="9"/>
        <v/>
      </c>
      <c r="BX65" s="57"/>
      <c r="BY65" s="57"/>
      <c r="BZ65" s="57"/>
      <c r="CA65" s="57"/>
      <c r="CB65" s="60"/>
      <c r="CC65" s="60"/>
      <c r="CD65" s="54"/>
      <c r="CE65" s="57"/>
      <c r="CF65" s="50"/>
      <c r="CG65" s="60"/>
      <c r="CH65" s="57"/>
      <c r="CI65" s="60"/>
      <c r="CJ65" s="60"/>
      <c r="CK65" s="52">
        <f>IF(A65="",0,COUNTIF(tbl_Activites_Documents[ID Activite],A65))</f>
        <v>0</v>
      </c>
      <c r="CL65" s="52">
        <f>IF(A65="",0,COUNTIF(tbl_Activites_Risques[ID Activite],A65))</f>
        <v>0</v>
      </c>
      <c r="CM65" s="34" t="str">
        <f t="shared" si="10"/>
        <v/>
      </c>
      <c r="CN65" s="60"/>
    </row>
    <row r="66" spans="1:92" ht="30" customHeight="1">
      <c r="A66" s="34" t="str">
        <f t="shared" si="0"/>
        <v/>
      </c>
      <c r="B66" s="60"/>
      <c r="C66" s="57"/>
      <c r="D66" s="61" t="str">
        <f>IFERROR(INDEX(tbl_Projets[Titre complet du projet],MATCH(C66,tbl_Projets[ID Projet],0)),"")</f>
        <v/>
      </c>
      <c r="E66" s="34" t="str">
        <f>IFERROR(INDEX(tbl_Projets[Domaine d''intervention],MATCH(C66,tbl_Projets[ID Projet],0)),"")</f>
        <v/>
      </c>
      <c r="F66" s="34" t="str">
        <f>IFERROR(INDEX(tbl_Projets[Nom du responsable],MATCH(C66,tbl_Projets[ID Projet],0)),"")</f>
        <v/>
      </c>
      <c r="G66" s="60"/>
      <c r="H66" s="60"/>
      <c r="I66" s="60"/>
      <c r="J66" s="57"/>
      <c r="K66" s="57"/>
      <c r="L66" s="50"/>
      <c r="M66" s="62"/>
      <c r="N66" s="62"/>
      <c r="O66" s="63" t="str">
        <f t="shared" si="1"/>
        <v/>
      </c>
      <c r="P66" s="57"/>
      <c r="Q66" s="64" t="str">
        <f>IF(L66="","",INDEX(PARAMETRES!$B$53:$B$65,MONTH(L66)))</f>
        <v/>
      </c>
      <c r="R66" s="64" t="str">
        <f>IF(L66="","",INDEX(PARAMETRES!$C$53:$C$65,MONTH(L66)))</f>
        <v/>
      </c>
      <c r="S66" s="34" t="str">
        <f t="shared" si="2"/>
        <v/>
      </c>
      <c r="T66" s="50"/>
      <c r="U66" s="62"/>
      <c r="V66" s="62"/>
      <c r="W66" s="63" t="str">
        <f t="shared" si="3"/>
        <v/>
      </c>
      <c r="X66" s="57"/>
      <c r="Y66" s="54"/>
      <c r="Z66" s="57"/>
      <c r="AA66" s="52" t="str">
        <f t="shared" si="4"/>
        <v/>
      </c>
      <c r="AB66" s="34" t="str">
        <f t="shared" ca="1" si="5"/>
        <v/>
      </c>
      <c r="AC66" s="60"/>
      <c r="AD66" s="60"/>
      <c r="AE66" s="57"/>
      <c r="AF66" s="60"/>
      <c r="AG66" s="60"/>
      <c r="AH66" s="57"/>
      <c r="AI66" s="34" t="str">
        <f>IFERROR(INDEX(PARAMETRES!$B$536:$B$586,MATCH(AH66,PARAMETRES!$J$536:$J$586,0)),"")</f>
        <v/>
      </c>
      <c r="AJ66" s="34" t="str">
        <f>IFERROR(INDEX(PARAMETRES!$D$536:$D$586,MATCH(AH66,PARAMETRES!$J$536:$J$586,0)),"")</f>
        <v/>
      </c>
      <c r="AK66" s="34" t="str">
        <f>IFERROR(INDEX(PARAMETRES!$F$536:$F$586,MATCH(AH66,PARAMETRES!$J$536:$J$586,0)),"")</f>
        <v/>
      </c>
      <c r="AL66" s="34" t="str">
        <f>IFERROR(INDEX(PARAMETRES!$H$536:$H$586,MATCH(AH66,PARAMETRES!$J$536:$J$586,0)),"")</f>
        <v/>
      </c>
      <c r="AM66" s="60"/>
      <c r="AN66" s="60"/>
      <c r="AO66" s="51"/>
      <c r="AP66" s="51"/>
      <c r="AQ66" s="51"/>
      <c r="AR66" s="51"/>
      <c r="AS66" s="51"/>
      <c r="AT66" s="51"/>
      <c r="AU66" s="51"/>
      <c r="AV66" s="52">
        <f>IF(A66="",0,COUNTIFS(tbl_Beneficiaires_Activites[ID activite],A66))</f>
        <v>0</v>
      </c>
      <c r="AW66" s="51"/>
      <c r="AX66" s="51"/>
      <c r="AY66" s="51"/>
      <c r="AZ66" s="57"/>
      <c r="BA66" s="57"/>
      <c r="BB66" s="60"/>
      <c r="BC66" s="51"/>
      <c r="BD66" s="51"/>
      <c r="BE66" s="51"/>
      <c r="BF66" s="52">
        <f t="shared" si="6"/>
        <v>0</v>
      </c>
      <c r="BG66" s="53">
        <f t="shared" si="7"/>
        <v>0</v>
      </c>
      <c r="BH66" s="57"/>
      <c r="BI66" s="60"/>
      <c r="BJ66" s="51"/>
      <c r="BK66" s="51"/>
      <c r="BL66" s="57"/>
      <c r="BM66" s="60"/>
      <c r="BN66" s="60"/>
      <c r="BO66" s="60"/>
      <c r="BP66" s="60"/>
      <c r="BQ66" s="51"/>
      <c r="BR66" s="57"/>
      <c r="BS66" s="60"/>
      <c r="BT66" s="60"/>
      <c r="BU66" s="60"/>
      <c r="BV66" s="52" t="str">
        <f t="shared" si="8"/>
        <v/>
      </c>
      <c r="BW66" s="52" t="str">
        <f t="shared" si="9"/>
        <v/>
      </c>
      <c r="BX66" s="57"/>
      <c r="BY66" s="57"/>
      <c r="BZ66" s="57"/>
      <c r="CA66" s="57"/>
      <c r="CB66" s="60"/>
      <c r="CC66" s="60"/>
      <c r="CD66" s="54"/>
      <c r="CE66" s="57"/>
      <c r="CF66" s="50"/>
      <c r="CG66" s="60"/>
      <c r="CH66" s="57"/>
      <c r="CI66" s="60"/>
      <c r="CJ66" s="60"/>
      <c r="CK66" s="52">
        <f>IF(A66="",0,COUNTIF(tbl_Activites_Documents[ID Activite],A66))</f>
        <v>0</v>
      </c>
      <c r="CL66" s="52">
        <f>IF(A66="",0,COUNTIF(tbl_Activites_Risques[ID Activite],A66))</f>
        <v>0</v>
      </c>
      <c r="CM66" s="34" t="str">
        <f t="shared" si="10"/>
        <v/>
      </c>
      <c r="CN66" s="60"/>
    </row>
    <row r="67" spans="1:92" ht="30" customHeight="1">
      <c r="A67" s="34" t="str">
        <f t="shared" si="0"/>
        <v/>
      </c>
      <c r="B67" s="60"/>
      <c r="C67" s="57"/>
      <c r="D67" s="61" t="str">
        <f>IFERROR(INDEX(tbl_Projets[Titre complet du projet],MATCH(C67,tbl_Projets[ID Projet],0)),"")</f>
        <v/>
      </c>
      <c r="E67" s="34" t="str">
        <f>IFERROR(INDEX(tbl_Projets[Domaine d''intervention],MATCH(C67,tbl_Projets[ID Projet],0)),"")</f>
        <v/>
      </c>
      <c r="F67" s="34" t="str">
        <f>IFERROR(INDEX(tbl_Projets[Nom du responsable],MATCH(C67,tbl_Projets[ID Projet],0)),"")</f>
        <v/>
      </c>
      <c r="G67" s="60"/>
      <c r="H67" s="60"/>
      <c r="I67" s="60"/>
      <c r="J67" s="57"/>
      <c r="K67" s="57"/>
      <c r="L67" s="50"/>
      <c r="M67" s="62"/>
      <c r="N67" s="62"/>
      <c r="O67" s="63" t="str">
        <f t="shared" si="1"/>
        <v/>
      </c>
      <c r="P67" s="57"/>
      <c r="Q67" s="64" t="str">
        <f>IF(L67="","",INDEX(PARAMETRES!$B$53:$B$65,MONTH(L67)))</f>
        <v/>
      </c>
      <c r="R67" s="64" t="str">
        <f>IF(L67="","",INDEX(PARAMETRES!$C$53:$C$65,MONTH(L67)))</f>
        <v/>
      </c>
      <c r="S67" s="34" t="str">
        <f t="shared" si="2"/>
        <v/>
      </c>
      <c r="T67" s="50"/>
      <c r="U67" s="62"/>
      <c r="V67" s="62"/>
      <c r="W67" s="63" t="str">
        <f t="shared" si="3"/>
        <v/>
      </c>
      <c r="X67" s="57"/>
      <c r="Y67" s="54"/>
      <c r="Z67" s="57"/>
      <c r="AA67" s="52" t="str">
        <f t="shared" si="4"/>
        <v/>
      </c>
      <c r="AB67" s="34" t="str">
        <f t="shared" ca="1" si="5"/>
        <v/>
      </c>
      <c r="AC67" s="60"/>
      <c r="AD67" s="60"/>
      <c r="AE67" s="57"/>
      <c r="AF67" s="60"/>
      <c r="AG67" s="60"/>
      <c r="AH67" s="57"/>
      <c r="AI67" s="34" t="str">
        <f>IFERROR(INDEX(PARAMETRES!$B$536:$B$586,MATCH(AH67,PARAMETRES!$J$536:$J$586,0)),"")</f>
        <v/>
      </c>
      <c r="AJ67" s="34" t="str">
        <f>IFERROR(INDEX(PARAMETRES!$D$536:$D$586,MATCH(AH67,PARAMETRES!$J$536:$J$586,0)),"")</f>
        <v/>
      </c>
      <c r="AK67" s="34" t="str">
        <f>IFERROR(INDEX(PARAMETRES!$F$536:$F$586,MATCH(AH67,PARAMETRES!$J$536:$J$586,0)),"")</f>
        <v/>
      </c>
      <c r="AL67" s="34" t="str">
        <f>IFERROR(INDEX(PARAMETRES!$H$536:$H$586,MATCH(AH67,PARAMETRES!$J$536:$J$586,0)),"")</f>
        <v/>
      </c>
      <c r="AM67" s="60"/>
      <c r="AN67" s="60"/>
      <c r="AO67" s="51"/>
      <c r="AP67" s="51"/>
      <c r="AQ67" s="51"/>
      <c r="AR67" s="51"/>
      <c r="AS67" s="51"/>
      <c r="AT67" s="51"/>
      <c r="AU67" s="51"/>
      <c r="AV67" s="52">
        <f>IF(A67="",0,COUNTIFS(tbl_Beneficiaires_Activites[ID activite],A67))</f>
        <v>0</v>
      </c>
      <c r="AW67" s="51"/>
      <c r="AX67" s="51"/>
      <c r="AY67" s="51"/>
      <c r="AZ67" s="57"/>
      <c r="BA67" s="57"/>
      <c r="BB67" s="60"/>
      <c r="BC67" s="51"/>
      <c r="BD67" s="51"/>
      <c r="BE67" s="51"/>
      <c r="BF67" s="52">
        <f t="shared" si="6"/>
        <v>0</v>
      </c>
      <c r="BG67" s="53">
        <f t="shared" si="7"/>
        <v>0</v>
      </c>
      <c r="BH67" s="57"/>
      <c r="BI67" s="60"/>
      <c r="BJ67" s="51"/>
      <c r="BK67" s="51"/>
      <c r="BL67" s="57"/>
      <c r="BM67" s="60"/>
      <c r="BN67" s="60"/>
      <c r="BO67" s="60"/>
      <c r="BP67" s="60"/>
      <c r="BQ67" s="51"/>
      <c r="BR67" s="57"/>
      <c r="BS67" s="60"/>
      <c r="BT67" s="60"/>
      <c r="BU67" s="60"/>
      <c r="BV67" s="52" t="str">
        <f t="shared" si="8"/>
        <v/>
      </c>
      <c r="BW67" s="52" t="str">
        <f t="shared" si="9"/>
        <v/>
      </c>
      <c r="BX67" s="57"/>
      <c r="BY67" s="57"/>
      <c r="BZ67" s="57"/>
      <c r="CA67" s="57"/>
      <c r="CB67" s="60"/>
      <c r="CC67" s="60"/>
      <c r="CD67" s="54"/>
      <c r="CE67" s="57"/>
      <c r="CF67" s="50"/>
      <c r="CG67" s="60"/>
      <c r="CH67" s="57"/>
      <c r="CI67" s="60"/>
      <c r="CJ67" s="60"/>
      <c r="CK67" s="52">
        <f>IF(A67="",0,COUNTIF(tbl_Activites_Documents[ID Activite],A67))</f>
        <v>0</v>
      </c>
      <c r="CL67" s="52">
        <f>IF(A67="",0,COUNTIF(tbl_Activites_Risques[ID Activite],A67))</f>
        <v>0</v>
      </c>
      <c r="CM67" s="34" t="str">
        <f t="shared" si="10"/>
        <v/>
      </c>
      <c r="CN67" s="60"/>
    </row>
    <row r="68" spans="1:92" ht="30" customHeight="1">
      <c r="A68" s="34" t="str">
        <f t="shared" si="0"/>
        <v/>
      </c>
      <c r="B68" s="60"/>
      <c r="C68" s="57"/>
      <c r="D68" s="61" t="str">
        <f>IFERROR(INDEX(tbl_Projets[Titre complet du projet],MATCH(C68,tbl_Projets[ID Projet],0)),"")</f>
        <v/>
      </c>
      <c r="E68" s="34" t="str">
        <f>IFERROR(INDEX(tbl_Projets[Domaine d''intervention],MATCH(C68,tbl_Projets[ID Projet],0)),"")</f>
        <v/>
      </c>
      <c r="F68" s="34" t="str">
        <f>IFERROR(INDEX(tbl_Projets[Nom du responsable],MATCH(C68,tbl_Projets[ID Projet],0)),"")</f>
        <v/>
      </c>
      <c r="G68" s="60"/>
      <c r="H68" s="60"/>
      <c r="I68" s="60"/>
      <c r="J68" s="57"/>
      <c r="K68" s="57"/>
      <c r="L68" s="50"/>
      <c r="M68" s="62"/>
      <c r="N68" s="62"/>
      <c r="O68" s="63" t="str">
        <f t="shared" si="1"/>
        <v/>
      </c>
      <c r="P68" s="57"/>
      <c r="Q68" s="64" t="str">
        <f>IF(L68="","",INDEX(PARAMETRES!$B$53:$B$65,MONTH(L68)))</f>
        <v/>
      </c>
      <c r="R68" s="64" t="str">
        <f>IF(L68="","",INDEX(PARAMETRES!$C$53:$C$65,MONTH(L68)))</f>
        <v/>
      </c>
      <c r="S68" s="34" t="str">
        <f t="shared" si="2"/>
        <v/>
      </c>
      <c r="T68" s="50"/>
      <c r="U68" s="62"/>
      <c r="V68" s="62"/>
      <c r="W68" s="63" t="str">
        <f t="shared" si="3"/>
        <v/>
      </c>
      <c r="X68" s="57"/>
      <c r="Y68" s="54"/>
      <c r="Z68" s="57"/>
      <c r="AA68" s="52" t="str">
        <f t="shared" si="4"/>
        <v/>
      </c>
      <c r="AB68" s="34" t="str">
        <f t="shared" ca="1" si="5"/>
        <v/>
      </c>
      <c r="AC68" s="60"/>
      <c r="AD68" s="60"/>
      <c r="AE68" s="57"/>
      <c r="AF68" s="60"/>
      <c r="AG68" s="60"/>
      <c r="AH68" s="57"/>
      <c r="AI68" s="34" t="str">
        <f>IFERROR(INDEX(PARAMETRES!$B$536:$B$586,MATCH(AH68,PARAMETRES!$J$536:$J$586,0)),"")</f>
        <v/>
      </c>
      <c r="AJ68" s="34" t="str">
        <f>IFERROR(INDEX(PARAMETRES!$D$536:$D$586,MATCH(AH68,PARAMETRES!$J$536:$J$586,0)),"")</f>
        <v/>
      </c>
      <c r="AK68" s="34" t="str">
        <f>IFERROR(INDEX(PARAMETRES!$F$536:$F$586,MATCH(AH68,PARAMETRES!$J$536:$J$586,0)),"")</f>
        <v/>
      </c>
      <c r="AL68" s="34" t="str">
        <f>IFERROR(INDEX(PARAMETRES!$H$536:$H$586,MATCH(AH68,PARAMETRES!$J$536:$J$586,0)),"")</f>
        <v/>
      </c>
      <c r="AM68" s="60"/>
      <c r="AN68" s="60"/>
      <c r="AO68" s="51"/>
      <c r="AP68" s="51"/>
      <c r="AQ68" s="51"/>
      <c r="AR68" s="51"/>
      <c r="AS68" s="51"/>
      <c r="AT68" s="51"/>
      <c r="AU68" s="51"/>
      <c r="AV68" s="52">
        <f>IF(A68="",0,COUNTIFS(tbl_Beneficiaires_Activites[ID activite],A68))</f>
        <v>0</v>
      </c>
      <c r="AW68" s="51"/>
      <c r="AX68" s="51"/>
      <c r="AY68" s="51"/>
      <c r="AZ68" s="57"/>
      <c r="BA68" s="57"/>
      <c r="BB68" s="60"/>
      <c r="BC68" s="51"/>
      <c r="BD68" s="51"/>
      <c r="BE68" s="51"/>
      <c r="BF68" s="52">
        <f t="shared" si="6"/>
        <v>0</v>
      </c>
      <c r="BG68" s="53">
        <f t="shared" si="7"/>
        <v>0</v>
      </c>
      <c r="BH68" s="57"/>
      <c r="BI68" s="60"/>
      <c r="BJ68" s="51"/>
      <c r="BK68" s="51"/>
      <c r="BL68" s="57"/>
      <c r="BM68" s="60"/>
      <c r="BN68" s="60"/>
      <c r="BO68" s="60"/>
      <c r="BP68" s="60"/>
      <c r="BQ68" s="51"/>
      <c r="BR68" s="57"/>
      <c r="BS68" s="60"/>
      <c r="BT68" s="60"/>
      <c r="BU68" s="60"/>
      <c r="BV68" s="52" t="str">
        <f t="shared" si="8"/>
        <v/>
      </c>
      <c r="BW68" s="52" t="str">
        <f t="shared" si="9"/>
        <v/>
      </c>
      <c r="BX68" s="57"/>
      <c r="BY68" s="57"/>
      <c r="BZ68" s="57"/>
      <c r="CA68" s="57"/>
      <c r="CB68" s="60"/>
      <c r="CC68" s="60"/>
      <c r="CD68" s="54"/>
      <c r="CE68" s="57"/>
      <c r="CF68" s="50"/>
      <c r="CG68" s="60"/>
      <c r="CH68" s="57"/>
      <c r="CI68" s="60"/>
      <c r="CJ68" s="60"/>
      <c r="CK68" s="52">
        <f>IF(A68="",0,COUNTIF(tbl_Activites_Documents[ID Activite],A68))</f>
        <v>0</v>
      </c>
      <c r="CL68" s="52">
        <f>IF(A68="",0,COUNTIF(tbl_Activites_Risques[ID Activite],A68))</f>
        <v>0</v>
      </c>
      <c r="CM68" s="34" t="str">
        <f t="shared" si="10"/>
        <v/>
      </c>
      <c r="CN68" s="60"/>
    </row>
    <row r="69" spans="1:92" ht="30" customHeight="1">
      <c r="A69" s="34" t="str">
        <f t="shared" si="0"/>
        <v/>
      </c>
      <c r="B69" s="60"/>
      <c r="C69" s="57"/>
      <c r="D69" s="61" t="str">
        <f>IFERROR(INDEX(tbl_Projets[Titre complet du projet],MATCH(C69,tbl_Projets[ID Projet],0)),"")</f>
        <v/>
      </c>
      <c r="E69" s="34" t="str">
        <f>IFERROR(INDEX(tbl_Projets[Domaine d''intervention],MATCH(C69,tbl_Projets[ID Projet],0)),"")</f>
        <v/>
      </c>
      <c r="F69" s="34" t="str">
        <f>IFERROR(INDEX(tbl_Projets[Nom du responsable],MATCH(C69,tbl_Projets[ID Projet],0)),"")</f>
        <v/>
      </c>
      <c r="G69" s="60"/>
      <c r="H69" s="60"/>
      <c r="I69" s="60"/>
      <c r="J69" s="57"/>
      <c r="K69" s="57"/>
      <c r="L69" s="50"/>
      <c r="M69" s="62"/>
      <c r="N69" s="62"/>
      <c r="O69" s="63" t="str">
        <f t="shared" si="1"/>
        <v/>
      </c>
      <c r="P69" s="57"/>
      <c r="Q69" s="64" t="str">
        <f>IF(L69="","",INDEX(PARAMETRES!$B$53:$B$65,MONTH(L69)))</f>
        <v/>
      </c>
      <c r="R69" s="64" t="str">
        <f>IF(L69="","",INDEX(PARAMETRES!$C$53:$C$65,MONTH(L69)))</f>
        <v/>
      </c>
      <c r="S69" s="34" t="str">
        <f t="shared" si="2"/>
        <v/>
      </c>
      <c r="T69" s="50"/>
      <c r="U69" s="62"/>
      <c r="V69" s="62"/>
      <c r="W69" s="63" t="str">
        <f t="shared" si="3"/>
        <v/>
      </c>
      <c r="X69" s="57"/>
      <c r="Y69" s="54"/>
      <c r="Z69" s="57"/>
      <c r="AA69" s="52" t="str">
        <f t="shared" si="4"/>
        <v/>
      </c>
      <c r="AB69" s="34" t="str">
        <f t="shared" ca="1" si="5"/>
        <v/>
      </c>
      <c r="AC69" s="60"/>
      <c r="AD69" s="60"/>
      <c r="AE69" s="57"/>
      <c r="AF69" s="60"/>
      <c r="AG69" s="60"/>
      <c r="AH69" s="57"/>
      <c r="AI69" s="34" t="str">
        <f>IFERROR(INDEX(PARAMETRES!$B$536:$B$586,MATCH(AH69,PARAMETRES!$J$536:$J$586,0)),"")</f>
        <v/>
      </c>
      <c r="AJ69" s="34" t="str">
        <f>IFERROR(INDEX(PARAMETRES!$D$536:$D$586,MATCH(AH69,PARAMETRES!$J$536:$J$586,0)),"")</f>
        <v/>
      </c>
      <c r="AK69" s="34" t="str">
        <f>IFERROR(INDEX(PARAMETRES!$F$536:$F$586,MATCH(AH69,PARAMETRES!$J$536:$J$586,0)),"")</f>
        <v/>
      </c>
      <c r="AL69" s="34" t="str">
        <f>IFERROR(INDEX(PARAMETRES!$H$536:$H$586,MATCH(AH69,PARAMETRES!$J$536:$J$586,0)),"")</f>
        <v/>
      </c>
      <c r="AM69" s="60"/>
      <c r="AN69" s="60"/>
      <c r="AO69" s="51"/>
      <c r="AP69" s="51"/>
      <c r="AQ69" s="51"/>
      <c r="AR69" s="51"/>
      <c r="AS69" s="51"/>
      <c r="AT69" s="51"/>
      <c r="AU69" s="51"/>
      <c r="AV69" s="52">
        <f>IF(A69="",0,COUNTIFS(tbl_Beneficiaires_Activites[ID activite],A69))</f>
        <v>0</v>
      </c>
      <c r="AW69" s="51"/>
      <c r="AX69" s="51"/>
      <c r="AY69" s="51"/>
      <c r="AZ69" s="57"/>
      <c r="BA69" s="57"/>
      <c r="BB69" s="60"/>
      <c r="BC69" s="51"/>
      <c r="BD69" s="51"/>
      <c r="BE69" s="51"/>
      <c r="BF69" s="52">
        <f t="shared" si="6"/>
        <v>0</v>
      </c>
      <c r="BG69" s="53">
        <f t="shared" si="7"/>
        <v>0</v>
      </c>
      <c r="BH69" s="57"/>
      <c r="BI69" s="60"/>
      <c r="BJ69" s="51"/>
      <c r="BK69" s="51"/>
      <c r="BL69" s="57"/>
      <c r="BM69" s="60"/>
      <c r="BN69" s="60"/>
      <c r="BO69" s="60"/>
      <c r="BP69" s="60"/>
      <c r="BQ69" s="51"/>
      <c r="BR69" s="57"/>
      <c r="BS69" s="60"/>
      <c r="BT69" s="60"/>
      <c r="BU69" s="60"/>
      <c r="BV69" s="52" t="str">
        <f t="shared" si="8"/>
        <v/>
      </c>
      <c r="BW69" s="52" t="str">
        <f t="shared" si="9"/>
        <v/>
      </c>
      <c r="BX69" s="57"/>
      <c r="BY69" s="57"/>
      <c r="BZ69" s="57"/>
      <c r="CA69" s="57"/>
      <c r="CB69" s="60"/>
      <c r="CC69" s="60"/>
      <c r="CD69" s="54"/>
      <c r="CE69" s="57"/>
      <c r="CF69" s="50"/>
      <c r="CG69" s="60"/>
      <c r="CH69" s="57"/>
      <c r="CI69" s="60"/>
      <c r="CJ69" s="60"/>
      <c r="CK69" s="52">
        <f>IF(A69="",0,COUNTIF(tbl_Activites_Documents[ID Activite],A69))</f>
        <v>0</v>
      </c>
      <c r="CL69" s="52">
        <f>IF(A69="",0,COUNTIF(tbl_Activites_Risques[ID Activite],A69))</f>
        <v>0</v>
      </c>
      <c r="CM69" s="34" t="str">
        <f t="shared" si="10"/>
        <v/>
      </c>
      <c r="CN69" s="60"/>
    </row>
    <row r="70" spans="1:92" ht="30" customHeight="1">
      <c r="A70" s="34" t="str">
        <f t="shared" si="0"/>
        <v/>
      </c>
      <c r="B70" s="60"/>
      <c r="C70" s="57"/>
      <c r="D70" s="61" t="str">
        <f>IFERROR(INDEX(tbl_Projets[Titre complet du projet],MATCH(C70,tbl_Projets[ID Projet],0)),"")</f>
        <v/>
      </c>
      <c r="E70" s="34" t="str">
        <f>IFERROR(INDEX(tbl_Projets[Domaine d''intervention],MATCH(C70,tbl_Projets[ID Projet],0)),"")</f>
        <v/>
      </c>
      <c r="F70" s="34" t="str">
        <f>IFERROR(INDEX(tbl_Projets[Nom du responsable],MATCH(C70,tbl_Projets[ID Projet],0)),"")</f>
        <v/>
      </c>
      <c r="G70" s="60"/>
      <c r="H70" s="60"/>
      <c r="I70" s="60"/>
      <c r="J70" s="57"/>
      <c r="K70" s="57"/>
      <c r="L70" s="50"/>
      <c r="M70" s="62"/>
      <c r="N70" s="62"/>
      <c r="O70" s="63" t="str">
        <f t="shared" si="1"/>
        <v/>
      </c>
      <c r="P70" s="57"/>
      <c r="Q70" s="64" t="str">
        <f>IF(L70="","",INDEX(PARAMETRES!$B$53:$B$65,MONTH(L70)))</f>
        <v/>
      </c>
      <c r="R70" s="64" t="str">
        <f>IF(L70="","",INDEX(PARAMETRES!$C$53:$C$65,MONTH(L70)))</f>
        <v/>
      </c>
      <c r="S70" s="34" t="str">
        <f t="shared" si="2"/>
        <v/>
      </c>
      <c r="T70" s="50"/>
      <c r="U70" s="62"/>
      <c r="V70" s="62"/>
      <c r="W70" s="63" t="str">
        <f t="shared" si="3"/>
        <v/>
      </c>
      <c r="X70" s="57"/>
      <c r="Y70" s="54"/>
      <c r="Z70" s="57"/>
      <c r="AA70" s="52" t="str">
        <f t="shared" si="4"/>
        <v/>
      </c>
      <c r="AB70" s="34" t="str">
        <f t="shared" ca="1" si="5"/>
        <v/>
      </c>
      <c r="AC70" s="60"/>
      <c r="AD70" s="60"/>
      <c r="AE70" s="57"/>
      <c r="AF70" s="60"/>
      <c r="AG70" s="60"/>
      <c r="AH70" s="57"/>
      <c r="AI70" s="34" t="str">
        <f>IFERROR(INDEX(PARAMETRES!$B$536:$B$586,MATCH(AH70,PARAMETRES!$J$536:$J$586,0)),"")</f>
        <v/>
      </c>
      <c r="AJ70" s="34" t="str">
        <f>IFERROR(INDEX(PARAMETRES!$D$536:$D$586,MATCH(AH70,PARAMETRES!$J$536:$J$586,0)),"")</f>
        <v/>
      </c>
      <c r="AK70" s="34" t="str">
        <f>IFERROR(INDEX(PARAMETRES!$F$536:$F$586,MATCH(AH70,PARAMETRES!$J$536:$J$586,0)),"")</f>
        <v/>
      </c>
      <c r="AL70" s="34" t="str">
        <f>IFERROR(INDEX(PARAMETRES!$H$536:$H$586,MATCH(AH70,PARAMETRES!$J$536:$J$586,0)),"")</f>
        <v/>
      </c>
      <c r="AM70" s="60"/>
      <c r="AN70" s="60"/>
      <c r="AO70" s="51"/>
      <c r="AP70" s="51"/>
      <c r="AQ70" s="51"/>
      <c r="AR70" s="51"/>
      <c r="AS70" s="51"/>
      <c r="AT70" s="51"/>
      <c r="AU70" s="51"/>
      <c r="AV70" s="52">
        <f>IF(A70="",0,COUNTIFS(tbl_Beneficiaires_Activites[ID activite],A70))</f>
        <v>0</v>
      </c>
      <c r="AW70" s="51"/>
      <c r="AX70" s="51"/>
      <c r="AY70" s="51"/>
      <c r="AZ70" s="57"/>
      <c r="BA70" s="57"/>
      <c r="BB70" s="60"/>
      <c r="BC70" s="51"/>
      <c r="BD70" s="51"/>
      <c r="BE70" s="51"/>
      <c r="BF70" s="52">
        <f t="shared" si="6"/>
        <v>0</v>
      </c>
      <c r="BG70" s="53">
        <f t="shared" si="7"/>
        <v>0</v>
      </c>
      <c r="BH70" s="57"/>
      <c r="BI70" s="60"/>
      <c r="BJ70" s="51"/>
      <c r="BK70" s="51"/>
      <c r="BL70" s="57"/>
      <c r="BM70" s="60"/>
      <c r="BN70" s="60"/>
      <c r="BO70" s="60"/>
      <c r="BP70" s="60"/>
      <c r="BQ70" s="51"/>
      <c r="BR70" s="57"/>
      <c r="BS70" s="60"/>
      <c r="BT70" s="60"/>
      <c r="BU70" s="60"/>
      <c r="BV70" s="52" t="str">
        <f t="shared" si="8"/>
        <v/>
      </c>
      <c r="BW70" s="52" t="str">
        <f t="shared" si="9"/>
        <v/>
      </c>
      <c r="BX70" s="57"/>
      <c r="BY70" s="57"/>
      <c r="BZ70" s="57"/>
      <c r="CA70" s="57"/>
      <c r="CB70" s="60"/>
      <c r="CC70" s="60"/>
      <c r="CD70" s="54"/>
      <c r="CE70" s="57"/>
      <c r="CF70" s="50"/>
      <c r="CG70" s="60"/>
      <c r="CH70" s="57"/>
      <c r="CI70" s="60"/>
      <c r="CJ70" s="60"/>
      <c r="CK70" s="52">
        <f>IF(A70="",0,COUNTIF(tbl_Activites_Documents[ID Activite],A70))</f>
        <v>0</v>
      </c>
      <c r="CL70" s="52">
        <f>IF(A70="",0,COUNTIF(tbl_Activites_Risques[ID Activite],A70))</f>
        <v>0</v>
      </c>
      <c r="CM70" s="34" t="str">
        <f t="shared" si="10"/>
        <v/>
      </c>
      <c r="CN70" s="60"/>
    </row>
    <row r="71" spans="1:92" ht="30" customHeight="1">
      <c r="A71" s="34" t="str">
        <f t="shared" si="0"/>
        <v/>
      </c>
      <c r="B71" s="60"/>
      <c r="C71" s="57"/>
      <c r="D71" s="61" t="str">
        <f>IFERROR(INDEX(tbl_Projets[Titre complet du projet],MATCH(C71,tbl_Projets[ID Projet],0)),"")</f>
        <v/>
      </c>
      <c r="E71" s="34" t="str">
        <f>IFERROR(INDEX(tbl_Projets[Domaine d''intervention],MATCH(C71,tbl_Projets[ID Projet],0)),"")</f>
        <v/>
      </c>
      <c r="F71" s="34" t="str">
        <f>IFERROR(INDEX(tbl_Projets[Nom du responsable],MATCH(C71,tbl_Projets[ID Projet],0)),"")</f>
        <v/>
      </c>
      <c r="G71" s="60"/>
      <c r="H71" s="60"/>
      <c r="I71" s="60"/>
      <c r="J71" s="57"/>
      <c r="K71" s="57"/>
      <c r="L71" s="50"/>
      <c r="M71" s="62"/>
      <c r="N71" s="62"/>
      <c r="O71" s="63" t="str">
        <f t="shared" si="1"/>
        <v/>
      </c>
      <c r="P71" s="57"/>
      <c r="Q71" s="64" t="str">
        <f>IF(L71="","",INDEX(PARAMETRES!$B$53:$B$65,MONTH(L71)))</f>
        <v/>
      </c>
      <c r="R71" s="64" t="str">
        <f>IF(L71="","",INDEX(PARAMETRES!$C$53:$C$65,MONTH(L71)))</f>
        <v/>
      </c>
      <c r="S71" s="34" t="str">
        <f t="shared" si="2"/>
        <v/>
      </c>
      <c r="T71" s="50"/>
      <c r="U71" s="62"/>
      <c r="V71" s="62"/>
      <c r="W71" s="63" t="str">
        <f t="shared" si="3"/>
        <v/>
      </c>
      <c r="X71" s="57"/>
      <c r="Y71" s="54"/>
      <c r="Z71" s="57"/>
      <c r="AA71" s="52" t="str">
        <f t="shared" si="4"/>
        <v/>
      </c>
      <c r="AB71" s="34" t="str">
        <f t="shared" ca="1" si="5"/>
        <v/>
      </c>
      <c r="AC71" s="60"/>
      <c r="AD71" s="60"/>
      <c r="AE71" s="57"/>
      <c r="AF71" s="60"/>
      <c r="AG71" s="60"/>
      <c r="AH71" s="57"/>
      <c r="AI71" s="34" t="str">
        <f>IFERROR(INDEX(PARAMETRES!$B$536:$B$586,MATCH(AH71,PARAMETRES!$J$536:$J$586,0)),"")</f>
        <v/>
      </c>
      <c r="AJ71" s="34" t="str">
        <f>IFERROR(INDEX(PARAMETRES!$D$536:$D$586,MATCH(AH71,PARAMETRES!$J$536:$J$586,0)),"")</f>
        <v/>
      </c>
      <c r="AK71" s="34" t="str">
        <f>IFERROR(INDEX(PARAMETRES!$F$536:$F$586,MATCH(AH71,PARAMETRES!$J$536:$J$586,0)),"")</f>
        <v/>
      </c>
      <c r="AL71" s="34" t="str">
        <f>IFERROR(INDEX(PARAMETRES!$H$536:$H$586,MATCH(AH71,PARAMETRES!$J$536:$J$586,0)),"")</f>
        <v/>
      </c>
      <c r="AM71" s="60"/>
      <c r="AN71" s="60"/>
      <c r="AO71" s="51"/>
      <c r="AP71" s="51"/>
      <c r="AQ71" s="51"/>
      <c r="AR71" s="51"/>
      <c r="AS71" s="51"/>
      <c r="AT71" s="51"/>
      <c r="AU71" s="51"/>
      <c r="AV71" s="52">
        <f>IF(A71="",0,COUNTIFS(tbl_Beneficiaires_Activites[ID activite],A71))</f>
        <v>0</v>
      </c>
      <c r="AW71" s="51"/>
      <c r="AX71" s="51"/>
      <c r="AY71" s="51"/>
      <c r="AZ71" s="57"/>
      <c r="BA71" s="57"/>
      <c r="BB71" s="60"/>
      <c r="BC71" s="51"/>
      <c r="BD71" s="51"/>
      <c r="BE71" s="51"/>
      <c r="BF71" s="52">
        <f t="shared" si="6"/>
        <v>0</v>
      </c>
      <c r="BG71" s="53">
        <f t="shared" si="7"/>
        <v>0</v>
      </c>
      <c r="BH71" s="57"/>
      <c r="BI71" s="60"/>
      <c r="BJ71" s="51"/>
      <c r="BK71" s="51"/>
      <c r="BL71" s="57"/>
      <c r="BM71" s="60"/>
      <c r="BN71" s="60"/>
      <c r="BO71" s="60"/>
      <c r="BP71" s="60"/>
      <c r="BQ71" s="51"/>
      <c r="BR71" s="57"/>
      <c r="BS71" s="60"/>
      <c r="BT71" s="60"/>
      <c r="BU71" s="60"/>
      <c r="BV71" s="52" t="str">
        <f t="shared" si="8"/>
        <v/>
      </c>
      <c r="BW71" s="52" t="str">
        <f t="shared" si="9"/>
        <v/>
      </c>
      <c r="BX71" s="57"/>
      <c r="BY71" s="57"/>
      <c r="BZ71" s="57"/>
      <c r="CA71" s="57"/>
      <c r="CB71" s="60"/>
      <c r="CC71" s="60"/>
      <c r="CD71" s="54"/>
      <c r="CE71" s="57"/>
      <c r="CF71" s="50"/>
      <c r="CG71" s="60"/>
      <c r="CH71" s="57"/>
      <c r="CI71" s="60"/>
      <c r="CJ71" s="60"/>
      <c r="CK71" s="52">
        <f>IF(A71="",0,COUNTIF(tbl_Activites_Documents[ID Activite],A71))</f>
        <v>0</v>
      </c>
      <c r="CL71" s="52">
        <f>IF(A71="",0,COUNTIF(tbl_Activites_Risques[ID Activite],A71))</f>
        <v>0</v>
      </c>
      <c r="CM71" s="34" t="str">
        <f t="shared" si="10"/>
        <v/>
      </c>
      <c r="CN71" s="60"/>
    </row>
    <row r="72" spans="1:92" ht="30" customHeight="1">
      <c r="A72" s="34" t="str">
        <f t="shared" si="0"/>
        <v/>
      </c>
      <c r="B72" s="60"/>
      <c r="C72" s="57"/>
      <c r="D72" s="61" t="str">
        <f>IFERROR(INDEX(tbl_Projets[Titre complet du projet],MATCH(C72,tbl_Projets[ID Projet],0)),"")</f>
        <v/>
      </c>
      <c r="E72" s="34" t="str">
        <f>IFERROR(INDEX(tbl_Projets[Domaine d''intervention],MATCH(C72,tbl_Projets[ID Projet],0)),"")</f>
        <v/>
      </c>
      <c r="F72" s="34" t="str">
        <f>IFERROR(INDEX(tbl_Projets[Nom du responsable],MATCH(C72,tbl_Projets[ID Projet],0)),"")</f>
        <v/>
      </c>
      <c r="G72" s="60"/>
      <c r="H72" s="60"/>
      <c r="I72" s="60"/>
      <c r="J72" s="57"/>
      <c r="K72" s="57"/>
      <c r="L72" s="50"/>
      <c r="M72" s="62"/>
      <c r="N72" s="62"/>
      <c r="O72" s="63" t="str">
        <f t="shared" si="1"/>
        <v/>
      </c>
      <c r="P72" s="57"/>
      <c r="Q72" s="64" t="str">
        <f>IF(L72="","",INDEX(PARAMETRES!$B$53:$B$65,MONTH(L72)))</f>
        <v/>
      </c>
      <c r="R72" s="64" t="str">
        <f>IF(L72="","",INDEX(PARAMETRES!$C$53:$C$65,MONTH(L72)))</f>
        <v/>
      </c>
      <c r="S72" s="34" t="str">
        <f t="shared" si="2"/>
        <v/>
      </c>
      <c r="T72" s="50"/>
      <c r="U72" s="62"/>
      <c r="V72" s="62"/>
      <c r="W72" s="63" t="str">
        <f t="shared" si="3"/>
        <v/>
      </c>
      <c r="X72" s="57"/>
      <c r="Y72" s="54"/>
      <c r="Z72" s="57"/>
      <c r="AA72" s="52" t="str">
        <f t="shared" si="4"/>
        <v/>
      </c>
      <c r="AB72" s="34" t="str">
        <f t="shared" ca="1" si="5"/>
        <v/>
      </c>
      <c r="AC72" s="60"/>
      <c r="AD72" s="60"/>
      <c r="AE72" s="57"/>
      <c r="AF72" s="60"/>
      <c r="AG72" s="60"/>
      <c r="AH72" s="57"/>
      <c r="AI72" s="34" t="str">
        <f>IFERROR(INDEX(PARAMETRES!$B$536:$B$586,MATCH(AH72,PARAMETRES!$J$536:$J$586,0)),"")</f>
        <v/>
      </c>
      <c r="AJ72" s="34" t="str">
        <f>IFERROR(INDEX(PARAMETRES!$D$536:$D$586,MATCH(AH72,PARAMETRES!$J$536:$J$586,0)),"")</f>
        <v/>
      </c>
      <c r="AK72" s="34" t="str">
        <f>IFERROR(INDEX(PARAMETRES!$F$536:$F$586,MATCH(AH72,PARAMETRES!$J$536:$J$586,0)),"")</f>
        <v/>
      </c>
      <c r="AL72" s="34" t="str">
        <f>IFERROR(INDEX(PARAMETRES!$H$536:$H$586,MATCH(AH72,PARAMETRES!$J$536:$J$586,0)),"")</f>
        <v/>
      </c>
      <c r="AM72" s="60"/>
      <c r="AN72" s="60"/>
      <c r="AO72" s="51"/>
      <c r="AP72" s="51"/>
      <c r="AQ72" s="51"/>
      <c r="AR72" s="51"/>
      <c r="AS72" s="51"/>
      <c r="AT72" s="51"/>
      <c r="AU72" s="51"/>
      <c r="AV72" s="52">
        <f>IF(A72="",0,COUNTIFS(tbl_Beneficiaires_Activites[ID activite],A72))</f>
        <v>0</v>
      </c>
      <c r="AW72" s="51"/>
      <c r="AX72" s="51"/>
      <c r="AY72" s="51"/>
      <c r="AZ72" s="57"/>
      <c r="BA72" s="57"/>
      <c r="BB72" s="60"/>
      <c r="BC72" s="51"/>
      <c r="BD72" s="51"/>
      <c r="BE72" s="51"/>
      <c r="BF72" s="52">
        <f t="shared" si="6"/>
        <v>0</v>
      </c>
      <c r="BG72" s="53">
        <f t="shared" si="7"/>
        <v>0</v>
      </c>
      <c r="BH72" s="57"/>
      <c r="BI72" s="60"/>
      <c r="BJ72" s="51"/>
      <c r="BK72" s="51"/>
      <c r="BL72" s="57"/>
      <c r="BM72" s="60"/>
      <c r="BN72" s="60"/>
      <c r="BO72" s="60"/>
      <c r="BP72" s="60"/>
      <c r="BQ72" s="51"/>
      <c r="BR72" s="57"/>
      <c r="BS72" s="60"/>
      <c r="BT72" s="60"/>
      <c r="BU72" s="60"/>
      <c r="BV72" s="52" t="str">
        <f t="shared" si="8"/>
        <v/>
      </c>
      <c r="BW72" s="52" t="str">
        <f t="shared" si="9"/>
        <v/>
      </c>
      <c r="BX72" s="57"/>
      <c r="BY72" s="57"/>
      <c r="BZ72" s="57"/>
      <c r="CA72" s="57"/>
      <c r="CB72" s="60"/>
      <c r="CC72" s="60"/>
      <c r="CD72" s="54"/>
      <c r="CE72" s="57"/>
      <c r="CF72" s="50"/>
      <c r="CG72" s="60"/>
      <c r="CH72" s="57"/>
      <c r="CI72" s="60"/>
      <c r="CJ72" s="60"/>
      <c r="CK72" s="52">
        <f>IF(A72="",0,COUNTIF(tbl_Activites_Documents[ID Activite],A72))</f>
        <v>0</v>
      </c>
      <c r="CL72" s="52">
        <f>IF(A72="",0,COUNTIF(tbl_Activites_Risques[ID Activite],A72))</f>
        <v>0</v>
      </c>
      <c r="CM72" s="34" t="str">
        <f t="shared" si="10"/>
        <v/>
      </c>
      <c r="CN72" s="60"/>
    </row>
    <row r="73" spans="1:92" ht="30" customHeight="1">
      <c r="A73" s="34" t="str">
        <f t="shared" si="0"/>
        <v/>
      </c>
      <c r="B73" s="60"/>
      <c r="C73" s="57"/>
      <c r="D73" s="61" t="str">
        <f>IFERROR(INDEX(tbl_Projets[Titre complet du projet],MATCH(C73,tbl_Projets[ID Projet],0)),"")</f>
        <v/>
      </c>
      <c r="E73" s="34" t="str">
        <f>IFERROR(INDEX(tbl_Projets[Domaine d''intervention],MATCH(C73,tbl_Projets[ID Projet],0)),"")</f>
        <v/>
      </c>
      <c r="F73" s="34" t="str">
        <f>IFERROR(INDEX(tbl_Projets[Nom du responsable],MATCH(C73,tbl_Projets[ID Projet],0)),"")</f>
        <v/>
      </c>
      <c r="G73" s="60"/>
      <c r="H73" s="60"/>
      <c r="I73" s="60"/>
      <c r="J73" s="57"/>
      <c r="K73" s="57"/>
      <c r="L73" s="50"/>
      <c r="M73" s="62"/>
      <c r="N73" s="62"/>
      <c r="O73" s="63" t="str">
        <f t="shared" si="1"/>
        <v/>
      </c>
      <c r="P73" s="57"/>
      <c r="Q73" s="64" t="str">
        <f>IF(L73="","",INDEX(PARAMETRES!$B$53:$B$65,MONTH(L73)))</f>
        <v/>
      </c>
      <c r="R73" s="64" t="str">
        <f>IF(L73="","",INDEX(PARAMETRES!$C$53:$C$65,MONTH(L73)))</f>
        <v/>
      </c>
      <c r="S73" s="34" t="str">
        <f t="shared" si="2"/>
        <v/>
      </c>
      <c r="T73" s="50"/>
      <c r="U73" s="62"/>
      <c r="V73" s="62"/>
      <c r="W73" s="63" t="str">
        <f t="shared" si="3"/>
        <v/>
      </c>
      <c r="X73" s="57"/>
      <c r="Y73" s="54"/>
      <c r="Z73" s="57"/>
      <c r="AA73" s="52" t="str">
        <f t="shared" si="4"/>
        <v/>
      </c>
      <c r="AB73" s="34" t="str">
        <f t="shared" ca="1" si="5"/>
        <v/>
      </c>
      <c r="AC73" s="60"/>
      <c r="AD73" s="60"/>
      <c r="AE73" s="57"/>
      <c r="AF73" s="60"/>
      <c r="AG73" s="60"/>
      <c r="AH73" s="57"/>
      <c r="AI73" s="34" t="str">
        <f>IFERROR(INDEX(PARAMETRES!$B$536:$B$586,MATCH(AH73,PARAMETRES!$J$536:$J$586,0)),"")</f>
        <v/>
      </c>
      <c r="AJ73" s="34" t="str">
        <f>IFERROR(INDEX(PARAMETRES!$D$536:$D$586,MATCH(AH73,PARAMETRES!$J$536:$J$586,0)),"")</f>
        <v/>
      </c>
      <c r="AK73" s="34" t="str">
        <f>IFERROR(INDEX(PARAMETRES!$F$536:$F$586,MATCH(AH73,PARAMETRES!$J$536:$J$586,0)),"")</f>
        <v/>
      </c>
      <c r="AL73" s="34" t="str">
        <f>IFERROR(INDEX(PARAMETRES!$H$536:$H$586,MATCH(AH73,PARAMETRES!$J$536:$J$586,0)),"")</f>
        <v/>
      </c>
      <c r="AM73" s="60"/>
      <c r="AN73" s="60"/>
      <c r="AO73" s="51"/>
      <c r="AP73" s="51"/>
      <c r="AQ73" s="51"/>
      <c r="AR73" s="51"/>
      <c r="AS73" s="51"/>
      <c r="AT73" s="51"/>
      <c r="AU73" s="51"/>
      <c r="AV73" s="52">
        <f>IF(A73="",0,COUNTIFS(tbl_Beneficiaires_Activites[ID activite],A73))</f>
        <v>0</v>
      </c>
      <c r="AW73" s="51"/>
      <c r="AX73" s="51"/>
      <c r="AY73" s="51"/>
      <c r="AZ73" s="57"/>
      <c r="BA73" s="57"/>
      <c r="BB73" s="60"/>
      <c r="BC73" s="51"/>
      <c r="BD73" s="51"/>
      <c r="BE73" s="51"/>
      <c r="BF73" s="52">
        <f t="shared" si="6"/>
        <v>0</v>
      </c>
      <c r="BG73" s="53">
        <f t="shared" si="7"/>
        <v>0</v>
      </c>
      <c r="BH73" s="57"/>
      <c r="BI73" s="60"/>
      <c r="BJ73" s="51"/>
      <c r="BK73" s="51"/>
      <c r="BL73" s="57"/>
      <c r="BM73" s="60"/>
      <c r="BN73" s="60"/>
      <c r="BO73" s="60"/>
      <c r="BP73" s="60"/>
      <c r="BQ73" s="51"/>
      <c r="BR73" s="57"/>
      <c r="BS73" s="60"/>
      <c r="BT73" s="60"/>
      <c r="BU73" s="60"/>
      <c r="BV73" s="52" t="str">
        <f t="shared" si="8"/>
        <v/>
      </c>
      <c r="BW73" s="52" t="str">
        <f t="shared" si="9"/>
        <v/>
      </c>
      <c r="BX73" s="57"/>
      <c r="BY73" s="57"/>
      <c r="BZ73" s="57"/>
      <c r="CA73" s="57"/>
      <c r="CB73" s="60"/>
      <c r="CC73" s="60"/>
      <c r="CD73" s="54"/>
      <c r="CE73" s="57"/>
      <c r="CF73" s="50"/>
      <c r="CG73" s="60"/>
      <c r="CH73" s="57"/>
      <c r="CI73" s="60"/>
      <c r="CJ73" s="60"/>
      <c r="CK73" s="52">
        <f>IF(A73="",0,COUNTIF(tbl_Activites_Documents[ID Activite],A73))</f>
        <v>0</v>
      </c>
      <c r="CL73" s="52">
        <f>IF(A73="",0,COUNTIF(tbl_Activites_Risques[ID Activite],A73))</f>
        <v>0</v>
      </c>
      <c r="CM73" s="34" t="str">
        <f t="shared" si="10"/>
        <v/>
      </c>
      <c r="CN73" s="60"/>
    </row>
    <row r="74" spans="1:92" ht="30" customHeight="1">
      <c r="A74" s="34" t="str">
        <f t="shared" si="0"/>
        <v/>
      </c>
      <c r="B74" s="60"/>
      <c r="C74" s="57"/>
      <c r="D74" s="61" t="str">
        <f>IFERROR(INDEX(tbl_Projets[Titre complet du projet],MATCH(C74,tbl_Projets[ID Projet],0)),"")</f>
        <v/>
      </c>
      <c r="E74" s="34" t="str">
        <f>IFERROR(INDEX(tbl_Projets[Domaine d''intervention],MATCH(C74,tbl_Projets[ID Projet],0)),"")</f>
        <v/>
      </c>
      <c r="F74" s="34" t="str">
        <f>IFERROR(INDEX(tbl_Projets[Nom du responsable],MATCH(C74,tbl_Projets[ID Projet],0)),"")</f>
        <v/>
      </c>
      <c r="G74" s="60"/>
      <c r="H74" s="60"/>
      <c r="I74" s="60"/>
      <c r="J74" s="57"/>
      <c r="K74" s="57"/>
      <c r="L74" s="50"/>
      <c r="M74" s="62"/>
      <c r="N74" s="62"/>
      <c r="O74" s="63" t="str">
        <f t="shared" si="1"/>
        <v/>
      </c>
      <c r="P74" s="57"/>
      <c r="Q74" s="64" t="str">
        <f>IF(L74="","",INDEX(PARAMETRES!$B$53:$B$65,MONTH(L74)))</f>
        <v/>
      </c>
      <c r="R74" s="64" t="str">
        <f>IF(L74="","",INDEX(PARAMETRES!$C$53:$C$65,MONTH(L74)))</f>
        <v/>
      </c>
      <c r="S74" s="34" t="str">
        <f t="shared" si="2"/>
        <v/>
      </c>
      <c r="T74" s="50"/>
      <c r="U74" s="62"/>
      <c r="V74" s="62"/>
      <c r="W74" s="63" t="str">
        <f t="shared" si="3"/>
        <v/>
      </c>
      <c r="X74" s="57"/>
      <c r="Y74" s="54"/>
      <c r="Z74" s="57"/>
      <c r="AA74" s="52" t="str">
        <f t="shared" si="4"/>
        <v/>
      </c>
      <c r="AB74" s="34" t="str">
        <f t="shared" ca="1" si="5"/>
        <v/>
      </c>
      <c r="AC74" s="60"/>
      <c r="AD74" s="60"/>
      <c r="AE74" s="57"/>
      <c r="AF74" s="60"/>
      <c r="AG74" s="60"/>
      <c r="AH74" s="57"/>
      <c r="AI74" s="34" t="str">
        <f>IFERROR(INDEX(PARAMETRES!$B$536:$B$586,MATCH(AH74,PARAMETRES!$J$536:$J$586,0)),"")</f>
        <v/>
      </c>
      <c r="AJ74" s="34" t="str">
        <f>IFERROR(INDEX(PARAMETRES!$D$536:$D$586,MATCH(AH74,PARAMETRES!$J$536:$J$586,0)),"")</f>
        <v/>
      </c>
      <c r="AK74" s="34" t="str">
        <f>IFERROR(INDEX(PARAMETRES!$F$536:$F$586,MATCH(AH74,PARAMETRES!$J$536:$J$586,0)),"")</f>
        <v/>
      </c>
      <c r="AL74" s="34" t="str">
        <f>IFERROR(INDEX(PARAMETRES!$H$536:$H$586,MATCH(AH74,PARAMETRES!$J$536:$J$586,0)),"")</f>
        <v/>
      </c>
      <c r="AM74" s="60"/>
      <c r="AN74" s="60"/>
      <c r="AO74" s="51"/>
      <c r="AP74" s="51"/>
      <c r="AQ74" s="51"/>
      <c r="AR74" s="51"/>
      <c r="AS74" s="51"/>
      <c r="AT74" s="51"/>
      <c r="AU74" s="51"/>
      <c r="AV74" s="52">
        <f>IF(A74="",0,COUNTIFS(tbl_Beneficiaires_Activites[ID activite],A74))</f>
        <v>0</v>
      </c>
      <c r="AW74" s="51"/>
      <c r="AX74" s="51"/>
      <c r="AY74" s="51"/>
      <c r="AZ74" s="57"/>
      <c r="BA74" s="57"/>
      <c r="BB74" s="60"/>
      <c r="BC74" s="51"/>
      <c r="BD74" s="51"/>
      <c r="BE74" s="51"/>
      <c r="BF74" s="52">
        <f t="shared" si="6"/>
        <v>0</v>
      </c>
      <c r="BG74" s="53">
        <f t="shared" si="7"/>
        <v>0</v>
      </c>
      <c r="BH74" s="57"/>
      <c r="BI74" s="60"/>
      <c r="BJ74" s="51"/>
      <c r="BK74" s="51"/>
      <c r="BL74" s="57"/>
      <c r="BM74" s="60"/>
      <c r="BN74" s="60"/>
      <c r="BO74" s="60"/>
      <c r="BP74" s="60"/>
      <c r="BQ74" s="51"/>
      <c r="BR74" s="57"/>
      <c r="BS74" s="60"/>
      <c r="BT74" s="60"/>
      <c r="BU74" s="60"/>
      <c r="BV74" s="52" t="str">
        <f t="shared" si="8"/>
        <v/>
      </c>
      <c r="BW74" s="52" t="str">
        <f t="shared" si="9"/>
        <v/>
      </c>
      <c r="BX74" s="57"/>
      <c r="BY74" s="57"/>
      <c r="BZ74" s="57"/>
      <c r="CA74" s="57"/>
      <c r="CB74" s="60"/>
      <c r="CC74" s="60"/>
      <c r="CD74" s="54"/>
      <c r="CE74" s="57"/>
      <c r="CF74" s="50"/>
      <c r="CG74" s="60"/>
      <c r="CH74" s="57"/>
      <c r="CI74" s="60"/>
      <c r="CJ74" s="60"/>
      <c r="CK74" s="52">
        <f>IF(A74="",0,COUNTIF(tbl_Activites_Documents[ID Activite],A74))</f>
        <v>0</v>
      </c>
      <c r="CL74" s="52">
        <f>IF(A74="",0,COUNTIF(tbl_Activites_Risques[ID Activite],A74))</f>
        <v>0</v>
      </c>
      <c r="CM74" s="34" t="str">
        <f t="shared" si="10"/>
        <v/>
      </c>
      <c r="CN74" s="60"/>
    </row>
    <row r="75" spans="1:92" ht="30" customHeight="1">
      <c r="A75" s="34" t="str">
        <f t="shared" si="0"/>
        <v/>
      </c>
      <c r="B75" s="60"/>
      <c r="C75" s="57"/>
      <c r="D75" s="61" t="str">
        <f>IFERROR(INDEX(tbl_Projets[Titre complet du projet],MATCH(C75,tbl_Projets[ID Projet],0)),"")</f>
        <v/>
      </c>
      <c r="E75" s="34" t="str">
        <f>IFERROR(INDEX(tbl_Projets[Domaine d''intervention],MATCH(C75,tbl_Projets[ID Projet],0)),"")</f>
        <v/>
      </c>
      <c r="F75" s="34" t="str">
        <f>IFERROR(INDEX(tbl_Projets[Nom du responsable],MATCH(C75,tbl_Projets[ID Projet],0)),"")</f>
        <v/>
      </c>
      <c r="G75" s="60"/>
      <c r="H75" s="60"/>
      <c r="I75" s="60"/>
      <c r="J75" s="57"/>
      <c r="K75" s="57"/>
      <c r="L75" s="50"/>
      <c r="M75" s="62"/>
      <c r="N75" s="62"/>
      <c r="O75" s="63" t="str">
        <f t="shared" si="1"/>
        <v/>
      </c>
      <c r="P75" s="57"/>
      <c r="Q75" s="64" t="str">
        <f>IF(L75="","",INDEX(PARAMETRES!$B$53:$B$65,MONTH(L75)))</f>
        <v/>
      </c>
      <c r="R75" s="64" t="str">
        <f>IF(L75="","",INDEX(PARAMETRES!$C$53:$C$65,MONTH(L75)))</f>
        <v/>
      </c>
      <c r="S75" s="34" t="str">
        <f t="shared" si="2"/>
        <v/>
      </c>
      <c r="T75" s="50"/>
      <c r="U75" s="62"/>
      <c r="V75" s="62"/>
      <c r="W75" s="63" t="str">
        <f t="shared" si="3"/>
        <v/>
      </c>
      <c r="X75" s="57"/>
      <c r="Y75" s="54"/>
      <c r="Z75" s="57"/>
      <c r="AA75" s="52" t="str">
        <f t="shared" si="4"/>
        <v/>
      </c>
      <c r="AB75" s="34" t="str">
        <f t="shared" ca="1" si="5"/>
        <v/>
      </c>
      <c r="AC75" s="60"/>
      <c r="AD75" s="60"/>
      <c r="AE75" s="57"/>
      <c r="AF75" s="60"/>
      <c r="AG75" s="60"/>
      <c r="AH75" s="57"/>
      <c r="AI75" s="34" t="str">
        <f>IFERROR(INDEX(PARAMETRES!$B$536:$B$586,MATCH(AH75,PARAMETRES!$J$536:$J$586,0)),"")</f>
        <v/>
      </c>
      <c r="AJ75" s="34" t="str">
        <f>IFERROR(INDEX(PARAMETRES!$D$536:$D$586,MATCH(AH75,PARAMETRES!$J$536:$J$586,0)),"")</f>
        <v/>
      </c>
      <c r="AK75" s="34" t="str">
        <f>IFERROR(INDEX(PARAMETRES!$F$536:$F$586,MATCH(AH75,PARAMETRES!$J$536:$J$586,0)),"")</f>
        <v/>
      </c>
      <c r="AL75" s="34" t="str">
        <f>IFERROR(INDEX(PARAMETRES!$H$536:$H$586,MATCH(AH75,PARAMETRES!$J$536:$J$586,0)),"")</f>
        <v/>
      </c>
      <c r="AM75" s="60"/>
      <c r="AN75" s="60"/>
      <c r="AO75" s="51"/>
      <c r="AP75" s="51"/>
      <c r="AQ75" s="51"/>
      <c r="AR75" s="51"/>
      <c r="AS75" s="51"/>
      <c r="AT75" s="51"/>
      <c r="AU75" s="51"/>
      <c r="AV75" s="52">
        <f>IF(A75="",0,COUNTIFS(tbl_Beneficiaires_Activites[ID activite],A75))</f>
        <v>0</v>
      </c>
      <c r="AW75" s="51"/>
      <c r="AX75" s="51"/>
      <c r="AY75" s="51"/>
      <c r="AZ75" s="57"/>
      <c r="BA75" s="57"/>
      <c r="BB75" s="60"/>
      <c r="BC75" s="51"/>
      <c r="BD75" s="51"/>
      <c r="BE75" s="51"/>
      <c r="BF75" s="52">
        <f t="shared" si="6"/>
        <v>0</v>
      </c>
      <c r="BG75" s="53">
        <f t="shared" si="7"/>
        <v>0</v>
      </c>
      <c r="BH75" s="57"/>
      <c r="BI75" s="60"/>
      <c r="BJ75" s="51"/>
      <c r="BK75" s="51"/>
      <c r="BL75" s="57"/>
      <c r="BM75" s="60"/>
      <c r="BN75" s="60"/>
      <c r="BO75" s="60"/>
      <c r="BP75" s="60"/>
      <c r="BQ75" s="51"/>
      <c r="BR75" s="57"/>
      <c r="BS75" s="60"/>
      <c r="BT75" s="60"/>
      <c r="BU75" s="60"/>
      <c r="BV75" s="52" t="str">
        <f t="shared" si="8"/>
        <v/>
      </c>
      <c r="BW75" s="52" t="str">
        <f t="shared" si="9"/>
        <v/>
      </c>
      <c r="BX75" s="57"/>
      <c r="BY75" s="57"/>
      <c r="BZ75" s="57"/>
      <c r="CA75" s="57"/>
      <c r="CB75" s="60"/>
      <c r="CC75" s="60"/>
      <c r="CD75" s="54"/>
      <c r="CE75" s="57"/>
      <c r="CF75" s="50"/>
      <c r="CG75" s="60"/>
      <c r="CH75" s="57"/>
      <c r="CI75" s="60"/>
      <c r="CJ75" s="60"/>
      <c r="CK75" s="52">
        <f>IF(A75="",0,COUNTIF(tbl_Activites_Documents[ID Activite],A75))</f>
        <v>0</v>
      </c>
      <c r="CL75" s="52">
        <f>IF(A75="",0,COUNTIF(tbl_Activites_Risques[ID Activite],A75))</f>
        <v>0</v>
      </c>
      <c r="CM75" s="34" t="str">
        <f t="shared" si="10"/>
        <v/>
      </c>
      <c r="CN75" s="60"/>
    </row>
    <row r="76" spans="1:92" ht="30" customHeight="1">
      <c r="A76" s="34" t="str">
        <f t="shared" si="0"/>
        <v/>
      </c>
      <c r="B76" s="60"/>
      <c r="C76" s="57"/>
      <c r="D76" s="61" t="str">
        <f>IFERROR(INDEX(tbl_Projets[Titre complet du projet],MATCH(C76,tbl_Projets[ID Projet],0)),"")</f>
        <v/>
      </c>
      <c r="E76" s="34" t="str">
        <f>IFERROR(INDEX(tbl_Projets[Domaine d''intervention],MATCH(C76,tbl_Projets[ID Projet],0)),"")</f>
        <v/>
      </c>
      <c r="F76" s="34" t="str">
        <f>IFERROR(INDEX(tbl_Projets[Nom du responsable],MATCH(C76,tbl_Projets[ID Projet],0)),"")</f>
        <v/>
      </c>
      <c r="G76" s="60"/>
      <c r="H76" s="60"/>
      <c r="I76" s="60"/>
      <c r="J76" s="57"/>
      <c r="K76" s="57"/>
      <c r="L76" s="50"/>
      <c r="M76" s="62"/>
      <c r="N76" s="62"/>
      <c r="O76" s="63" t="str">
        <f t="shared" si="1"/>
        <v/>
      </c>
      <c r="P76" s="57"/>
      <c r="Q76" s="64" t="str">
        <f>IF(L76="","",INDEX(PARAMETRES!$B$53:$B$65,MONTH(L76)))</f>
        <v/>
      </c>
      <c r="R76" s="64" t="str">
        <f>IF(L76="","",INDEX(PARAMETRES!$C$53:$C$65,MONTH(L76)))</f>
        <v/>
      </c>
      <c r="S76" s="34" t="str">
        <f t="shared" si="2"/>
        <v/>
      </c>
      <c r="T76" s="50"/>
      <c r="U76" s="62"/>
      <c r="V76" s="62"/>
      <c r="W76" s="63" t="str">
        <f t="shared" si="3"/>
        <v/>
      </c>
      <c r="X76" s="57"/>
      <c r="Y76" s="54"/>
      <c r="Z76" s="57"/>
      <c r="AA76" s="52" t="str">
        <f t="shared" si="4"/>
        <v/>
      </c>
      <c r="AB76" s="34" t="str">
        <f t="shared" ca="1" si="5"/>
        <v/>
      </c>
      <c r="AC76" s="60"/>
      <c r="AD76" s="60"/>
      <c r="AE76" s="57"/>
      <c r="AF76" s="60"/>
      <c r="AG76" s="60"/>
      <c r="AH76" s="57"/>
      <c r="AI76" s="34" t="str">
        <f>IFERROR(INDEX(PARAMETRES!$B$536:$B$586,MATCH(AH76,PARAMETRES!$J$536:$J$586,0)),"")</f>
        <v/>
      </c>
      <c r="AJ76" s="34" t="str">
        <f>IFERROR(INDEX(PARAMETRES!$D$536:$D$586,MATCH(AH76,PARAMETRES!$J$536:$J$586,0)),"")</f>
        <v/>
      </c>
      <c r="AK76" s="34" t="str">
        <f>IFERROR(INDEX(PARAMETRES!$F$536:$F$586,MATCH(AH76,PARAMETRES!$J$536:$J$586,0)),"")</f>
        <v/>
      </c>
      <c r="AL76" s="34" t="str">
        <f>IFERROR(INDEX(PARAMETRES!$H$536:$H$586,MATCH(AH76,PARAMETRES!$J$536:$J$586,0)),"")</f>
        <v/>
      </c>
      <c r="AM76" s="60"/>
      <c r="AN76" s="60"/>
      <c r="AO76" s="51"/>
      <c r="AP76" s="51"/>
      <c r="AQ76" s="51"/>
      <c r="AR76" s="51"/>
      <c r="AS76" s="51"/>
      <c r="AT76" s="51"/>
      <c r="AU76" s="51"/>
      <c r="AV76" s="52">
        <f>IF(A76="",0,COUNTIFS(tbl_Beneficiaires_Activites[ID activite],A76))</f>
        <v>0</v>
      </c>
      <c r="AW76" s="51"/>
      <c r="AX76" s="51"/>
      <c r="AY76" s="51"/>
      <c r="AZ76" s="57"/>
      <c r="BA76" s="57"/>
      <c r="BB76" s="60"/>
      <c r="BC76" s="51"/>
      <c r="BD76" s="51"/>
      <c r="BE76" s="51"/>
      <c r="BF76" s="52">
        <f t="shared" si="6"/>
        <v>0</v>
      </c>
      <c r="BG76" s="53">
        <f t="shared" si="7"/>
        <v>0</v>
      </c>
      <c r="BH76" s="57"/>
      <c r="BI76" s="60"/>
      <c r="BJ76" s="51"/>
      <c r="BK76" s="51"/>
      <c r="BL76" s="57"/>
      <c r="BM76" s="60"/>
      <c r="BN76" s="60"/>
      <c r="BO76" s="60"/>
      <c r="BP76" s="60"/>
      <c r="BQ76" s="51"/>
      <c r="BR76" s="57"/>
      <c r="BS76" s="60"/>
      <c r="BT76" s="60"/>
      <c r="BU76" s="60"/>
      <c r="BV76" s="52" t="str">
        <f t="shared" si="8"/>
        <v/>
      </c>
      <c r="BW76" s="52" t="str">
        <f t="shared" si="9"/>
        <v/>
      </c>
      <c r="BX76" s="57"/>
      <c r="BY76" s="57"/>
      <c r="BZ76" s="57"/>
      <c r="CA76" s="57"/>
      <c r="CB76" s="60"/>
      <c r="CC76" s="60"/>
      <c r="CD76" s="54"/>
      <c r="CE76" s="57"/>
      <c r="CF76" s="50"/>
      <c r="CG76" s="60"/>
      <c r="CH76" s="57"/>
      <c r="CI76" s="60"/>
      <c r="CJ76" s="60"/>
      <c r="CK76" s="52">
        <f>IF(A76="",0,COUNTIF(tbl_Activites_Documents[ID Activite],A76))</f>
        <v>0</v>
      </c>
      <c r="CL76" s="52">
        <f>IF(A76="",0,COUNTIF(tbl_Activites_Risques[ID Activite],A76))</f>
        <v>0</v>
      </c>
      <c r="CM76" s="34" t="str">
        <f t="shared" si="10"/>
        <v/>
      </c>
      <c r="CN76" s="60"/>
    </row>
    <row r="77" spans="1:92" ht="30" customHeight="1">
      <c r="A77" s="34" t="str">
        <f t="shared" si="0"/>
        <v/>
      </c>
      <c r="B77" s="60"/>
      <c r="C77" s="57"/>
      <c r="D77" s="61" t="str">
        <f>IFERROR(INDEX(tbl_Projets[Titre complet du projet],MATCH(C77,tbl_Projets[ID Projet],0)),"")</f>
        <v/>
      </c>
      <c r="E77" s="34" t="str">
        <f>IFERROR(INDEX(tbl_Projets[Domaine d''intervention],MATCH(C77,tbl_Projets[ID Projet],0)),"")</f>
        <v/>
      </c>
      <c r="F77" s="34" t="str">
        <f>IFERROR(INDEX(tbl_Projets[Nom du responsable],MATCH(C77,tbl_Projets[ID Projet],0)),"")</f>
        <v/>
      </c>
      <c r="G77" s="60"/>
      <c r="H77" s="60"/>
      <c r="I77" s="60"/>
      <c r="J77" s="57"/>
      <c r="K77" s="57"/>
      <c r="L77" s="50"/>
      <c r="M77" s="62"/>
      <c r="N77" s="62"/>
      <c r="O77" s="63" t="str">
        <f t="shared" si="1"/>
        <v/>
      </c>
      <c r="P77" s="57"/>
      <c r="Q77" s="64" t="str">
        <f>IF(L77="","",INDEX(PARAMETRES!$B$53:$B$65,MONTH(L77)))</f>
        <v/>
      </c>
      <c r="R77" s="64" t="str">
        <f>IF(L77="","",INDEX(PARAMETRES!$C$53:$C$65,MONTH(L77)))</f>
        <v/>
      </c>
      <c r="S77" s="34" t="str">
        <f t="shared" si="2"/>
        <v/>
      </c>
      <c r="T77" s="50"/>
      <c r="U77" s="62"/>
      <c r="V77" s="62"/>
      <c r="W77" s="63" t="str">
        <f t="shared" si="3"/>
        <v/>
      </c>
      <c r="X77" s="57"/>
      <c r="Y77" s="54"/>
      <c r="Z77" s="57"/>
      <c r="AA77" s="52" t="str">
        <f t="shared" si="4"/>
        <v/>
      </c>
      <c r="AB77" s="34" t="str">
        <f t="shared" ca="1" si="5"/>
        <v/>
      </c>
      <c r="AC77" s="60"/>
      <c r="AD77" s="60"/>
      <c r="AE77" s="57"/>
      <c r="AF77" s="60"/>
      <c r="AG77" s="60"/>
      <c r="AH77" s="57"/>
      <c r="AI77" s="34" t="str">
        <f>IFERROR(INDEX(PARAMETRES!$B$536:$B$586,MATCH(AH77,PARAMETRES!$J$536:$J$586,0)),"")</f>
        <v/>
      </c>
      <c r="AJ77" s="34" t="str">
        <f>IFERROR(INDEX(PARAMETRES!$D$536:$D$586,MATCH(AH77,PARAMETRES!$J$536:$J$586,0)),"")</f>
        <v/>
      </c>
      <c r="AK77" s="34" t="str">
        <f>IFERROR(INDEX(PARAMETRES!$F$536:$F$586,MATCH(AH77,PARAMETRES!$J$536:$J$586,0)),"")</f>
        <v/>
      </c>
      <c r="AL77" s="34" t="str">
        <f>IFERROR(INDEX(PARAMETRES!$H$536:$H$586,MATCH(AH77,PARAMETRES!$J$536:$J$586,0)),"")</f>
        <v/>
      </c>
      <c r="AM77" s="60"/>
      <c r="AN77" s="60"/>
      <c r="AO77" s="51"/>
      <c r="AP77" s="51"/>
      <c r="AQ77" s="51"/>
      <c r="AR77" s="51"/>
      <c r="AS77" s="51"/>
      <c r="AT77" s="51"/>
      <c r="AU77" s="51"/>
      <c r="AV77" s="52">
        <f>IF(A77="",0,COUNTIFS(tbl_Beneficiaires_Activites[ID activite],A77))</f>
        <v>0</v>
      </c>
      <c r="AW77" s="51"/>
      <c r="AX77" s="51"/>
      <c r="AY77" s="51"/>
      <c r="AZ77" s="57"/>
      <c r="BA77" s="57"/>
      <c r="BB77" s="60"/>
      <c r="BC77" s="51"/>
      <c r="BD77" s="51"/>
      <c r="BE77" s="51"/>
      <c r="BF77" s="52">
        <f t="shared" si="6"/>
        <v>0</v>
      </c>
      <c r="BG77" s="53">
        <f t="shared" si="7"/>
        <v>0</v>
      </c>
      <c r="BH77" s="57"/>
      <c r="BI77" s="60"/>
      <c r="BJ77" s="51"/>
      <c r="BK77" s="51"/>
      <c r="BL77" s="57"/>
      <c r="BM77" s="60"/>
      <c r="BN77" s="60"/>
      <c r="BO77" s="60"/>
      <c r="BP77" s="60"/>
      <c r="BQ77" s="51"/>
      <c r="BR77" s="57"/>
      <c r="BS77" s="60"/>
      <c r="BT77" s="60"/>
      <c r="BU77" s="60"/>
      <c r="BV77" s="52" t="str">
        <f t="shared" si="8"/>
        <v/>
      </c>
      <c r="BW77" s="52" t="str">
        <f t="shared" si="9"/>
        <v/>
      </c>
      <c r="BX77" s="57"/>
      <c r="BY77" s="57"/>
      <c r="BZ77" s="57"/>
      <c r="CA77" s="57"/>
      <c r="CB77" s="60"/>
      <c r="CC77" s="60"/>
      <c r="CD77" s="54"/>
      <c r="CE77" s="57"/>
      <c r="CF77" s="50"/>
      <c r="CG77" s="60"/>
      <c r="CH77" s="57"/>
      <c r="CI77" s="60"/>
      <c r="CJ77" s="60"/>
      <c r="CK77" s="52">
        <f>IF(A77="",0,COUNTIF(tbl_Activites_Documents[ID Activite],A77))</f>
        <v>0</v>
      </c>
      <c r="CL77" s="52">
        <f>IF(A77="",0,COUNTIF(tbl_Activites_Risques[ID Activite],A77))</f>
        <v>0</v>
      </c>
      <c r="CM77" s="34" t="str">
        <f t="shared" si="10"/>
        <v/>
      </c>
      <c r="CN77" s="60"/>
    </row>
    <row r="78" spans="1:92" ht="30" customHeight="1">
      <c r="A78" s="34" t="str">
        <f t="shared" si="0"/>
        <v/>
      </c>
      <c r="B78" s="60"/>
      <c r="C78" s="57"/>
      <c r="D78" s="61" t="str">
        <f>IFERROR(INDEX(tbl_Projets[Titre complet du projet],MATCH(C78,tbl_Projets[ID Projet],0)),"")</f>
        <v/>
      </c>
      <c r="E78" s="34" t="str">
        <f>IFERROR(INDEX(tbl_Projets[Domaine d''intervention],MATCH(C78,tbl_Projets[ID Projet],0)),"")</f>
        <v/>
      </c>
      <c r="F78" s="34" t="str">
        <f>IFERROR(INDEX(tbl_Projets[Nom du responsable],MATCH(C78,tbl_Projets[ID Projet],0)),"")</f>
        <v/>
      </c>
      <c r="G78" s="60"/>
      <c r="H78" s="60"/>
      <c r="I78" s="60"/>
      <c r="J78" s="57"/>
      <c r="K78" s="57"/>
      <c r="L78" s="50"/>
      <c r="M78" s="62"/>
      <c r="N78" s="62"/>
      <c r="O78" s="63" t="str">
        <f t="shared" si="1"/>
        <v/>
      </c>
      <c r="P78" s="57"/>
      <c r="Q78" s="64" t="str">
        <f>IF(L78="","",INDEX(PARAMETRES!$B$53:$B$65,MONTH(L78)))</f>
        <v/>
      </c>
      <c r="R78" s="64" t="str">
        <f>IF(L78="","",INDEX(PARAMETRES!$C$53:$C$65,MONTH(L78)))</f>
        <v/>
      </c>
      <c r="S78" s="34" t="str">
        <f t="shared" si="2"/>
        <v/>
      </c>
      <c r="T78" s="50"/>
      <c r="U78" s="62"/>
      <c r="V78" s="62"/>
      <c r="W78" s="63" t="str">
        <f t="shared" si="3"/>
        <v/>
      </c>
      <c r="X78" s="57"/>
      <c r="Y78" s="54"/>
      <c r="Z78" s="57"/>
      <c r="AA78" s="52" t="str">
        <f t="shared" si="4"/>
        <v/>
      </c>
      <c r="AB78" s="34" t="str">
        <f t="shared" ca="1" si="5"/>
        <v/>
      </c>
      <c r="AC78" s="60"/>
      <c r="AD78" s="60"/>
      <c r="AE78" s="57"/>
      <c r="AF78" s="60"/>
      <c r="AG78" s="60"/>
      <c r="AH78" s="57"/>
      <c r="AI78" s="34" t="str">
        <f>IFERROR(INDEX(PARAMETRES!$B$536:$B$586,MATCH(AH78,PARAMETRES!$J$536:$J$586,0)),"")</f>
        <v/>
      </c>
      <c r="AJ78" s="34" t="str">
        <f>IFERROR(INDEX(PARAMETRES!$D$536:$D$586,MATCH(AH78,PARAMETRES!$J$536:$J$586,0)),"")</f>
        <v/>
      </c>
      <c r="AK78" s="34" t="str">
        <f>IFERROR(INDEX(PARAMETRES!$F$536:$F$586,MATCH(AH78,PARAMETRES!$J$536:$J$586,0)),"")</f>
        <v/>
      </c>
      <c r="AL78" s="34" t="str">
        <f>IFERROR(INDEX(PARAMETRES!$H$536:$H$586,MATCH(AH78,PARAMETRES!$J$536:$J$586,0)),"")</f>
        <v/>
      </c>
      <c r="AM78" s="60"/>
      <c r="AN78" s="60"/>
      <c r="AO78" s="51"/>
      <c r="AP78" s="51"/>
      <c r="AQ78" s="51"/>
      <c r="AR78" s="51"/>
      <c r="AS78" s="51"/>
      <c r="AT78" s="51"/>
      <c r="AU78" s="51"/>
      <c r="AV78" s="52">
        <f>IF(A78="",0,COUNTIFS(tbl_Beneficiaires_Activites[ID activite],A78))</f>
        <v>0</v>
      </c>
      <c r="AW78" s="51"/>
      <c r="AX78" s="51"/>
      <c r="AY78" s="51"/>
      <c r="AZ78" s="57"/>
      <c r="BA78" s="57"/>
      <c r="BB78" s="60"/>
      <c r="BC78" s="51"/>
      <c r="BD78" s="51"/>
      <c r="BE78" s="51"/>
      <c r="BF78" s="52">
        <f t="shared" si="6"/>
        <v>0</v>
      </c>
      <c r="BG78" s="53">
        <f t="shared" si="7"/>
        <v>0</v>
      </c>
      <c r="BH78" s="57"/>
      <c r="BI78" s="60"/>
      <c r="BJ78" s="51"/>
      <c r="BK78" s="51"/>
      <c r="BL78" s="57"/>
      <c r="BM78" s="60"/>
      <c r="BN78" s="60"/>
      <c r="BO78" s="60"/>
      <c r="BP78" s="60"/>
      <c r="BQ78" s="51"/>
      <c r="BR78" s="57"/>
      <c r="BS78" s="60"/>
      <c r="BT78" s="60"/>
      <c r="BU78" s="60"/>
      <c r="BV78" s="52" t="str">
        <f t="shared" si="8"/>
        <v/>
      </c>
      <c r="BW78" s="52" t="str">
        <f t="shared" si="9"/>
        <v/>
      </c>
      <c r="BX78" s="57"/>
      <c r="BY78" s="57"/>
      <c r="BZ78" s="57"/>
      <c r="CA78" s="57"/>
      <c r="CB78" s="60"/>
      <c r="CC78" s="60"/>
      <c r="CD78" s="54"/>
      <c r="CE78" s="57"/>
      <c r="CF78" s="50"/>
      <c r="CG78" s="60"/>
      <c r="CH78" s="57"/>
      <c r="CI78" s="60"/>
      <c r="CJ78" s="60"/>
      <c r="CK78" s="52">
        <f>IF(A78="",0,COUNTIF(tbl_Activites_Documents[ID Activite],A78))</f>
        <v>0</v>
      </c>
      <c r="CL78" s="52">
        <f>IF(A78="",0,COUNTIF(tbl_Activites_Risques[ID Activite],A78))</f>
        <v>0</v>
      </c>
      <c r="CM78" s="34" t="str">
        <f t="shared" si="10"/>
        <v/>
      </c>
      <c r="CN78" s="60"/>
    </row>
    <row r="79" spans="1:92" ht="30" customHeight="1">
      <c r="A79" s="34" t="str">
        <f t="shared" si="0"/>
        <v/>
      </c>
      <c r="B79" s="60"/>
      <c r="C79" s="57"/>
      <c r="D79" s="61" t="str">
        <f>IFERROR(INDEX(tbl_Projets[Titre complet du projet],MATCH(C79,tbl_Projets[ID Projet],0)),"")</f>
        <v/>
      </c>
      <c r="E79" s="34" t="str">
        <f>IFERROR(INDEX(tbl_Projets[Domaine d''intervention],MATCH(C79,tbl_Projets[ID Projet],0)),"")</f>
        <v/>
      </c>
      <c r="F79" s="34" t="str">
        <f>IFERROR(INDEX(tbl_Projets[Nom du responsable],MATCH(C79,tbl_Projets[ID Projet],0)),"")</f>
        <v/>
      </c>
      <c r="G79" s="60"/>
      <c r="H79" s="60"/>
      <c r="I79" s="60"/>
      <c r="J79" s="57"/>
      <c r="K79" s="57"/>
      <c r="L79" s="50"/>
      <c r="M79" s="62"/>
      <c r="N79" s="62"/>
      <c r="O79" s="63" t="str">
        <f t="shared" si="1"/>
        <v/>
      </c>
      <c r="P79" s="57"/>
      <c r="Q79" s="64" t="str">
        <f>IF(L79="","",INDEX(PARAMETRES!$B$53:$B$65,MONTH(L79)))</f>
        <v/>
      </c>
      <c r="R79" s="64" t="str">
        <f>IF(L79="","",INDEX(PARAMETRES!$C$53:$C$65,MONTH(L79)))</f>
        <v/>
      </c>
      <c r="S79" s="34" t="str">
        <f t="shared" si="2"/>
        <v/>
      </c>
      <c r="T79" s="50"/>
      <c r="U79" s="62"/>
      <c r="V79" s="62"/>
      <c r="W79" s="63" t="str">
        <f t="shared" si="3"/>
        <v/>
      </c>
      <c r="X79" s="57"/>
      <c r="Y79" s="54"/>
      <c r="Z79" s="57"/>
      <c r="AA79" s="52" t="str">
        <f t="shared" si="4"/>
        <v/>
      </c>
      <c r="AB79" s="34" t="str">
        <f t="shared" ca="1" si="5"/>
        <v/>
      </c>
      <c r="AC79" s="60"/>
      <c r="AD79" s="60"/>
      <c r="AE79" s="57"/>
      <c r="AF79" s="60"/>
      <c r="AG79" s="60"/>
      <c r="AH79" s="57"/>
      <c r="AI79" s="34" t="str">
        <f>IFERROR(INDEX(PARAMETRES!$B$536:$B$586,MATCH(AH79,PARAMETRES!$J$536:$J$586,0)),"")</f>
        <v/>
      </c>
      <c r="AJ79" s="34" t="str">
        <f>IFERROR(INDEX(PARAMETRES!$D$536:$D$586,MATCH(AH79,PARAMETRES!$J$536:$J$586,0)),"")</f>
        <v/>
      </c>
      <c r="AK79" s="34" t="str">
        <f>IFERROR(INDEX(PARAMETRES!$F$536:$F$586,MATCH(AH79,PARAMETRES!$J$536:$J$586,0)),"")</f>
        <v/>
      </c>
      <c r="AL79" s="34" t="str">
        <f>IFERROR(INDEX(PARAMETRES!$H$536:$H$586,MATCH(AH79,PARAMETRES!$J$536:$J$586,0)),"")</f>
        <v/>
      </c>
      <c r="AM79" s="60"/>
      <c r="AN79" s="60"/>
      <c r="AO79" s="51"/>
      <c r="AP79" s="51"/>
      <c r="AQ79" s="51"/>
      <c r="AR79" s="51"/>
      <c r="AS79" s="51"/>
      <c r="AT79" s="51"/>
      <c r="AU79" s="51"/>
      <c r="AV79" s="52">
        <f>IF(A79="",0,COUNTIFS(tbl_Beneficiaires_Activites[ID activite],A79))</f>
        <v>0</v>
      </c>
      <c r="AW79" s="51"/>
      <c r="AX79" s="51"/>
      <c r="AY79" s="51"/>
      <c r="AZ79" s="57"/>
      <c r="BA79" s="57"/>
      <c r="BB79" s="60"/>
      <c r="BC79" s="51"/>
      <c r="BD79" s="51"/>
      <c r="BE79" s="51"/>
      <c r="BF79" s="52">
        <f t="shared" si="6"/>
        <v>0</v>
      </c>
      <c r="BG79" s="53">
        <f t="shared" si="7"/>
        <v>0</v>
      </c>
      <c r="BH79" s="57"/>
      <c r="BI79" s="60"/>
      <c r="BJ79" s="51"/>
      <c r="BK79" s="51"/>
      <c r="BL79" s="57"/>
      <c r="BM79" s="60"/>
      <c r="BN79" s="60"/>
      <c r="BO79" s="60"/>
      <c r="BP79" s="60"/>
      <c r="BQ79" s="51"/>
      <c r="BR79" s="57"/>
      <c r="BS79" s="60"/>
      <c r="BT79" s="60"/>
      <c r="BU79" s="60"/>
      <c r="BV79" s="52" t="str">
        <f t="shared" si="8"/>
        <v/>
      </c>
      <c r="BW79" s="52" t="str">
        <f t="shared" si="9"/>
        <v/>
      </c>
      <c r="BX79" s="57"/>
      <c r="BY79" s="57"/>
      <c r="BZ79" s="57"/>
      <c r="CA79" s="57"/>
      <c r="CB79" s="60"/>
      <c r="CC79" s="60"/>
      <c r="CD79" s="54"/>
      <c r="CE79" s="57"/>
      <c r="CF79" s="50"/>
      <c r="CG79" s="60"/>
      <c r="CH79" s="57"/>
      <c r="CI79" s="60"/>
      <c r="CJ79" s="60"/>
      <c r="CK79" s="52">
        <f>IF(A79="",0,COUNTIF(tbl_Activites_Documents[ID Activite],A79))</f>
        <v>0</v>
      </c>
      <c r="CL79" s="52">
        <f>IF(A79="",0,COUNTIF(tbl_Activites_Risques[ID Activite],A79))</f>
        <v>0</v>
      </c>
      <c r="CM79" s="34" t="str">
        <f t="shared" si="10"/>
        <v/>
      </c>
      <c r="CN79" s="60"/>
    </row>
    <row r="80" spans="1:92" ht="30" customHeight="1">
      <c r="A80" s="34" t="str">
        <f t="shared" si="0"/>
        <v/>
      </c>
      <c r="B80" s="60"/>
      <c r="C80" s="57"/>
      <c r="D80" s="61" t="str">
        <f>IFERROR(INDEX(tbl_Projets[Titre complet du projet],MATCH(C80,tbl_Projets[ID Projet],0)),"")</f>
        <v/>
      </c>
      <c r="E80" s="34" t="str">
        <f>IFERROR(INDEX(tbl_Projets[Domaine d''intervention],MATCH(C80,tbl_Projets[ID Projet],0)),"")</f>
        <v/>
      </c>
      <c r="F80" s="34" t="str">
        <f>IFERROR(INDEX(tbl_Projets[Nom du responsable],MATCH(C80,tbl_Projets[ID Projet],0)),"")</f>
        <v/>
      </c>
      <c r="G80" s="60"/>
      <c r="H80" s="60"/>
      <c r="I80" s="60"/>
      <c r="J80" s="57"/>
      <c r="K80" s="57"/>
      <c r="L80" s="50"/>
      <c r="M80" s="62"/>
      <c r="N80" s="62"/>
      <c r="O80" s="63" t="str">
        <f t="shared" si="1"/>
        <v/>
      </c>
      <c r="P80" s="57"/>
      <c r="Q80" s="64" t="str">
        <f>IF(L80="","",INDEX(PARAMETRES!$B$53:$B$65,MONTH(L80)))</f>
        <v/>
      </c>
      <c r="R80" s="64" t="str">
        <f>IF(L80="","",INDEX(PARAMETRES!$C$53:$C$65,MONTH(L80)))</f>
        <v/>
      </c>
      <c r="S80" s="34" t="str">
        <f t="shared" si="2"/>
        <v/>
      </c>
      <c r="T80" s="50"/>
      <c r="U80" s="62"/>
      <c r="V80" s="62"/>
      <c r="W80" s="63" t="str">
        <f t="shared" si="3"/>
        <v/>
      </c>
      <c r="X80" s="57"/>
      <c r="Y80" s="54"/>
      <c r="Z80" s="57"/>
      <c r="AA80" s="52" t="str">
        <f t="shared" si="4"/>
        <v/>
      </c>
      <c r="AB80" s="34" t="str">
        <f t="shared" ca="1" si="5"/>
        <v/>
      </c>
      <c r="AC80" s="60"/>
      <c r="AD80" s="60"/>
      <c r="AE80" s="57"/>
      <c r="AF80" s="60"/>
      <c r="AG80" s="60"/>
      <c r="AH80" s="57"/>
      <c r="AI80" s="34" t="str">
        <f>IFERROR(INDEX(PARAMETRES!$B$536:$B$586,MATCH(AH80,PARAMETRES!$J$536:$J$586,0)),"")</f>
        <v/>
      </c>
      <c r="AJ80" s="34" t="str">
        <f>IFERROR(INDEX(PARAMETRES!$D$536:$D$586,MATCH(AH80,PARAMETRES!$J$536:$J$586,0)),"")</f>
        <v/>
      </c>
      <c r="AK80" s="34" t="str">
        <f>IFERROR(INDEX(PARAMETRES!$F$536:$F$586,MATCH(AH80,PARAMETRES!$J$536:$J$586,0)),"")</f>
        <v/>
      </c>
      <c r="AL80" s="34" t="str">
        <f>IFERROR(INDEX(PARAMETRES!$H$536:$H$586,MATCH(AH80,PARAMETRES!$J$536:$J$586,0)),"")</f>
        <v/>
      </c>
      <c r="AM80" s="60"/>
      <c r="AN80" s="60"/>
      <c r="AO80" s="51"/>
      <c r="AP80" s="51"/>
      <c r="AQ80" s="51"/>
      <c r="AR80" s="51"/>
      <c r="AS80" s="51"/>
      <c r="AT80" s="51"/>
      <c r="AU80" s="51"/>
      <c r="AV80" s="52">
        <f>IF(A80="",0,COUNTIFS(tbl_Beneficiaires_Activites[ID activite],A80))</f>
        <v>0</v>
      </c>
      <c r="AW80" s="51"/>
      <c r="AX80" s="51"/>
      <c r="AY80" s="51"/>
      <c r="AZ80" s="57"/>
      <c r="BA80" s="57"/>
      <c r="BB80" s="60"/>
      <c r="BC80" s="51"/>
      <c r="BD80" s="51"/>
      <c r="BE80" s="51"/>
      <c r="BF80" s="52">
        <f t="shared" si="6"/>
        <v>0</v>
      </c>
      <c r="BG80" s="53">
        <f t="shared" si="7"/>
        <v>0</v>
      </c>
      <c r="BH80" s="57"/>
      <c r="BI80" s="60"/>
      <c r="BJ80" s="51"/>
      <c r="BK80" s="51"/>
      <c r="BL80" s="57"/>
      <c r="BM80" s="60"/>
      <c r="BN80" s="60"/>
      <c r="BO80" s="60"/>
      <c r="BP80" s="60"/>
      <c r="BQ80" s="51"/>
      <c r="BR80" s="57"/>
      <c r="BS80" s="60"/>
      <c r="BT80" s="60"/>
      <c r="BU80" s="60"/>
      <c r="BV80" s="52" t="str">
        <f t="shared" si="8"/>
        <v/>
      </c>
      <c r="BW80" s="52" t="str">
        <f t="shared" si="9"/>
        <v/>
      </c>
      <c r="BX80" s="57"/>
      <c r="BY80" s="57"/>
      <c r="BZ80" s="57"/>
      <c r="CA80" s="57"/>
      <c r="CB80" s="60"/>
      <c r="CC80" s="60"/>
      <c r="CD80" s="54"/>
      <c r="CE80" s="57"/>
      <c r="CF80" s="50"/>
      <c r="CG80" s="60"/>
      <c r="CH80" s="57"/>
      <c r="CI80" s="60"/>
      <c r="CJ80" s="60"/>
      <c r="CK80" s="52">
        <f>IF(A80="",0,COUNTIF(tbl_Activites_Documents[ID Activite],A80))</f>
        <v>0</v>
      </c>
      <c r="CL80" s="52">
        <f>IF(A80="",0,COUNTIF(tbl_Activites_Risques[ID Activite],A80))</f>
        <v>0</v>
      </c>
      <c r="CM80" s="34" t="str">
        <f t="shared" si="10"/>
        <v/>
      </c>
      <c r="CN80" s="60"/>
    </row>
    <row r="81" spans="1:92" ht="30" customHeight="1">
      <c r="A81" s="34" t="str">
        <f t="shared" si="0"/>
        <v/>
      </c>
      <c r="B81" s="60"/>
      <c r="C81" s="57"/>
      <c r="D81" s="61" t="str">
        <f>IFERROR(INDEX(tbl_Projets[Titre complet du projet],MATCH(C81,tbl_Projets[ID Projet],0)),"")</f>
        <v/>
      </c>
      <c r="E81" s="34" t="str">
        <f>IFERROR(INDEX(tbl_Projets[Domaine d''intervention],MATCH(C81,tbl_Projets[ID Projet],0)),"")</f>
        <v/>
      </c>
      <c r="F81" s="34" t="str">
        <f>IFERROR(INDEX(tbl_Projets[Nom du responsable],MATCH(C81,tbl_Projets[ID Projet],0)),"")</f>
        <v/>
      </c>
      <c r="G81" s="60"/>
      <c r="H81" s="60"/>
      <c r="I81" s="60"/>
      <c r="J81" s="57"/>
      <c r="K81" s="57"/>
      <c r="L81" s="50"/>
      <c r="M81" s="62"/>
      <c r="N81" s="62"/>
      <c r="O81" s="63" t="str">
        <f t="shared" si="1"/>
        <v/>
      </c>
      <c r="P81" s="57"/>
      <c r="Q81" s="64" t="str">
        <f>IF(L81="","",INDEX(PARAMETRES!$B$53:$B$65,MONTH(L81)))</f>
        <v/>
      </c>
      <c r="R81" s="64" t="str">
        <f>IF(L81="","",INDEX(PARAMETRES!$C$53:$C$65,MONTH(L81)))</f>
        <v/>
      </c>
      <c r="S81" s="34" t="str">
        <f t="shared" si="2"/>
        <v/>
      </c>
      <c r="T81" s="50"/>
      <c r="U81" s="62"/>
      <c r="V81" s="62"/>
      <c r="W81" s="63" t="str">
        <f t="shared" si="3"/>
        <v/>
      </c>
      <c r="X81" s="57"/>
      <c r="Y81" s="54"/>
      <c r="Z81" s="57"/>
      <c r="AA81" s="52" t="str">
        <f t="shared" si="4"/>
        <v/>
      </c>
      <c r="AB81" s="34" t="str">
        <f t="shared" ca="1" si="5"/>
        <v/>
      </c>
      <c r="AC81" s="60"/>
      <c r="AD81" s="60"/>
      <c r="AE81" s="57"/>
      <c r="AF81" s="60"/>
      <c r="AG81" s="60"/>
      <c r="AH81" s="57"/>
      <c r="AI81" s="34" t="str">
        <f>IFERROR(INDEX(PARAMETRES!$B$536:$B$586,MATCH(AH81,PARAMETRES!$J$536:$J$586,0)),"")</f>
        <v/>
      </c>
      <c r="AJ81" s="34" t="str">
        <f>IFERROR(INDEX(PARAMETRES!$D$536:$D$586,MATCH(AH81,PARAMETRES!$J$536:$J$586,0)),"")</f>
        <v/>
      </c>
      <c r="AK81" s="34" t="str">
        <f>IFERROR(INDEX(PARAMETRES!$F$536:$F$586,MATCH(AH81,PARAMETRES!$J$536:$J$586,0)),"")</f>
        <v/>
      </c>
      <c r="AL81" s="34" t="str">
        <f>IFERROR(INDEX(PARAMETRES!$H$536:$H$586,MATCH(AH81,PARAMETRES!$J$536:$J$586,0)),"")</f>
        <v/>
      </c>
      <c r="AM81" s="60"/>
      <c r="AN81" s="60"/>
      <c r="AO81" s="51"/>
      <c r="AP81" s="51"/>
      <c r="AQ81" s="51"/>
      <c r="AR81" s="51"/>
      <c r="AS81" s="51"/>
      <c r="AT81" s="51"/>
      <c r="AU81" s="51"/>
      <c r="AV81" s="52">
        <f>IF(A81="",0,COUNTIFS(tbl_Beneficiaires_Activites[ID activite],A81))</f>
        <v>0</v>
      </c>
      <c r="AW81" s="51"/>
      <c r="AX81" s="51"/>
      <c r="AY81" s="51"/>
      <c r="AZ81" s="57"/>
      <c r="BA81" s="57"/>
      <c r="BB81" s="60"/>
      <c r="BC81" s="51"/>
      <c r="BD81" s="51"/>
      <c r="BE81" s="51"/>
      <c r="BF81" s="52">
        <f t="shared" si="6"/>
        <v>0</v>
      </c>
      <c r="BG81" s="53">
        <f t="shared" si="7"/>
        <v>0</v>
      </c>
      <c r="BH81" s="57"/>
      <c r="BI81" s="60"/>
      <c r="BJ81" s="51"/>
      <c r="BK81" s="51"/>
      <c r="BL81" s="57"/>
      <c r="BM81" s="60"/>
      <c r="BN81" s="60"/>
      <c r="BO81" s="60"/>
      <c r="BP81" s="60"/>
      <c r="BQ81" s="51"/>
      <c r="BR81" s="57"/>
      <c r="BS81" s="60"/>
      <c r="BT81" s="60"/>
      <c r="BU81" s="60"/>
      <c r="BV81" s="52" t="str">
        <f t="shared" si="8"/>
        <v/>
      </c>
      <c r="BW81" s="52" t="str">
        <f t="shared" si="9"/>
        <v/>
      </c>
      <c r="BX81" s="57"/>
      <c r="BY81" s="57"/>
      <c r="BZ81" s="57"/>
      <c r="CA81" s="57"/>
      <c r="CB81" s="60"/>
      <c r="CC81" s="60"/>
      <c r="CD81" s="54"/>
      <c r="CE81" s="57"/>
      <c r="CF81" s="50"/>
      <c r="CG81" s="60"/>
      <c r="CH81" s="57"/>
      <c r="CI81" s="60"/>
      <c r="CJ81" s="60"/>
      <c r="CK81" s="52">
        <f>IF(A81="",0,COUNTIF(tbl_Activites_Documents[ID Activite],A81))</f>
        <v>0</v>
      </c>
      <c r="CL81" s="52">
        <f>IF(A81="",0,COUNTIF(tbl_Activites_Risques[ID Activite],A81))</f>
        <v>0</v>
      </c>
      <c r="CM81" s="34" t="str">
        <f t="shared" si="10"/>
        <v/>
      </c>
      <c r="CN81" s="60"/>
    </row>
    <row r="82" spans="1:92" ht="30" customHeight="1">
      <c r="A82" s="34" t="str">
        <f t="shared" si="0"/>
        <v/>
      </c>
      <c r="B82" s="60"/>
      <c r="C82" s="57"/>
      <c r="D82" s="61" t="str">
        <f>IFERROR(INDEX(tbl_Projets[Titre complet du projet],MATCH(C82,tbl_Projets[ID Projet],0)),"")</f>
        <v/>
      </c>
      <c r="E82" s="34" t="str">
        <f>IFERROR(INDEX(tbl_Projets[Domaine d''intervention],MATCH(C82,tbl_Projets[ID Projet],0)),"")</f>
        <v/>
      </c>
      <c r="F82" s="34" t="str">
        <f>IFERROR(INDEX(tbl_Projets[Nom du responsable],MATCH(C82,tbl_Projets[ID Projet],0)),"")</f>
        <v/>
      </c>
      <c r="G82" s="60"/>
      <c r="H82" s="60"/>
      <c r="I82" s="60"/>
      <c r="J82" s="57"/>
      <c r="K82" s="57"/>
      <c r="L82" s="50"/>
      <c r="M82" s="62"/>
      <c r="N82" s="62"/>
      <c r="O82" s="63" t="str">
        <f t="shared" si="1"/>
        <v/>
      </c>
      <c r="P82" s="57"/>
      <c r="Q82" s="64" t="str">
        <f>IF(L82="","",INDEX(PARAMETRES!$B$53:$B$65,MONTH(L82)))</f>
        <v/>
      </c>
      <c r="R82" s="64" t="str">
        <f>IF(L82="","",INDEX(PARAMETRES!$C$53:$C$65,MONTH(L82)))</f>
        <v/>
      </c>
      <c r="S82" s="34" t="str">
        <f t="shared" si="2"/>
        <v/>
      </c>
      <c r="T82" s="50"/>
      <c r="U82" s="62"/>
      <c r="V82" s="62"/>
      <c r="W82" s="63" t="str">
        <f t="shared" si="3"/>
        <v/>
      </c>
      <c r="X82" s="57"/>
      <c r="Y82" s="54"/>
      <c r="Z82" s="57"/>
      <c r="AA82" s="52" t="str">
        <f t="shared" si="4"/>
        <v/>
      </c>
      <c r="AB82" s="34" t="str">
        <f t="shared" ca="1" si="5"/>
        <v/>
      </c>
      <c r="AC82" s="60"/>
      <c r="AD82" s="60"/>
      <c r="AE82" s="57"/>
      <c r="AF82" s="60"/>
      <c r="AG82" s="60"/>
      <c r="AH82" s="57"/>
      <c r="AI82" s="34" t="str">
        <f>IFERROR(INDEX(PARAMETRES!$B$536:$B$586,MATCH(AH82,PARAMETRES!$J$536:$J$586,0)),"")</f>
        <v/>
      </c>
      <c r="AJ82" s="34" t="str">
        <f>IFERROR(INDEX(PARAMETRES!$D$536:$D$586,MATCH(AH82,PARAMETRES!$J$536:$J$586,0)),"")</f>
        <v/>
      </c>
      <c r="AK82" s="34" t="str">
        <f>IFERROR(INDEX(PARAMETRES!$F$536:$F$586,MATCH(AH82,PARAMETRES!$J$536:$J$586,0)),"")</f>
        <v/>
      </c>
      <c r="AL82" s="34" t="str">
        <f>IFERROR(INDEX(PARAMETRES!$H$536:$H$586,MATCH(AH82,PARAMETRES!$J$536:$J$586,0)),"")</f>
        <v/>
      </c>
      <c r="AM82" s="60"/>
      <c r="AN82" s="60"/>
      <c r="AO82" s="51"/>
      <c r="AP82" s="51"/>
      <c r="AQ82" s="51"/>
      <c r="AR82" s="51"/>
      <c r="AS82" s="51"/>
      <c r="AT82" s="51"/>
      <c r="AU82" s="51"/>
      <c r="AV82" s="52">
        <f>IF(A82="",0,COUNTIFS(tbl_Beneficiaires_Activites[ID activite],A82))</f>
        <v>0</v>
      </c>
      <c r="AW82" s="51"/>
      <c r="AX82" s="51"/>
      <c r="AY82" s="51"/>
      <c r="AZ82" s="57"/>
      <c r="BA82" s="57"/>
      <c r="BB82" s="60"/>
      <c r="BC82" s="51"/>
      <c r="BD82" s="51"/>
      <c r="BE82" s="51"/>
      <c r="BF82" s="52">
        <f t="shared" si="6"/>
        <v>0</v>
      </c>
      <c r="BG82" s="53">
        <f t="shared" si="7"/>
        <v>0</v>
      </c>
      <c r="BH82" s="57"/>
      <c r="BI82" s="60"/>
      <c r="BJ82" s="51"/>
      <c r="BK82" s="51"/>
      <c r="BL82" s="57"/>
      <c r="BM82" s="60"/>
      <c r="BN82" s="60"/>
      <c r="BO82" s="60"/>
      <c r="BP82" s="60"/>
      <c r="BQ82" s="51"/>
      <c r="BR82" s="57"/>
      <c r="BS82" s="60"/>
      <c r="BT82" s="60"/>
      <c r="BU82" s="60"/>
      <c r="BV82" s="52" t="str">
        <f t="shared" si="8"/>
        <v/>
      </c>
      <c r="BW82" s="52" t="str">
        <f t="shared" si="9"/>
        <v/>
      </c>
      <c r="BX82" s="57"/>
      <c r="BY82" s="57"/>
      <c r="BZ82" s="57"/>
      <c r="CA82" s="57"/>
      <c r="CB82" s="60"/>
      <c r="CC82" s="60"/>
      <c r="CD82" s="54"/>
      <c r="CE82" s="57"/>
      <c r="CF82" s="50"/>
      <c r="CG82" s="60"/>
      <c r="CH82" s="57"/>
      <c r="CI82" s="60"/>
      <c r="CJ82" s="60"/>
      <c r="CK82" s="52">
        <f>IF(A82="",0,COUNTIF(tbl_Activites_Documents[ID Activite],A82))</f>
        <v>0</v>
      </c>
      <c r="CL82" s="52">
        <f>IF(A82="",0,COUNTIF(tbl_Activites_Risques[ID Activite],A82))</f>
        <v>0</v>
      </c>
      <c r="CM82" s="34" t="str">
        <f t="shared" si="10"/>
        <v/>
      </c>
      <c r="CN82" s="60"/>
    </row>
    <row r="83" spans="1:92" ht="30" customHeight="1">
      <c r="A83" s="34" t="str">
        <f t="shared" si="0"/>
        <v/>
      </c>
      <c r="B83" s="60"/>
      <c r="C83" s="57"/>
      <c r="D83" s="61" t="str">
        <f>IFERROR(INDEX(tbl_Projets[Titre complet du projet],MATCH(C83,tbl_Projets[ID Projet],0)),"")</f>
        <v/>
      </c>
      <c r="E83" s="34" t="str">
        <f>IFERROR(INDEX(tbl_Projets[Domaine d''intervention],MATCH(C83,tbl_Projets[ID Projet],0)),"")</f>
        <v/>
      </c>
      <c r="F83" s="34" t="str">
        <f>IFERROR(INDEX(tbl_Projets[Nom du responsable],MATCH(C83,tbl_Projets[ID Projet],0)),"")</f>
        <v/>
      </c>
      <c r="G83" s="60"/>
      <c r="H83" s="60"/>
      <c r="I83" s="60"/>
      <c r="J83" s="57"/>
      <c r="K83" s="57"/>
      <c r="L83" s="50"/>
      <c r="M83" s="62"/>
      <c r="N83" s="62"/>
      <c r="O83" s="63" t="str">
        <f t="shared" si="1"/>
        <v/>
      </c>
      <c r="P83" s="57"/>
      <c r="Q83" s="64" t="str">
        <f>IF(L83="","",INDEX(PARAMETRES!$B$53:$B$65,MONTH(L83)))</f>
        <v/>
      </c>
      <c r="R83" s="64" t="str">
        <f>IF(L83="","",INDEX(PARAMETRES!$C$53:$C$65,MONTH(L83)))</f>
        <v/>
      </c>
      <c r="S83" s="34" t="str">
        <f t="shared" si="2"/>
        <v/>
      </c>
      <c r="T83" s="50"/>
      <c r="U83" s="62"/>
      <c r="V83" s="62"/>
      <c r="W83" s="63" t="str">
        <f t="shared" si="3"/>
        <v/>
      </c>
      <c r="X83" s="57"/>
      <c r="Y83" s="54"/>
      <c r="Z83" s="57"/>
      <c r="AA83" s="52" t="str">
        <f t="shared" si="4"/>
        <v/>
      </c>
      <c r="AB83" s="34" t="str">
        <f t="shared" ca="1" si="5"/>
        <v/>
      </c>
      <c r="AC83" s="60"/>
      <c r="AD83" s="60"/>
      <c r="AE83" s="57"/>
      <c r="AF83" s="60"/>
      <c r="AG83" s="60"/>
      <c r="AH83" s="57"/>
      <c r="AI83" s="34" t="str">
        <f>IFERROR(INDEX(PARAMETRES!$B$536:$B$586,MATCH(AH83,PARAMETRES!$J$536:$J$586,0)),"")</f>
        <v/>
      </c>
      <c r="AJ83" s="34" t="str">
        <f>IFERROR(INDEX(PARAMETRES!$D$536:$D$586,MATCH(AH83,PARAMETRES!$J$536:$J$586,0)),"")</f>
        <v/>
      </c>
      <c r="AK83" s="34" t="str">
        <f>IFERROR(INDEX(PARAMETRES!$F$536:$F$586,MATCH(AH83,PARAMETRES!$J$536:$J$586,0)),"")</f>
        <v/>
      </c>
      <c r="AL83" s="34" t="str">
        <f>IFERROR(INDEX(PARAMETRES!$H$536:$H$586,MATCH(AH83,PARAMETRES!$J$536:$J$586,0)),"")</f>
        <v/>
      </c>
      <c r="AM83" s="60"/>
      <c r="AN83" s="60"/>
      <c r="AO83" s="51"/>
      <c r="AP83" s="51"/>
      <c r="AQ83" s="51"/>
      <c r="AR83" s="51"/>
      <c r="AS83" s="51"/>
      <c r="AT83" s="51"/>
      <c r="AU83" s="51"/>
      <c r="AV83" s="52">
        <f>IF(A83="",0,COUNTIFS(tbl_Beneficiaires_Activites[ID activite],A83))</f>
        <v>0</v>
      </c>
      <c r="AW83" s="51"/>
      <c r="AX83" s="51"/>
      <c r="AY83" s="51"/>
      <c r="AZ83" s="57"/>
      <c r="BA83" s="57"/>
      <c r="BB83" s="60"/>
      <c r="BC83" s="51"/>
      <c r="BD83" s="51"/>
      <c r="BE83" s="51"/>
      <c r="BF83" s="52">
        <f t="shared" si="6"/>
        <v>0</v>
      </c>
      <c r="BG83" s="53">
        <f t="shared" si="7"/>
        <v>0</v>
      </c>
      <c r="BH83" s="57"/>
      <c r="BI83" s="60"/>
      <c r="BJ83" s="51"/>
      <c r="BK83" s="51"/>
      <c r="BL83" s="57"/>
      <c r="BM83" s="60"/>
      <c r="BN83" s="60"/>
      <c r="BO83" s="60"/>
      <c r="BP83" s="60"/>
      <c r="BQ83" s="51"/>
      <c r="BR83" s="57"/>
      <c r="BS83" s="60"/>
      <c r="BT83" s="60"/>
      <c r="BU83" s="60"/>
      <c r="BV83" s="52" t="str">
        <f t="shared" si="8"/>
        <v/>
      </c>
      <c r="BW83" s="52" t="str">
        <f t="shared" si="9"/>
        <v/>
      </c>
      <c r="BX83" s="57"/>
      <c r="BY83" s="57"/>
      <c r="BZ83" s="57"/>
      <c r="CA83" s="57"/>
      <c r="CB83" s="60"/>
      <c r="CC83" s="60"/>
      <c r="CD83" s="54"/>
      <c r="CE83" s="57"/>
      <c r="CF83" s="50"/>
      <c r="CG83" s="60"/>
      <c r="CH83" s="57"/>
      <c r="CI83" s="60"/>
      <c r="CJ83" s="60"/>
      <c r="CK83" s="52">
        <f>IF(A83="",0,COUNTIF(tbl_Activites_Documents[ID Activite],A83))</f>
        <v>0</v>
      </c>
      <c r="CL83" s="52">
        <f>IF(A83="",0,COUNTIF(tbl_Activites_Risques[ID Activite],A83))</f>
        <v>0</v>
      </c>
      <c r="CM83" s="34" t="str">
        <f t="shared" si="10"/>
        <v/>
      </c>
      <c r="CN83" s="60"/>
    </row>
    <row r="84" spans="1:92" ht="30" customHeight="1">
      <c r="A84" s="34" t="str">
        <f t="shared" si="0"/>
        <v/>
      </c>
      <c r="B84" s="60"/>
      <c r="C84" s="57"/>
      <c r="D84" s="61" t="str">
        <f>IFERROR(INDEX(tbl_Projets[Titre complet du projet],MATCH(C84,tbl_Projets[ID Projet],0)),"")</f>
        <v/>
      </c>
      <c r="E84" s="34" t="str">
        <f>IFERROR(INDEX(tbl_Projets[Domaine d''intervention],MATCH(C84,tbl_Projets[ID Projet],0)),"")</f>
        <v/>
      </c>
      <c r="F84" s="34" t="str">
        <f>IFERROR(INDEX(tbl_Projets[Nom du responsable],MATCH(C84,tbl_Projets[ID Projet],0)),"")</f>
        <v/>
      </c>
      <c r="G84" s="60"/>
      <c r="H84" s="60"/>
      <c r="I84" s="60"/>
      <c r="J84" s="57"/>
      <c r="K84" s="57"/>
      <c r="L84" s="50"/>
      <c r="M84" s="62"/>
      <c r="N84" s="62"/>
      <c r="O84" s="63" t="str">
        <f t="shared" si="1"/>
        <v/>
      </c>
      <c r="P84" s="57"/>
      <c r="Q84" s="64" t="str">
        <f>IF(L84="","",INDEX(PARAMETRES!$B$53:$B$65,MONTH(L84)))</f>
        <v/>
      </c>
      <c r="R84" s="64" t="str">
        <f>IF(L84="","",INDEX(PARAMETRES!$C$53:$C$65,MONTH(L84)))</f>
        <v/>
      </c>
      <c r="S84" s="34" t="str">
        <f t="shared" si="2"/>
        <v/>
      </c>
      <c r="T84" s="50"/>
      <c r="U84" s="62"/>
      <c r="V84" s="62"/>
      <c r="W84" s="63" t="str">
        <f t="shared" si="3"/>
        <v/>
      </c>
      <c r="X84" s="57"/>
      <c r="Y84" s="54"/>
      <c r="Z84" s="57"/>
      <c r="AA84" s="52" t="str">
        <f t="shared" si="4"/>
        <v/>
      </c>
      <c r="AB84" s="34" t="str">
        <f t="shared" ca="1" si="5"/>
        <v/>
      </c>
      <c r="AC84" s="60"/>
      <c r="AD84" s="60"/>
      <c r="AE84" s="57"/>
      <c r="AF84" s="60"/>
      <c r="AG84" s="60"/>
      <c r="AH84" s="57"/>
      <c r="AI84" s="34" t="str">
        <f>IFERROR(INDEX(PARAMETRES!$B$536:$B$586,MATCH(AH84,PARAMETRES!$J$536:$J$586,0)),"")</f>
        <v/>
      </c>
      <c r="AJ84" s="34" t="str">
        <f>IFERROR(INDEX(PARAMETRES!$D$536:$D$586,MATCH(AH84,PARAMETRES!$J$536:$J$586,0)),"")</f>
        <v/>
      </c>
      <c r="AK84" s="34" t="str">
        <f>IFERROR(INDEX(PARAMETRES!$F$536:$F$586,MATCH(AH84,PARAMETRES!$J$536:$J$586,0)),"")</f>
        <v/>
      </c>
      <c r="AL84" s="34" t="str">
        <f>IFERROR(INDEX(PARAMETRES!$H$536:$H$586,MATCH(AH84,PARAMETRES!$J$536:$J$586,0)),"")</f>
        <v/>
      </c>
      <c r="AM84" s="60"/>
      <c r="AN84" s="60"/>
      <c r="AO84" s="51"/>
      <c r="AP84" s="51"/>
      <c r="AQ84" s="51"/>
      <c r="AR84" s="51"/>
      <c r="AS84" s="51"/>
      <c r="AT84" s="51"/>
      <c r="AU84" s="51"/>
      <c r="AV84" s="52">
        <f>IF(A84="",0,COUNTIFS(tbl_Beneficiaires_Activites[ID activite],A84))</f>
        <v>0</v>
      </c>
      <c r="AW84" s="51"/>
      <c r="AX84" s="51"/>
      <c r="AY84" s="51"/>
      <c r="AZ84" s="57"/>
      <c r="BA84" s="57"/>
      <c r="BB84" s="60"/>
      <c r="BC84" s="51"/>
      <c r="BD84" s="51"/>
      <c r="BE84" s="51"/>
      <c r="BF84" s="52">
        <f t="shared" si="6"/>
        <v>0</v>
      </c>
      <c r="BG84" s="53">
        <f t="shared" si="7"/>
        <v>0</v>
      </c>
      <c r="BH84" s="57"/>
      <c r="BI84" s="60"/>
      <c r="BJ84" s="51"/>
      <c r="BK84" s="51"/>
      <c r="BL84" s="57"/>
      <c r="BM84" s="60"/>
      <c r="BN84" s="60"/>
      <c r="BO84" s="60"/>
      <c r="BP84" s="60"/>
      <c r="BQ84" s="51"/>
      <c r="BR84" s="57"/>
      <c r="BS84" s="60"/>
      <c r="BT84" s="60"/>
      <c r="BU84" s="60"/>
      <c r="BV84" s="52" t="str">
        <f t="shared" si="8"/>
        <v/>
      </c>
      <c r="BW84" s="52" t="str">
        <f t="shared" si="9"/>
        <v/>
      </c>
      <c r="BX84" s="57"/>
      <c r="BY84" s="57"/>
      <c r="BZ84" s="57"/>
      <c r="CA84" s="57"/>
      <c r="CB84" s="60"/>
      <c r="CC84" s="60"/>
      <c r="CD84" s="54"/>
      <c r="CE84" s="57"/>
      <c r="CF84" s="50"/>
      <c r="CG84" s="60"/>
      <c r="CH84" s="57"/>
      <c r="CI84" s="60"/>
      <c r="CJ84" s="60"/>
      <c r="CK84" s="52">
        <f>IF(A84="",0,COUNTIF(tbl_Activites_Documents[ID Activite],A84))</f>
        <v>0</v>
      </c>
      <c r="CL84" s="52">
        <f>IF(A84="",0,COUNTIF(tbl_Activites_Risques[ID Activite],A84))</f>
        <v>0</v>
      </c>
      <c r="CM84" s="34" t="str">
        <f t="shared" si="10"/>
        <v/>
      </c>
      <c r="CN84" s="60"/>
    </row>
    <row r="85" spans="1:92" ht="30" customHeight="1">
      <c r="A85" s="34" t="str">
        <f t="shared" si="0"/>
        <v/>
      </c>
      <c r="B85" s="60"/>
      <c r="C85" s="57"/>
      <c r="D85" s="61" t="str">
        <f>IFERROR(INDEX(tbl_Projets[Titre complet du projet],MATCH(C85,tbl_Projets[ID Projet],0)),"")</f>
        <v/>
      </c>
      <c r="E85" s="34" t="str">
        <f>IFERROR(INDEX(tbl_Projets[Domaine d''intervention],MATCH(C85,tbl_Projets[ID Projet],0)),"")</f>
        <v/>
      </c>
      <c r="F85" s="34" t="str">
        <f>IFERROR(INDEX(tbl_Projets[Nom du responsable],MATCH(C85,tbl_Projets[ID Projet],0)),"")</f>
        <v/>
      </c>
      <c r="G85" s="60"/>
      <c r="H85" s="60"/>
      <c r="I85" s="60"/>
      <c r="J85" s="57"/>
      <c r="K85" s="57"/>
      <c r="L85" s="50"/>
      <c r="M85" s="62"/>
      <c r="N85" s="62"/>
      <c r="O85" s="63" t="str">
        <f t="shared" si="1"/>
        <v/>
      </c>
      <c r="P85" s="57"/>
      <c r="Q85" s="64" t="str">
        <f>IF(L85="","",INDEX(PARAMETRES!$B$53:$B$65,MONTH(L85)))</f>
        <v/>
      </c>
      <c r="R85" s="64" t="str">
        <f>IF(L85="","",INDEX(PARAMETRES!$C$53:$C$65,MONTH(L85)))</f>
        <v/>
      </c>
      <c r="S85" s="34" t="str">
        <f t="shared" si="2"/>
        <v/>
      </c>
      <c r="T85" s="50"/>
      <c r="U85" s="62"/>
      <c r="V85" s="62"/>
      <c r="W85" s="63" t="str">
        <f t="shared" si="3"/>
        <v/>
      </c>
      <c r="X85" s="57"/>
      <c r="Y85" s="54"/>
      <c r="Z85" s="57"/>
      <c r="AA85" s="52" t="str">
        <f t="shared" si="4"/>
        <v/>
      </c>
      <c r="AB85" s="34" t="str">
        <f t="shared" ca="1" si="5"/>
        <v/>
      </c>
      <c r="AC85" s="60"/>
      <c r="AD85" s="60"/>
      <c r="AE85" s="57"/>
      <c r="AF85" s="60"/>
      <c r="AG85" s="60"/>
      <c r="AH85" s="57"/>
      <c r="AI85" s="34" t="str">
        <f>IFERROR(INDEX(PARAMETRES!$B$536:$B$586,MATCH(AH85,PARAMETRES!$J$536:$J$586,0)),"")</f>
        <v/>
      </c>
      <c r="AJ85" s="34" t="str">
        <f>IFERROR(INDEX(PARAMETRES!$D$536:$D$586,MATCH(AH85,PARAMETRES!$J$536:$J$586,0)),"")</f>
        <v/>
      </c>
      <c r="AK85" s="34" t="str">
        <f>IFERROR(INDEX(PARAMETRES!$F$536:$F$586,MATCH(AH85,PARAMETRES!$J$536:$J$586,0)),"")</f>
        <v/>
      </c>
      <c r="AL85" s="34" t="str">
        <f>IFERROR(INDEX(PARAMETRES!$H$536:$H$586,MATCH(AH85,PARAMETRES!$J$536:$J$586,0)),"")</f>
        <v/>
      </c>
      <c r="AM85" s="60"/>
      <c r="AN85" s="60"/>
      <c r="AO85" s="51"/>
      <c r="AP85" s="51"/>
      <c r="AQ85" s="51"/>
      <c r="AR85" s="51"/>
      <c r="AS85" s="51"/>
      <c r="AT85" s="51"/>
      <c r="AU85" s="51"/>
      <c r="AV85" s="52">
        <f>IF(A85="",0,COUNTIFS(tbl_Beneficiaires_Activites[ID activite],A85))</f>
        <v>0</v>
      </c>
      <c r="AW85" s="51"/>
      <c r="AX85" s="51"/>
      <c r="AY85" s="51"/>
      <c r="AZ85" s="57"/>
      <c r="BA85" s="57"/>
      <c r="BB85" s="60"/>
      <c r="BC85" s="51"/>
      <c r="BD85" s="51"/>
      <c r="BE85" s="51"/>
      <c r="BF85" s="52">
        <f t="shared" si="6"/>
        <v>0</v>
      </c>
      <c r="BG85" s="53">
        <f t="shared" si="7"/>
        <v>0</v>
      </c>
      <c r="BH85" s="57"/>
      <c r="BI85" s="60"/>
      <c r="BJ85" s="51"/>
      <c r="BK85" s="51"/>
      <c r="BL85" s="57"/>
      <c r="BM85" s="60"/>
      <c r="BN85" s="60"/>
      <c r="BO85" s="60"/>
      <c r="BP85" s="60"/>
      <c r="BQ85" s="51"/>
      <c r="BR85" s="57"/>
      <c r="BS85" s="60"/>
      <c r="BT85" s="60"/>
      <c r="BU85" s="60"/>
      <c r="BV85" s="52" t="str">
        <f t="shared" si="8"/>
        <v/>
      </c>
      <c r="BW85" s="52" t="str">
        <f t="shared" si="9"/>
        <v/>
      </c>
      <c r="BX85" s="57"/>
      <c r="BY85" s="57"/>
      <c r="BZ85" s="57"/>
      <c r="CA85" s="57"/>
      <c r="CB85" s="60"/>
      <c r="CC85" s="60"/>
      <c r="CD85" s="54"/>
      <c r="CE85" s="57"/>
      <c r="CF85" s="50"/>
      <c r="CG85" s="60"/>
      <c r="CH85" s="57"/>
      <c r="CI85" s="60"/>
      <c r="CJ85" s="60"/>
      <c r="CK85" s="52">
        <f>IF(A85="",0,COUNTIF(tbl_Activites_Documents[ID Activite],A85))</f>
        <v>0</v>
      </c>
      <c r="CL85" s="52">
        <f>IF(A85="",0,COUNTIF(tbl_Activites_Risques[ID Activite],A85))</f>
        <v>0</v>
      </c>
      <c r="CM85" s="34" t="str">
        <f t="shared" si="10"/>
        <v/>
      </c>
      <c r="CN85" s="60"/>
    </row>
    <row r="86" spans="1:92" ht="30" customHeight="1">
      <c r="A86" s="34" t="str">
        <f t="shared" si="0"/>
        <v/>
      </c>
      <c r="B86" s="60"/>
      <c r="C86" s="57"/>
      <c r="D86" s="61" t="str">
        <f>IFERROR(INDEX(tbl_Projets[Titre complet du projet],MATCH(C86,tbl_Projets[ID Projet],0)),"")</f>
        <v/>
      </c>
      <c r="E86" s="34" t="str">
        <f>IFERROR(INDEX(tbl_Projets[Domaine d''intervention],MATCH(C86,tbl_Projets[ID Projet],0)),"")</f>
        <v/>
      </c>
      <c r="F86" s="34" t="str">
        <f>IFERROR(INDEX(tbl_Projets[Nom du responsable],MATCH(C86,tbl_Projets[ID Projet],0)),"")</f>
        <v/>
      </c>
      <c r="G86" s="60"/>
      <c r="H86" s="60"/>
      <c r="I86" s="60"/>
      <c r="J86" s="57"/>
      <c r="K86" s="57"/>
      <c r="L86" s="50"/>
      <c r="M86" s="62"/>
      <c r="N86" s="62"/>
      <c r="O86" s="63" t="str">
        <f t="shared" si="1"/>
        <v/>
      </c>
      <c r="P86" s="57"/>
      <c r="Q86" s="64" t="str">
        <f>IF(L86="","",INDEX(PARAMETRES!$B$53:$B$65,MONTH(L86)))</f>
        <v/>
      </c>
      <c r="R86" s="64" t="str">
        <f>IF(L86="","",INDEX(PARAMETRES!$C$53:$C$65,MONTH(L86)))</f>
        <v/>
      </c>
      <c r="S86" s="34" t="str">
        <f t="shared" si="2"/>
        <v/>
      </c>
      <c r="T86" s="50"/>
      <c r="U86" s="62"/>
      <c r="V86" s="62"/>
      <c r="W86" s="63" t="str">
        <f t="shared" si="3"/>
        <v/>
      </c>
      <c r="X86" s="57"/>
      <c r="Y86" s="54"/>
      <c r="Z86" s="57"/>
      <c r="AA86" s="52" t="str">
        <f t="shared" si="4"/>
        <v/>
      </c>
      <c r="AB86" s="34" t="str">
        <f t="shared" ca="1" si="5"/>
        <v/>
      </c>
      <c r="AC86" s="60"/>
      <c r="AD86" s="60"/>
      <c r="AE86" s="57"/>
      <c r="AF86" s="60"/>
      <c r="AG86" s="60"/>
      <c r="AH86" s="57"/>
      <c r="AI86" s="34" t="str">
        <f>IFERROR(INDEX(PARAMETRES!$B$536:$B$586,MATCH(AH86,PARAMETRES!$J$536:$J$586,0)),"")</f>
        <v/>
      </c>
      <c r="AJ86" s="34" t="str">
        <f>IFERROR(INDEX(PARAMETRES!$D$536:$D$586,MATCH(AH86,PARAMETRES!$J$536:$J$586,0)),"")</f>
        <v/>
      </c>
      <c r="AK86" s="34" t="str">
        <f>IFERROR(INDEX(PARAMETRES!$F$536:$F$586,MATCH(AH86,PARAMETRES!$J$536:$J$586,0)),"")</f>
        <v/>
      </c>
      <c r="AL86" s="34" t="str">
        <f>IFERROR(INDEX(PARAMETRES!$H$536:$H$586,MATCH(AH86,PARAMETRES!$J$536:$J$586,0)),"")</f>
        <v/>
      </c>
      <c r="AM86" s="60"/>
      <c r="AN86" s="60"/>
      <c r="AO86" s="51"/>
      <c r="AP86" s="51"/>
      <c r="AQ86" s="51"/>
      <c r="AR86" s="51"/>
      <c r="AS86" s="51"/>
      <c r="AT86" s="51"/>
      <c r="AU86" s="51"/>
      <c r="AV86" s="52">
        <f>IF(A86="",0,COUNTIFS(tbl_Beneficiaires_Activites[ID activite],A86))</f>
        <v>0</v>
      </c>
      <c r="AW86" s="51"/>
      <c r="AX86" s="51"/>
      <c r="AY86" s="51"/>
      <c r="AZ86" s="57"/>
      <c r="BA86" s="57"/>
      <c r="BB86" s="60"/>
      <c r="BC86" s="51"/>
      <c r="BD86" s="51"/>
      <c r="BE86" s="51"/>
      <c r="BF86" s="52">
        <f t="shared" si="6"/>
        <v>0</v>
      </c>
      <c r="BG86" s="53">
        <f t="shared" si="7"/>
        <v>0</v>
      </c>
      <c r="BH86" s="57"/>
      <c r="BI86" s="60"/>
      <c r="BJ86" s="51"/>
      <c r="BK86" s="51"/>
      <c r="BL86" s="57"/>
      <c r="BM86" s="60"/>
      <c r="BN86" s="60"/>
      <c r="BO86" s="60"/>
      <c r="BP86" s="60"/>
      <c r="BQ86" s="51"/>
      <c r="BR86" s="57"/>
      <c r="BS86" s="60"/>
      <c r="BT86" s="60"/>
      <c r="BU86" s="60"/>
      <c r="BV86" s="52" t="str">
        <f t="shared" si="8"/>
        <v/>
      </c>
      <c r="BW86" s="52" t="str">
        <f t="shared" si="9"/>
        <v/>
      </c>
      <c r="BX86" s="57"/>
      <c r="BY86" s="57"/>
      <c r="BZ86" s="57"/>
      <c r="CA86" s="57"/>
      <c r="CB86" s="60"/>
      <c r="CC86" s="60"/>
      <c r="CD86" s="54"/>
      <c r="CE86" s="57"/>
      <c r="CF86" s="50"/>
      <c r="CG86" s="60"/>
      <c r="CH86" s="57"/>
      <c r="CI86" s="60"/>
      <c r="CJ86" s="60"/>
      <c r="CK86" s="52">
        <f>IF(A86="",0,COUNTIF(tbl_Activites_Documents[ID Activite],A86))</f>
        <v>0</v>
      </c>
      <c r="CL86" s="52">
        <f>IF(A86="",0,COUNTIF(tbl_Activites_Risques[ID Activite],A86))</f>
        <v>0</v>
      </c>
      <c r="CM86" s="34" t="str">
        <f t="shared" si="10"/>
        <v/>
      </c>
      <c r="CN86" s="60"/>
    </row>
    <row r="87" spans="1:92" ht="30" customHeight="1">
      <c r="A87" s="34" t="str">
        <f t="shared" si="0"/>
        <v/>
      </c>
      <c r="B87" s="60"/>
      <c r="C87" s="57"/>
      <c r="D87" s="61" t="str">
        <f>IFERROR(INDEX(tbl_Projets[Titre complet du projet],MATCH(C87,tbl_Projets[ID Projet],0)),"")</f>
        <v/>
      </c>
      <c r="E87" s="34" t="str">
        <f>IFERROR(INDEX(tbl_Projets[Domaine d''intervention],MATCH(C87,tbl_Projets[ID Projet],0)),"")</f>
        <v/>
      </c>
      <c r="F87" s="34" t="str">
        <f>IFERROR(INDEX(tbl_Projets[Nom du responsable],MATCH(C87,tbl_Projets[ID Projet],0)),"")</f>
        <v/>
      </c>
      <c r="G87" s="60"/>
      <c r="H87" s="60"/>
      <c r="I87" s="60"/>
      <c r="J87" s="57"/>
      <c r="K87" s="57"/>
      <c r="L87" s="50"/>
      <c r="M87" s="62"/>
      <c r="N87" s="62"/>
      <c r="O87" s="63" t="str">
        <f t="shared" si="1"/>
        <v/>
      </c>
      <c r="P87" s="57"/>
      <c r="Q87" s="64" t="str">
        <f>IF(L87="","",INDEX(PARAMETRES!$B$53:$B$65,MONTH(L87)))</f>
        <v/>
      </c>
      <c r="R87" s="64" t="str">
        <f>IF(L87="","",INDEX(PARAMETRES!$C$53:$C$65,MONTH(L87)))</f>
        <v/>
      </c>
      <c r="S87" s="34" t="str">
        <f t="shared" si="2"/>
        <v/>
      </c>
      <c r="T87" s="50"/>
      <c r="U87" s="62"/>
      <c r="V87" s="62"/>
      <c r="W87" s="63" t="str">
        <f t="shared" si="3"/>
        <v/>
      </c>
      <c r="X87" s="57"/>
      <c r="Y87" s="54"/>
      <c r="Z87" s="57"/>
      <c r="AA87" s="52" t="str">
        <f t="shared" si="4"/>
        <v/>
      </c>
      <c r="AB87" s="34" t="str">
        <f t="shared" ca="1" si="5"/>
        <v/>
      </c>
      <c r="AC87" s="60"/>
      <c r="AD87" s="60"/>
      <c r="AE87" s="57"/>
      <c r="AF87" s="60"/>
      <c r="AG87" s="60"/>
      <c r="AH87" s="57"/>
      <c r="AI87" s="34" t="str">
        <f>IFERROR(INDEX(PARAMETRES!$B$536:$B$586,MATCH(AH87,PARAMETRES!$J$536:$J$586,0)),"")</f>
        <v/>
      </c>
      <c r="AJ87" s="34" t="str">
        <f>IFERROR(INDEX(PARAMETRES!$D$536:$D$586,MATCH(AH87,PARAMETRES!$J$536:$J$586,0)),"")</f>
        <v/>
      </c>
      <c r="AK87" s="34" t="str">
        <f>IFERROR(INDEX(PARAMETRES!$F$536:$F$586,MATCH(AH87,PARAMETRES!$J$536:$J$586,0)),"")</f>
        <v/>
      </c>
      <c r="AL87" s="34" t="str">
        <f>IFERROR(INDEX(PARAMETRES!$H$536:$H$586,MATCH(AH87,PARAMETRES!$J$536:$J$586,0)),"")</f>
        <v/>
      </c>
      <c r="AM87" s="60"/>
      <c r="AN87" s="60"/>
      <c r="AO87" s="51"/>
      <c r="AP87" s="51"/>
      <c r="AQ87" s="51"/>
      <c r="AR87" s="51"/>
      <c r="AS87" s="51"/>
      <c r="AT87" s="51"/>
      <c r="AU87" s="51"/>
      <c r="AV87" s="52">
        <f>IF(A87="",0,COUNTIFS(tbl_Beneficiaires_Activites[ID activite],A87))</f>
        <v>0</v>
      </c>
      <c r="AW87" s="51"/>
      <c r="AX87" s="51"/>
      <c r="AY87" s="51"/>
      <c r="AZ87" s="57"/>
      <c r="BA87" s="57"/>
      <c r="BB87" s="60"/>
      <c r="BC87" s="51"/>
      <c r="BD87" s="51"/>
      <c r="BE87" s="51"/>
      <c r="BF87" s="52">
        <f t="shared" si="6"/>
        <v>0</v>
      </c>
      <c r="BG87" s="53">
        <f t="shared" si="7"/>
        <v>0</v>
      </c>
      <c r="BH87" s="57"/>
      <c r="BI87" s="60"/>
      <c r="BJ87" s="51"/>
      <c r="BK87" s="51"/>
      <c r="BL87" s="57"/>
      <c r="BM87" s="60"/>
      <c r="BN87" s="60"/>
      <c r="BO87" s="60"/>
      <c r="BP87" s="60"/>
      <c r="BQ87" s="51"/>
      <c r="BR87" s="57"/>
      <c r="BS87" s="60"/>
      <c r="BT87" s="60"/>
      <c r="BU87" s="60"/>
      <c r="BV87" s="52" t="str">
        <f t="shared" si="8"/>
        <v/>
      </c>
      <c r="BW87" s="52" t="str">
        <f t="shared" si="9"/>
        <v/>
      </c>
      <c r="BX87" s="57"/>
      <c r="BY87" s="57"/>
      <c r="BZ87" s="57"/>
      <c r="CA87" s="57"/>
      <c r="CB87" s="60"/>
      <c r="CC87" s="60"/>
      <c r="CD87" s="54"/>
      <c r="CE87" s="57"/>
      <c r="CF87" s="50"/>
      <c r="CG87" s="60"/>
      <c r="CH87" s="57"/>
      <c r="CI87" s="60"/>
      <c r="CJ87" s="60"/>
      <c r="CK87" s="52">
        <f>IF(A87="",0,COUNTIF(tbl_Activites_Documents[ID Activite],A87))</f>
        <v>0</v>
      </c>
      <c r="CL87" s="52">
        <f>IF(A87="",0,COUNTIF(tbl_Activites_Risques[ID Activite],A87))</f>
        <v>0</v>
      </c>
      <c r="CM87" s="34" t="str">
        <f t="shared" si="10"/>
        <v/>
      </c>
      <c r="CN87" s="60"/>
    </row>
    <row r="88" spans="1:92" ht="30" customHeight="1">
      <c r="A88" s="34" t="str">
        <f t="shared" ref="A88:A105" si="11">IF(G88="","","ACT"&amp;TEXT(ROW()-55,"00000"))</f>
        <v/>
      </c>
      <c r="B88" s="60"/>
      <c r="C88" s="57"/>
      <c r="D88" s="61" t="str">
        <f>IFERROR(INDEX(tbl_Projets[Titre complet du projet],MATCH(C88,tbl_Projets[ID Projet],0)),"")</f>
        <v/>
      </c>
      <c r="E88" s="34" t="str">
        <f>IFERROR(INDEX(tbl_Projets[Domaine d''intervention],MATCH(C88,tbl_Projets[ID Projet],0)),"")</f>
        <v/>
      </c>
      <c r="F88" s="34" t="str">
        <f>IFERROR(INDEX(tbl_Projets[Nom du responsable],MATCH(C88,tbl_Projets[ID Projet],0)),"")</f>
        <v/>
      </c>
      <c r="G88" s="60"/>
      <c r="H88" s="60"/>
      <c r="I88" s="60"/>
      <c r="J88" s="57"/>
      <c r="K88" s="57"/>
      <c r="L88" s="50"/>
      <c r="M88" s="62"/>
      <c r="N88" s="62"/>
      <c r="O88" s="63" t="str">
        <f t="shared" ref="O88:O105" si="12">IF(OR(M88="",N88=""),"",(N88-M88)*24)</f>
        <v/>
      </c>
      <c r="P88" s="57"/>
      <c r="Q88" s="64" t="str">
        <f>IF(L88="","",INDEX(PARAMETRES!$B$53:$B$65,MONTH(L88)))</f>
        <v/>
      </c>
      <c r="R88" s="64" t="str">
        <f>IF(L88="","",INDEX(PARAMETRES!$C$53:$C$65,MONTH(L88)))</f>
        <v/>
      </c>
      <c r="S88" s="34" t="str">
        <f t="shared" ref="S88:S105" si="13">IF(L88="","",YEAR(L88))</f>
        <v/>
      </c>
      <c r="T88" s="50"/>
      <c r="U88" s="62"/>
      <c r="V88" s="62"/>
      <c r="W88" s="63" t="str">
        <f t="shared" ref="W88:W105" si="14">IF(OR(U88="",V88=""),"",(V88-U88)*24)</f>
        <v/>
      </c>
      <c r="X88" s="57"/>
      <c r="Y88" s="54"/>
      <c r="Z88" s="57"/>
      <c r="AA88" s="52" t="str">
        <f t="shared" ref="AA88:AA105" si="15">IF(AND(L88&lt;&gt;"",T88&lt;&gt;""),T88-L88,"")</f>
        <v/>
      </c>
      <c r="AB88" s="34" t="str">
        <f t="shared" ref="AB88:AB105" ca="1" si="16">IF(L88="","",IF(AND(TODAY()&gt;L88,T88="",NOT(OR(Z88="Realisee",Z88="Annulee"))),"OUI","NON"))</f>
        <v/>
      </c>
      <c r="AC88" s="60"/>
      <c r="AD88" s="60"/>
      <c r="AE88" s="57"/>
      <c r="AF88" s="60"/>
      <c r="AG88" s="60"/>
      <c r="AH88" s="57"/>
      <c r="AI88" s="34" t="str">
        <f>IFERROR(INDEX(PARAMETRES!$B$536:$B$586,MATCH(AH88,PARAMETRES!$J$536:$J$586,0)),"")</f>
        <v/>
      </c>
      <c r="AJ88" s="34" t="str">
        <f>IFERROR(INDEX(PARAMETRES!$D$536:$D$586,MATCH(AH88,PARAMETRES!$J$536:$J$586,0)),"")</f>
        <v/>
      </c>
      <c r="AK88" s="34" t="str">
        <f>IFERROR(INDEX(PARAMETRES!$F$536:$F$586,MATCH(AH88,PARAMETRES!$J$536:$J$586,0)),"")</f>
        <v/>
      </c>
      <c r="AL88" s="34" t="str">
        <f>IFERROR(INDEX(PARAMETRES!$H$536:$H$586,MATCH(AH88,PARAMETRES!$J$536:$J$586,0)),"")</f>
        <v/>
      </c>
      <c r="AM88" s="60"/>
      <c r="AN88" s="60"/>
      <c r="AO88" s="51"/>
      <c r="AP88" s="51"/>
      <c r="AQ88" s="51"/>
      <c r="AR88" s="51"/>
      <c r="AS88" s="51"/>
      <c r="AT88" s="51"/>
      <c r="AU88" s="51"/>
      <c r="AV88" s="52">
        <f>IF(A88="",0,COUNTIFS(tbl_Beneficiaires_Activites[ID activite],A88))</f>
        <v>0</v>
      </c>
      <c r="AW88" s="51"/>
      <c r="AX88" s="51"/>
      <c r="AY88" s="51"/>
      <c r="AZ88" s="57"/>
      <c r="BA88" s="57"/>
      <c r="BB88" s="60"/>
      <c r="BC88" s="51"/>
      <c r="BD88" s="51"/>
      <c r="BE88" s="51"/>
      <c r="BF88" s="52">
        <f t="shared" ref="BF88:BF105" si="17">IF(BD88="",0,BD88)-IF(BE88="",0,BE88)</f>
        <v>0</v>
      </c>
      <c r="BG88" s="53">
        <f t="shared" ref="BG88:BG105" si="18">IF(OR(BD88="",BD88=0),0,BE88/BD88)</f>
        <v>0</v>
      </c>
      <c r="BH88" s="57"/>
      <c r="BI88" s="60"/>
      <c r="BJ88" s="51"/>
      <c r="BK88" s="51"/>
      <c r="BL88" s="57"/>
      <c r="BM88" s="60"/>
      <c r="BN88" s="60"/>
      <c r="BO88" s="60"/>
      <c r="BP88" s="60"/>
      <c r="BQ88" s="51"/>
      <c r="BR88" s="57"/>
      <c r="BS88" s="60"/>
      <c r="BT88" s="60"/>
      <c r="BU88" s="60"/>
      <c r="BV88" s="52" t="str">
        <f t="shared" ref="BV88:BV105" si="19">IF(OR(AO88="",AV88=""),"",AV88-AO88)</f>
        <v/>
      </c>
      <c r="BW88" s="52" t="str">
        <f t="shared" ref="BW88:BW105" si="20">IF(OR(BE88="",BD88=""),"",BE88-BD88)</f>
        <v/>
      </c>
      <c r="BX88" s="57"/>
      <c r="BY88" s="57"/>
      <c r="BZ88" s="57"/>
      <c r="CA88" s="57"/>
      <c r="CB88" s="60"/>
      <c r="CC88" s="60"/>
      <c r="CD88" s="54"/>
      <c r="CE88" s="57"/>
      <c r="CF88" s="50"/>
      <c r="CG88" s="60"/>
      <c r="CH88" s="57"/>
      <c r="CI88" s="60"/>
      <c r="CJ88" s="60"/>
      <c r="CK88" s="52">
        <f>IF(A88="",0,COUNTIF(tbl_Activites_Documents[ID Activite],A88))</f>
        <v>0</v>
      </c>
      <c r="CL88" s="52">
        <f>IF(A88="",0,COUNTIF(tbl_Activites_Risques[ID Activite],A88))</f>
        <v>0</v>
      </c>
      <c r="CM88" s="34" t="str">
        <f t="shared" ref="CM88:CM105" si="21">IF(A88="","",IF(BE88&gt;BD88,"OUI","NON"))</f>
        <v/>
      </c>
      <c r="CN88" s="60"/>
    </row>
    <row r="89" spans="1:92" ht="30" customHeight="1">
      <c r="A89" s="34" t="str">
        <f t="shared" si="11"/>
        <v/>
      </c>
      <c r="B89" s="60"/>
      <c r="C89" s="57"/>
      <c r="D89" s="61" t="str">
        <f>IFERROR(INDEX(tbl_Projets[Titre complet du projet],MATCH(C89,tbl_Projets[ID Projet],0)),"")</f>
        <v/>
      </c>
      <c r="E89" s="34" t="str">
        <f>IFERROR(INDEX(tbl_Projets[Domaine d''intervention],MATCH(C89,tbl_Projets[ID Projet],0)),"")</f>
        <v/>
      </c>
      <c r="F89" s="34" t="str">
        <f>IFERROR(INDEX(tbl_Projets[Nom du responsable],MATCH(C89,tbl_Projets[ID Projet],0)),"")</f>
        <v/>
      </c>
      <c r="G89" s="60"/>
      <c r="H89" s="60"/>
      <c r="I89" s="60"/>
      <c r="J89" s="57"/>
      <c r="K89" s="57"/>
      <c r="L89" s="50"/>
      <c r="M89" s="62"/>
      <c r="N89" s="62"/>
      <c r="O89" s="63" t="str">
        <f t="shared" si="12"/>
        <v/>
      </c>
      <c r="P89" s="57"/>
      <c r="Q89" s="64" t="str">
        <f>IF(L89="","",INDEX(PARAMETRES!$B$53:$B$65,MONTH(L89)))</f>
        <v/>
      </c>
      <c r="R89" s="64" t="str">
        <f>IF(L89="","",INDEX(PARAMETRES!$C$53:$C$65,MONTH(L89)))</f>
        <v/>
      </c>
      <c r="S89" s="34" t="str">
        <f t="shared" si="13"/>
        <v/>
      </c>
      <c r="T89" s="50"/>
      <c r="U89" s="62"/>
      <c r="V89" s="62"/>
      <c r="W89" s="63" t="str">
        <f t="shared" si="14"/>
        <v/>
      </c>
      <c r="X89" s="57"/>
      <c r="Y89" s="54"/>
      <c r="Z89" s="57"/>
      <c r="AA89" s="52" t="str">
        <f t="shared" si="15"/>
        <v/>
      </c>
      <c r="AB89" s="34" t="str">
        <f t="shared" ca="1" si="16"/>
        <v/>
      </c>
      <c r="AC89" s="60"/>
      <c r="AD89" s="60"/>
      <c r="AE89" s="57"/>
      <c r="AF89" s="60"/>
      <c r="AG89" s="60"/>
      <c r="AH89" s="57"/>
      <c r="AI89" s="34" t="str">
        <f>IFERROR(INDEX(PARAMETRES!$B$536:$B$586,MATCH(AH89,PARAMETRES!$J$536:$J$586,0)),"")</f>
        <v/>
      </c>
      <c r="AJ89" s="34" t="str">
        <f>IFERROR(INDEX(PARAMETRES!$D$536:$D$586,MATCH(AH89,PARAMETRES!$J$536:$J$586,0)),"")</f>
        <v/>
      </c>
      <c r="AK89" s="34" t="str">
        <f>IFERROR(INDEX(PARAMETRES!$F$536:$F$586,MATCH(AH89,PARAMETRES!$J$536:$J$586,0)),"")</f>
        <v/>
      </c>
      <c r="AL89" s="34" t="str">
        <f>IFERROR(INDEX(PARAMETRES!$H$536:$H$586,MATCH(AH89,PARAMETRES!$J$536:$J$586,0)),"")</f>
        <v/>
      </c>
      <c r="AM89" s="60"/>
      <c r="AN89" s="60"/>
      <c r="AO89" s="51"/>
      <c r="AP89" s="51"/>
      <c r="AQ89" s="51"/>
      <c r="AR89" s="51"/>
      <c r="AS89" s="51"/>
      <c r="AT89" s="51"/>
      <c r="AU89" s="51"/>
      <c r="AV89" s="52">
        <f>IF(A89="",0,COUNTIFS(tbl_Beneficiaires_Activites[ID activite],A89))</f>
        <v>0</v>
      </c>
      <c r="AW89" s="51"/>
      <c r="AX89" s="51"/>
      <c r="AY89" s="51"/>
      <c r="AZ89" s="57"/>
      <c r="BA89" s="57"/>
      <c r="BB89" s="60"/>
      <c r="BC89" s="51"/>
      <c r="BD89" s="51"/>
      <c r="BE89" s="51"/>
      <c r="BF89" s="52">
        <f t="shared" si="17"/>
        <v>0</v>
      </c>
      <c r="BG89" s="53">
        <f t="shared" si="18"/>
        <v>0</v>
      </c>
      <c r="BH89" s="57"/>
      <c r="BI89" s="60"/>
      <c r="BJ89" s="51"/>
      <c r="BK89" s="51"/>
      <c r="BL89" s="57"/>
      <c r="BM89" s="60"/>
      <c r="BN89" s="60"/>
      <c r="BO89" s="60"/>
      <c r="BP89" s="60"/>
      <c r="BQ89" s="51"/>
      <c r="BR89" s="57"/>
      <c r="BS89" s="60"/>
      <c r="BT89" s="60"/>
      <c r="BU89" s="60"/>
      <c r="BV89" s="52" t="str">
        <f t="shared" si="19"/>
        <v/>
      </c>
      <c r="BW89" s="52" t="str">
        <f t="shared" si="20"/>
        <v/>
      </c>
      <c r="BX89" s="57"/>
      <c r="BY89" s="57"/>
      <c r="BZ89" s="57"/>
      <c r="CA89" s="57"/>
      <c r="CB89" s="60"/>
      <c r="CC89" s="60"/>
      <c r="CD89" s="54"/>
      <c r="CE89" s="57"/>
      <c r="CF89" s="50"/>
      <c r="CG89" s="60"/>
      <c r="CH89" s="57"/>
      <c r="CI89" s="60"/>
      <c r="CJ89" s="60"/>
      <c r="CK89" s="52">
        <f>IF(A89="",0,COUNTIF(tbl_Activites_Documents[ID Activite],A89))</f>
        <v>0</v>
      </c>
      <c r="CL89" s="52">
        <f>IF(A89="",0,COUNTIF(tbl_Activites_Risques[ID Activite],A89))</f>
        <v>0</v>
      </c>
      <c r="CM89" s="34" t="str">
        <f t="shared" si="21"/>
        <v/>
      </c>
      <c r="CN89" s="60"/>
    </row>
    <row r="90" spans="1:92" ht="30" customHeight="1">
      <c r="A90" s="34" t="str">
        <f t="shared" si="11"/>
        <v/>
      </c>
      <c r="B90" s="60"/>
      <c r="C90" s="57"/>
      <c r="D90" s="61" t="str">
        <f>IFERROR(INDEX(tbl_Projets[Titre complet du projet],MATCH(C90,tbl_Projets[ID Projet],0)),"")</f>
        <v/>
      </c>
      <c r="E90" s="34" t="str">
        <f>IFERROR(INDEX(tbl_Projets[Domaine d''intervention],MATCH(C90,tbl_Projets[ID Projet],0)),"")</f>
        <v/>
      </c>
      <c r="F90" s="34" t="str">
        <f>IFERROR(INDEX(tbl_Projets[Nom du responsable],MATCH(C90,tbl_Projets[ID Projet],0)),"")</f>
        <v/>
      </c>
      <c r="G90" s="60"/>
      <c r="H90" s="60"/>
      <c r="I90" s="60"/>
      <c r="J90" s="57"/>
      <c r="K90" s="57"/>
      <c r="L90" s="50"/>
      <c r="M90" s="62"/>
      <c r="N90" s="62"/>
      <c r="O90" s="63" t="str">
        <f t="shared" si="12"/>
        <v/>
      </c>
      <c r="P90" s="57"/>
      <c r="Q90" s="64" t="str">
        <f>IF(L90="","",INDEX(PARAMETRES!$B$53:$B$65,MONTH(L90)))</f>
        <v/>
      </c>
      <c r="R90" s="64" t="str">
        <f>IF(L90="","",INDEX(PARAMETRES!$C$53:$C$65,MONTH(L90)))</f>
        <v/>
      </c>
      <c r="S90" s="34" t="str">
        <f t="shared" si="13"/>
        <v/>
      </c>
      <c r="T90" s="50"/>
      <c r="U90" s="62"/>
      <c r="V90" s="62"/>
      <c r="W90" s="63" t="str">
        <f t="shared" si="14"/>
        <v/>
      </c>
      <c r="X90" s="57"/>
      <c r="Y90" s="54"/>
      <c r="Z90" s="57"/>
      <c r="AA90" s="52" t="str">
        <f t="shared" si="15"/>
        <v/>
      </c>
      <c r="AB90" s="34" t="str">
        <f t="shared" ca="1" si="16"/>
        <v/>
      </c>
      <c r="AC90" s="60"/>
      <c r="AD90" s="60"/>
      <c r="AE90" s="57"/>
      <c r="AF90" s="60"/>
      <c r="AG90" s="60"/>
      <c r="AH90" s="57"/>
      <c r="AI90" s="34" t="str">
        <f>IFERROR(INDEX(PARAMETRES!$B$536:$B$586,MATCH(AH90,PARAMETRES!$J$536:$J$586,0)),"")</f>
        <v/>
      </c>
      <c r="AJ90" s="34" t="str">
        <f>IFERROR(INDEX(PARAMETRES!$D$536:$D$586,MATCH(AH90,PARAMETRES!$J$536:$J$586,0)),"")</f>
        <v/>
      </c>
      <c r="AK90" s="34" t="str">
        <f>IFERROR(INDEX(PARAMETRES!$F$536:$F$586,MATCH(AH90,PARAMETRES!$J$536:$J$586,0)),"")</f>
        <v/>
      </c>
      <c r="AL90" s="34" t="str">
        <f>IFERROR(INDEX(PARAMETRES!$H$536:$H$586,MATCH(AH90,PARAMETRES!$J$536:$J$586,0)),"")</f>
        <v/>
      </c>
      <c r="AM90" s="60"/>
      <c r="AN90" s="60"/>
      <c r="AO90" s="51"/>
      <c r="AP90" s="51"/>
      <c r="AQ90" s="51"/>
      <c r="AR90" s="51"/>
      <c r="AS90" s="51"/>
      <c r="AT90" s="51"/>
      <c r="AU90" s="51"/>
      <c r="AV90" s="52">
        <f>IF(A90="",0,COUNTIFS(tbl_Beneficiaires_Activites[ID activite],A90))</f>
        <v>0</v>
      </c>
      <c r="AW90" s="51"/>
      <c r="AX90" s="51"/>
      <c r="AY90" s="51"/>
      <c r="AZ90" s="57"/>
      <c r="BA90" s="57"/>
      <c r="BB90" s="60"/>
      <c r="BC90" s="51"/>
      <c r="BD90" s="51"/>
      <c r="BE90" s="51"/>
      <c r="BF90" s="52">
        <f t="shared" si="17"/>
        <v>0</v>
      </c>
      <c r="BG90" s="53">
        <f t="shared" si="18"/>
        <v>0</v>
      </c>
      <c r="BH90" s="57"/>
      <c r="BI90" s="60"/>
      <c r="BJ90" s="51"/>
      <c r="BK90" s="51"/>
      <c r="BL90" s="57"/>
      <c r="BM90" s="60"/>
      <c r="BN90" s="60"/>
      <c r="BO90" s="60"/>
      <c r="BP90" s="60"/>
      <c r="BQ90" s="51"/>
      <c r="BR90" s="57"/>
      <c r="BS90" s="60"/>
      <c r="BT90" s="60"/>
      <c r="BU90" s="60"/>
      <c r="BV90" s="52" t="str">
        <f t="shared" si="19"/>
        <v/>
      </c>
      <c r="BW90" s="52" t="str">
        <f t="shared" si="20"/>
        <v/>
      </c>
      <c r="BX90" s="57"/>
      <c r="BY90" s="57"/>
      <c r="BZ90" s="57"/>
      <c r="CA90" s="57"/>
      <c r="CB90" s="60"/>
      <c r="CC90" s="60"/>
      <c r="CD90" s="54"/>
      <c r="CE90" s="57"/>
      <c r="CF90" s="50"/>
      <c r="CG90" s="60"/>
      <c r="CH90" s="57"/>
      <c r="CI90" s="60"/>
      <c r="CJ90" s="60"/>
      <c r="CK90" s="52">
        <f>IF(A90="",0,COUNTIF(tbl_Activites_Documents[ID Activite],A90))</f>
        <v>0</v>
      </c>
      <c r="CL90" s="52">
        <f>IF(A90="",0,COUNTIF(tbl_Activites_Risques[ID Activite],A90))</f>
        <v>0</v>
      </c>
      <c r="CM90" s="34" t="str">
        <f t="shared" si="21"/>
        <v/>
      </c>
      <c r="CN90" s="60"/>
    </row>
    <row r="91" spans="1:92" ht="30" customHeight="1">
      <c r="A91" s="34" t="str">
        <f t="shared" si="11"/>
        <v/>
      </c>
      <c r="B91" s="60"/>
      <c r="C91" s="57"/>
      <c r="D91" s="61" t="str">
        <f>IFERROR(INDEX(tbl_Projets[Titre complet du projet],MATCH(C91,tbl_Projets[ID Projet],0)),"")</f>
        <v/>
      </c>
      <c r="E91" s="34" t="str">
        <f>IFERROR(INDEX(tbl_Projets[Domaine d''intervention],MATCH(C91,tbl_Projets[ID Projet],0)),"")</f>
        <v/>
      </c>
      <c r="F91" s="34" t="str">
        <f>IFERROR(INDEX(tbl_Projets[Nom du responsable],MATCH(C91,tbl_Projets[ID Projet],0)),"")</f>
        <v/>
      </c>
      <c r="G91" s="60"/>
      <c r="H91" s="60"/>
      <c r="I91" s="60"/>
      <c r="J91" s="57"/>
      <c r="K91" s="57"/>
      <c r="L91" s="50"/>
      <c r="M91" s="62"/>
      <c r="N91" s="62"/>
      <c r="O91" s="63" t="str">
        <f t="shared" si="12"/>
        <v/>
      </c>
      <c r="P91" s="57"/>
      <c r="Q91" s="64" t="str">
        <f>IF(L91="","",INDEX(PARAMETRES!$B$53:$B$65,MONTH(L91)))</f>
        <v/>
      </c>
      <c r="R91" s="64" t="str">
        <f>IF(L91="","",INDEX(PARAMETRES!$C$53:$C$65,MONTH(L91)))</f>
        <v/>
      </c>
      <c r="S91" s="34" t="str">
        <f t="shared" si="13"/>
        <v/>
      </c>
      <c r="T91" s="50"/>
      <c r="U91" s="62"/>
      <c r="V91" s="62"/>
      <c r="W91" s="63" t="str">
        <f t="shared" si="14"/>
        <v/>
      </c>
      <c r="X91" s="57"/>
      <c r="Y91" s="54"/>
      <c r="Z91" s="57"/>
      <c r="AA91" s="52" t="str">
        <f t="shared" si="15"/>
        <v/>
      </c>
      <c r="AB91" s="34" t="str">
        <f t="shared" ca="1" si="16"/>
        <v/>
      </c>
      <c r="AC91" s="60"/>
      <c r="AD91" s="60"/>
      <c r="AE91" s="57"/>
      <c r="AF91" s="60"/>
      <c r="AG91" s="60"/>
      <c r="AH91" s="57"/>
      <c r="AI91" s="34" t="str">
        <f>IFERROR(INDEX(PARAMETRES!$B$536:$B$586,MATCH(AH91,PARAMETRES!$J$536:$J$586,0)),"")</f>
        <v/>
      </c>
      <c r="AJ91" s="34" t="str">
        <f>IFERROR(INDEX(PARAMETRES!$D$536:$D$586,MATCH(AH91,PARAMETRES!$J$536:$J$586,0)),"")</f>
        <v/>
      </c>
      <c r="AK91" s="34" t="str">
        <f>IFERROR(INDEX(PARAMETRES!$F$536:$F$586,MATCH(AH91,PARAMETRES!$J$536:$J$586,0)),"")</f>
        <v/>
      </c>
      <c r="AL91" s="34" t="str">
        <f>IFERROR(INDEX(PARAMETRES!$H$536:$H$586,MATCH(AH91,PARAMETRES!$J$536:$J$586,0)),"")</f>
        <v/>
      </c>
      <c r="AM91" s="60"/>
      <c r="AN91" s="60"/>
      <c r="AO91" s="51"/>
      <c r="AP91" s="51"/>
      <c r="AQ91" s="51"/>
      <c r="AR91" s="51"/>
      <c r="AS91" s="51"/>
      <c r="AT91" s="51"/>
      <c r="AU91" s="51"/>
      <c r="AV91" s="52">
        <f>IF(A91="",0,COUNTIFS(tbl_Beneficiaires_Activites[ID activite],A91))</f>
        <v>0</v>
      </c>
      <c r="AW91" s="51"/>
      <c r="AX91" s="51"/>
      <c r="AY91" s="51"/>
      <c r="AZ91" s="57"/>
      <c r="BA91" s="57"/>
      <c r="BB91" s="60"/>
      <c r="BC91" s="51"/>
      <c r="BD91" s="51"/>
      <c r="BE91" s="51"/>
      <c r="BF91" s="52">
        <f t="shared" si="17"/>
        <v>0</v>
      </c>
      <c r="BG91" s="53">
        <f t="shared" si="18"/>
        <v>0</v>
      </c>
      <c r="BH91" s="57"/>
      <c r="BI91" s="60"/>
      <c r="BJ91" s="51"/>
      <c r="BK91" s="51"/>
      <c r="BL91" s="57"/>
      <c r="BM91" s="60"/>
      <c r="BN91" s="60"/>
      <c r="BO91" s="60"/>
      <c r="BP91" s="60"/>
      <c r="BQ91" s="51"/>
      <c r="BR91" s="57"/>
      <c r="BS91" s="60"/>
      <c r="BT91" s="60"/>
      <c r="BU91" s="60"/>
      <c r="BV91" s="52" t="str">
        <f t="shared" si="19"/>
        <v/>
      </c>
      <c r="BW91" s="52" t="str">
        <f t="shared" si="20"/>
        <v/>
      </c>
      <c r="BX91" s="57"/>
      <c r="BY91" s="57"/>
      <c r="BZ91" s="57"/>
      <c r="CA91" s="57"/>
      <c r="CB91" s="60"/>
      <c r="CC91" s="60"/>
      <c r="CD91" s="54"/>
      <c r="CE91" s="57"/>
      <c r="CF91" s="50"/>
      <c r="CG91" s="60"/>
      <c r="CH91" s="57"/>
      <c r="CI91" s="60"/>
      <c r="CJ91" s="60"/>
      <c r="CK91" s="52">
        <f>IF(A91="",0,COUNTIF(tbl_Activites_Documents[ID Activite],A91))</f>
        <v>0</v>
      </c>
      <c r="CL91" s="52">
        <f>IF(A91="",0,COUNTIF(tbl_Activites_Risques[ID Activite],A91))</f>
        <v>0</v>
      </c>
      <c r="CM91" s="34" t="str">
        <f t="shared" si="21"/>
        <v/>
      </c>
      <c r="CN91" s="60"/>
    </row>
    <row r="92" spans="1:92" ht="30" customHeight="1">
      <c r="A92" s="34" t="str">
        <f t="shared" si="11"/>
        <v/>
      </c>
      <c r="B92" s="60"/>
      <c r="C92" s="57"/>
      <c r="D92" s="61" t="str">
        <f>IFERROR(INDEX(tbl_Projets[Titre complet du projet],MATCH(C92,tbl_Projets[ID Projet],0)),"")</f>
        <v/>
      </c>
      <c r="E92" s="34" t="str">
        <f>IFERROR(INDEX(tbl_Projets[Domaine d''intervention],MATCH(C92,tbl_Projets[ID Projet],0)),"")</f>
        <v/>
      </c>
      <c r="F92" s="34" t="str">
        <f>IFERROR(INDEX(tbl_Projets[Nom du responsable],MATCH(C92,tbl_Projets[ID Projet],0)),"")</f>
        <v/>
      </c>
      <c r="G92" s="60"/>
      <c r="H92" s="60"/>
      <c r="I92" s="60"/>
      <c r="J92" s="57"/>
      <c r="K92" s="57"/>
      <c r="L92" s="50"/>
      <c r="M92" s="62"/>
      <c r="N92" s="62"/>
      <c r="O92" s="63" t="str">
        <f t="shared" si="12"/>
        <v/>
      </c>
      <c r="P92" s="57"/>
      <c r="Q92" s="64" t="str">
        <f>IF(L92="","",INDEX(PARAMETRES!$B$53:$B$65,MONTH(L92)))</f>
        <v/>
      </c>
      <c r="R92" s="64" t="str">
        <f>IF(L92="","",INDEX(PARAMETRES!$C$53:$C$65,MONTH(L92)))</f>
        <v/>
      </c>
      <c r="S92" s="34" t="str">
        <f t="shared" si="13"/>
        <v/>
      </c>
      <c r="T92" s="50"/>
      <c r="U92" s="62"/>
      <c r="V92" s="62"/>
      <c r="W92" s="63" t="str">
        <f t="shared" si="14"/>
        <v/>
      </c>
      <c r="X92" s="57"/>
      <c r="Y92" s="54"/>
      <c r="Z92" s="57"/>
      <c r="AA92" s="52" t="str">
        <f t="shared" si="15"/>
        <v/>
      </c>
      <c r="AB92" s="34" t="str">
        <f t="shared" ca="1" si="16"/>
        <v/>
      </c>
      <c r="AC92" s="60"/>
      <c r="AD92" s="60"/>
      <c r="AE92" s="57"/>
      <c r="AF92" s="60"/>
      <c r="AG92" s="60"/>
      <c r="AH92" s="57"/>
      <c r="AI92" s="34" t="str">
        <f>IFERROR(INDEX(PARAMETRES!$B$536:$B$586,MATCH(AH92,PARAMETRES!$J$536:$J$586,0)),"")</f>
        <v/>
      </c>
      <c r="AJ92" s="34" t="str">
        <f>IFERROR(INDEX(PARAMETRES!$D$536:$D$586,MATCH(AH92,PARAMETRES!$J$536:$J$586,0)),"")</f>
        <v/>
      </c>
      <c r="AK92" s="34" t="str">
        <f>IFERROR(INDEX(PARAMETRES!$F$536:$F$586,MATCH(AH92,PARAMETRES!$J$536:$J$586,0)),"")</f>
        <v/>
      </c>
      <c r="AL92" s="34" t="str">
        <f>IFERROR(INDEX(PARAMETRES!$H$536:$H$586,MATCH(AH92,PARAMETRES!$J$536:$J$586,0)),"")</f>
        <v/>
      </c>
      <c r="AM92" s="60"/>
      <c r="AN92" s="60"/>
      <c r="AO92" s="51"/>
      <c r="AP92" s="51"/>
      <c r="AQ92" s="51"/>
      <c r="AR92" s="51"/>
      <c r="AS92" s="51"/>
      <c r="AT92" s="51"/>
      <c r="AU92" s="51"/>
      <c r="AV92" s="52">
        <f>IF(A92="",0,COUNTIFS(tbl_Beneficiaires_Activites[ID activite],A92))</f>
        <v>0</v>
      </c>
      <c r="AW92" s="51"/>
      <c r="AX92" s="51"/>
      <c r="AY92" s="51"/>
      <c r="AZ92" s="57"/>
      <c r="BA92" s="57"/>
      <c r="BB92" s="60"/>
      <c r="BC92" s="51"/>
      <c r="BD92" s="51"/>
      <c r="BE92" s="51"/>
      <c r="BF92" s="52">
        <f t="shared" si="17"/>
        <v>0</v>
      </c>
      <c r="BG92" s="53">
        <f t="shared" si="18"/>
        <v>0</v>
      </c>
      <c r="BH92" s="57"/>
      <c r="BI92" s="60"/>
      <c r="BJ92" s="51"/>
      <c r="BK92" s="51"/>
      <c r="BL92" s="57"/>
      <c r="BM92" s="60"/>
      <c r="BN92" s="60"/>
      <c r="BO92" s="60"/>
      <c r="BP92" s="60"/>
      <c r="BQ92" s="51"/>
      <c r="BR92" s="57"/>
      <c r="BS92" s="60"/>
      <c r="BT92" s="60"/>
      <c r="BU92" s="60"/>
      <c r="BV92" s="52" t="str">
        <f t="shared" si="19"/>
        <v/>
      </c>
      <c r="BW92" s="52" t="str">
        <f t="shared" si="20"/>
        <v/>
      </c>
      <c r="BX92" s="57"/>
      <c r="BY92" s="57"/>
      <c r="BZ92" s="57"/>
      <c r="CA92" s="57"/>
      <c r="CB92" s="60"/>
      <c r="CC92" s="60"/>
      <c r="CD92" s="54"/>
      <c r="CE92" s="57"/>
      <c r="CF92" s="50"/>
      <c r="CG92" s="60"/>
      <c r="CH92" s="57"/>
      <c r="CI92" s="60"/>
      <c r="CJ92" s="60"/>
      <c r="CK92" s="52">
        <f>IF(A92="",0,COUNTIF(tbl_Activites_Documents[ID Activite],A92))</f>
        <v>0</v>
      </c>
      <c r="CL92" s="52">
        <f>IF(A92="",0,COUNTIF(tbl_Activites_Risques[ID Activite],A92))</f>
        <v>0</v>
      </c>
      <c r="CM92" s="34" t="str">
        <f t="shared" si="21"/>
        <v/>
      </c>
      <c r="CN92" s="60"/>
    </row>
    <row r="93" spans="1:92" ht="30" customHeight="1">
      <c r="A93" s="34" t="str">
        <f t="shared" si="11"/>
        <v/>
      </c>
      <c r="B93" s="60"/>
      <c r="C93" s="57"/>
      <c r="D93" s="61" t="str">
        <f>IFERROR(INDEX(tbl_Projets[Titre complet du projet],MATCH(C93,tbl_Projets[ID Projet],0)),"")</f>
        <v/>
      </c>
      <c r="E93" s="34" t="str">
        <f>IFERROR(INDEX(tbl_Projets[Domaine d''intervention],MATCH(C93,tbl_Projets[ID Projet],0)),"")</f>
        <v/>
      </c>
      <c r="F93" s="34" t="str">
        <f>IFERROR(INDEX(tbl_Projets[Nom du responsable],MATCH(C93,tbl_Projets[ID Projet],0)),"")</f>
        <v/>
      </c>
      <c r="G93" s="60"/>
      <c r="H93" s="60"/>
      <c r="I93" s="60"/>
      <c r="J93" s="57"/>
      <c r="K93" s="57"/>
      <c r="L93" s="50"/>
      <c r="M93" s="62"/>
      <c r="N93" s="62"/>
      <c r="O93" s="63" t="str">
        <f t="shared" si="12"/>
        <v/>
      </c>
      <c r="P93" s="57"/>
      <c r="Q93" s="64" t="str">
        <f>IF(L93="","",INDEX(PARAMETRES!$B$53:$B$65,MONTH(L93)))</f>
        <v/>
      </c>
      <c r="R93" s="64" t="str">
        <f>IF(L93="","",INDEX(PARAMETRES!$C$53:$C$65,MONTH(L93)))</f>
        <v/>
      </c>
      <c r="S93" s="34" t="str">
        <f t="shared" si="13"/>
        <v/>
      </c>
      <c r="T93" s="50"/>
      <c r="U93" s="62"/>
      <c r="V93" s="62"/>
      <c r="W93" s="63" t="str">
        <f t="shared" si="14"/>
        <v/>
      </c>
      <c r="X93" s="57"/>
      <c r="Y93" s="54"/>
      <c r="Z93" s="57"/>
      <c r="AA93" s="52" t="str">
        <f t="shared" si="15"/>
        <v/>
      </c>
      <c r="AB93" s="34" t="str">
        <f t="shared" ca="1" si="16"/>
        <v/>
      </c>
      <c r="AC93" s="60"/>
      <c r="AD93" s="60"/>
      <c r="AE93" s="57"/>
      <c r="AF93" s="60"/>
      <c r="AG93" s="60"/>
      <c r="AH93" s="57"/>
      <c r="AI93" s="34" t="str">
        <f>IFERROR(INDEX(PARAMETRES!$B$536:$B$586,MATCH(AH93,PARAMETRES!$J$536:$J$586,0)),"")</f>
        <v/>
      </c>
      <c r="AJ93" s="34" t="str">
        <f>IFERROR(INDEX(PARAMETRES!$D$536:$D$586,MATCH(AH93,PARAMETRES!$J$536:$J$586,0)),"")</f>
        <v/>
      </c>
      <c r="AK93" s="34" t="str">
        <f>IFERROR(INDEX(PARAMETRES!$F$536:$F$586,MATCH(AH93,PARAMETRES!$J$536:$J$586,0)),"")</f>
        <v/>
      </c>
      <c r="AL93" s="34" t="str">
        <f>IFERROR(INDEX(PARAMETRES!$H$536:$H$586,MATCH(AH93,PARAMETRES!$J$536:$J$586,0)),"")</f>
        <v/>
      </c>
      <c r="AM93" s="60"/>
      <c r="AN93" s="60"/>
      <c r="AO93" s="51"/>
      <c r="AP93" s="51"/>
      <c r="AQ93" s="51"/>
      <c r="AR93" s="51"/>
      <c r="AS93" s="51"/>
      <c r="AT93" s="51"/>
      <c r="AU93" s="51"/>
      <c r="AV93" s="52">
        <f>IF(A93="",0,COUNTIFS(tbl_Beneficiaires_Activites[ID activite],A93))</f>
        <v>0</v>
      </c>
      <c r="AW93" s="51"/>
      <c r="AX93" s="51"/>
      <c r="AY93" s="51"/>
      <c r="AZ93" s="57"/>
      <c r="BA93" s="57"/>
      <c r="BB93" s="60"/>
      <c r="BC93" s="51"/>
      <c r="BD93" s="51"/>
      <c r="BE93" s="51"/>
      <c r="BF93" s="52">
        <f t="shared" si="17"/>
        <v>0</v>
      </c>
      <c r="BG93" s="53">
        <f t="shared" si="18"/>
        <v>0</v>
      </c>
      <c r="BH93" s="57"/>
      <c r="BI93" s="60"/>
      <c r="BJ93" s="51"/>
      <c r="BK93" s="51"/>
      <c r="BL93" s="57"/>
      <c r="BM93" s="60"/>
      <c r="BN93" s="60"/>
      <c r="BO93" s="60"/>
      <c r="BP93" s="60"/>
      <c r="BQ93" s="51"/>
      <c r="BR93" s="57"/>
      <c r="BS93" s="60"/>
      <c r="BT93" s="60"/>
      <c r="BU93" s="60"/>
      <c r="BV93" s="52" t="str">
        <f t="shared" si="19"/>
        <v/>
      </c>
      <c r="BW93" s="52" t="str">
        <f t="shared" si="20"/>
        <v/>
      </c>
      <c r="BX93" s="57"/>
      <c r="BY93" s="57"/>
      <c r="BZ93" s="57"/>
      <c r="CA93" s="57"/>
      <c r="CB93" s="60"/>
      <c r="CC93" s="60"/>
      <c r="CD93" s="54"/>
      <c r="CE93" s="57"/>
      <c r="CF93" s="50"/>
      <c r="CG93" s="60"/>
      <c r="CH93" s="57"/>
      <c r="CI93" s="60"/>
      <c r="CJ93" s="60"/>
      <c r="CK93" s="52">
        <f>IF(A93="",0,COUNTIF(tbl_Activites_Documents[ID Activite],A93))</f>
        <v>0</v>
      </c>
      <c r="CL93" s="52">
        <f>IF(A93="",0,COUNTIF(tbl_Activites_Risques[ID Activite],A93))</f>
        <v>0</v>
      </c>
      <c r="CM93" s="34" t="str">
        <f t="shared" si="21"/>
        <v/>
      </c>
      <c r="CN93" s="60"/>
    </row>
    <row r="94" spans="1:92" ht="30" customHeight="1">
      <c r="A94" s="34" t="str">
        <f t="shared" si="11"/>
        <v/>
      </c>
      <c r="B94" s="60"/>
      <c r="C94" s="57"/>
      <c r="D94" s="61" t="str">
        <f>IFERROR(INDEX(tbl_Projets[Titre complet du projet],MATCH(C94,tbl_Projets[ID Projet],0)),"")</f>
        <v/>
      </c>
      <c r="E94" s="34" t="str">
        <f>IFERROR(INDEX(tbl_Projets[Domaine d''intervention],MATCH(C94,tbl_Projets[ID Projet],0)),"")</f>
        <v/>
      </c>
      <c r="F94" s="34" t="str">
        <f>IFERROR(INDEX(tbl_Projets[Nom du responsable],MATCH(C94,tbl_Projets[ID Projet],0)),"")</f>
        <v/>
      </c>
      <c r="G94" s="60"/>
      <c r="H94" s="60"/>
      <c r="I94" s="60"/>
      <c r="J94" s="57"/>
      <c r="K94" s="57"/>
      <c r="L94" s="50"/>
      <c r="M94" s="62"/>
      <c r="N94" s="62"/>
      <c r="O94" s="63" t="str">
        <f t="shared" si="12"/>
        <v/>
      </c>
      <c r="P94" s="57"/>
      <c r="Q94" s="64" t="str">
        <f>IF(L94="","",INDEX(PARAMETRES!$B$53:$B$65,MONTH(L94)))</f>
        <v/>
      </c>
      <c r="R94" s="64" t="str">
        <f>IF(L94="","",INDEX(PARAMETRES!$C$53:$C$65,MONTH(L94)))</f>
        <v/>
      </c>
      <c r="S94" s="34" t="str">
        <f t="shared" si="13"/>
        <v/>
      </c>
      <c r="T94" s="50"/>
      <c r="U94" s="62"/>
      <c r="V94" s="62"/>
      <c r="W94" s="63" t="str">
        <f t="shared" si="14"/>
        <v/>
      </c>
      <c r="X94" s="57"/>
      <c r="Y94" s="54"/>
      <c r="Z94" s="57"/>
      <c r="AA94" s="52" t="str">
        <f t="shared" si="15"/>
        <v/>
      </c>
      <c r="AB94" s="34" t="str">
        <f t="shared" ca="1" si="16"/>
        <v/>
      </c>
      <c r="AC94" s="60"/>
      <c r="AD94" s="60"/>
      <c r="AE94" s="57"/>
      <c r="AF94" s="60"/>
      <c r="AG94" s="60"/>
      <c r="AH94" s="57"/>
      <c r="AI94" s="34" t="str">
        <f>IFERROR(INDEX(PARAMETRES!$B$536:$B$586,MATCH(AH94,PARAMETRES!$J$536:$J$586,0)),"")</f>
        <v/>
      </c>
      <c r="AJ94" s="34" t="str">
        <f>IFERROR(INDEX(PARAMETRES!$D$536:$D$586,MATCH(AH94,PARAMETRES!$J$536:$J$586,0)),"")</f>
        <v/>
      </c>
      <c r="AK94" s="34" t="str">
        <f>IFERROR(INDEX(PARAMETRES!$F$536:$F$586,MATCH(AH94,PARAMETRES!$J$536:$J$586,0)),"")</f>
        <v/>
      </c>
      <c r="AL94" s="34" t="str">
        <f>IFERROR(INDEX(PARAMETRES!$H$536:$H$586,MATCH(AH94,PARAMETRES!$J$536:$J$586,0)),"")</f>
        <v/>
      </c>
      <c r="AM94" s="60"/>
      <c r="AN94" s="60"/>
      <c r="AO94" s="51"/>
      <c r="AP94" s="51"/>
      <c r="AQ94" s="51"/>
      <c r="AR94" s="51"/>
      <c r="AS94" s="51"/>
      <c r="AT94" s="51"/>
      <c r="AU94" s="51"/>
      <c r="AV94" s="52">
        <f>IF(A94="",0,COUNTIFS(tbl_Beneficiaires_Activites[ID activite],A94))</f>
        <v>0</v>
      </c>
      <c r="AW94" s="51"/>
      <c r="AX94" s="51"/>
      <c r="AY94" s="51"/>
      <c r="AZ94" s="57"/>
      <c r="BA94" s="57"/>
      <c r="BB94" s="60"/>
      <c r="BC94" s="51"/>
      <c r="BD94" s="51"/>
      <c r="BE94" s="51"/>
      <c r="BF94" s="52">
        <f t="shared" si="17"/>
        <v>0</v>
      </c>
      <c r="BG94" s="53">
        <f t="shared" si="18"/>
        <v>0</v>
      </c>
      <c r="BH94" s="57"/>
      <c r="BI94" s="60"/>
      <c r="BJ94" s="51"/>
      <c r="BK94" s="51"/>
      <c r="BL94" s="57"/>
      <c r="BM94" s="60"/>
      <c r="BN94" s="60"/>
      <c r="BO94" s="60"/>
      <c r="BP94" s="60"/>
      <c r="BQ94" s="51"/>
      <c r="BR94" s="57"/>
      <c r="BS94" s="60"/>
      <c r="BT94" s="60"/>
      <c r="BU94" s="60"/>
      <c r="BV94" s="52" t="str">
        <f t="shared" si="19"/>
        <v/>
      </c>
      <c r="BW94" s="52" t="str">
        <f t="shared" si="20"/>
        <v/>
      </c>
      <c r="BX94" s="57"/>
      <c r="BY94" s="57"/>
      <c r="BZ94" s="57"/>
      <c r="CA94" s="57"/>
      <c r="CB94" s="60"/>
      <c r="CC94" s="60"/>
      <c r="CD94" s="54"/>
      <c r="CE94" s="57"/>
      <c r="CF94" s="50"/>
      <c r="CG94" s="60"/>
      <c r="CH94" s="57"/>
      <c r="CI94" s="60"/>
      <c r="CJ94" s="60"/>
      <c r="CK94" s="52">
        <f>IF(A94="",0,COUNTIF(tbl_Activites_Documents[ID Activite],A94))</f>
        <v>0</v>
      </c>
      <c r="CL94" s="52">
        <f>IF(A94="",0,COUNTIF(tbl_Activites_Risques[ID Activite],A94))</f>
        <v>0</v>
      </c>
      <c r="CM94" s="34" t="str">
        <f t="shared" si="21"/>
        <v/>
      </c>
      <c r="CN94" s="60"/>
    </row>
    <row r="95" spans="1:92" ht="30" customHeight="1">
      <c r="A95" s="34" t="str">
        <f t="shared" si="11"/>
        <v/>
      </c>
      <c r="B95" s="60"/>
      <c r="C95" s="57"/>
      <c r="D95" s="61" t="str">
        <f>IFERROR(INDEX(tbl_Projets[Titre complet du projet],MATCH(C95,tbl_Projets[ID Projet],0)),"")</f>
        <v/>
      </c>
      <c r="E95" s="34" t="str">
        <f>IFERROR(INDEX(tbl_Projets[Domaine d''intervention],MATCH(C95,tbl_Projets[ID Projet],0)),"")</f>
        <v/>
      </c>
      <c r="F95" s="34" t="str">
        <f>IFERROR(INDEX(tbl_Projets[Nom du responsable],MATCH(C95,tbl_Projets[ID Projet],0)),"")</f>
        <v/>
      </c>
      <c r="G95" s="60"/>
      <c r="H95" s="60"/>
      <c r="I95" s="60"/>
      <c r="J95" s="57"/>
      <c r="K95" s="57"/>
      <c r="L95" s="50"/>
      <c r="M95" s="62"/>
      <c r="N95" s="62"/>
      <c r="O95" s="63" t="str">
        <f t="shared" si="12"/>
        <v/>
      </c>
      <c r="P95" s="57"/>
      <c r="Q95" s="64" t="str">
        <f>IF(L95="","",INDEX(PARAMETRES!$B$53:$B$65,MONTH(L95)))</f>
        <v/>
      </c>
      <c r="R95" s="64" t="str">
        <f>IF(L95="","",INDEX(PARAMETRES!$C$53:$C$65,MONTH(L95)))</f>
        <v/>
      </c>
      <c r="S95" s="34" t="str">
        <f t="shared" si="13"/>
        <v/>
      </c>
      <c r="T95" s="50"/>
      <c r="U95" s="62"/>
      <c r="V95" s="62"/>
      <c r="W95" s="63" t="str">
        <f t="shared" si="14"/>
        <v/>
      </c>
      <c r="X95" s="57"/>
      <c r="Y95" s="54"/>
      <c r="Z95" s="57"/>
      <c r="AA95" s="52" t="str">
        <f t="shared" si="15"/>
        <v/>
      </c>
      <c r="AB95" s="34" t="str">
        <f t="shared" ca="1" si="16"/>
        <v/>
      </c>
      <c r="AC95" s="60"/>
      <c r="AD95" s="60"/>
      <c r="AE95" s="57"/>
      <c r="AF95" s="60"/>
      <c r="AG95" s="60"/>
      <c r="AH95" s="57"/>
      <c r="AI95" s="34" t="str">
        <f>IFERROR(INDEX(PARAMETRES!$B$536:$B$586,MATCH(AH95,PARAMETRES!$J$536:$J$586,0)),"")</f>
        <v/>
      </c>
      <c r="AJ95" s="34" t="str">
        <f>IFERROR(INDEX(PARAMETRES!$D$536:$D$586,MATCH(AH95,PARAMETRES!$J$536:$J$586,0)),"")</f>
        <v/>
      </c>
      <c r="AK95" s="34" t="str">
        <f>IFERROR(INDEX(PARAMETRES!$F$536:$F$586,MATCH(AH95,PARAMETRES!$J$536:$J$586,0)),"")</f>
        <v/>
      </c>
      <c r="AL95" s="34" t="str">
        <f>IFERROR(INDEX(PARAMETRES!$H$536:$H$586,MATCH(AH95,PARAMETRES!$J$536:$J$586,0)),"")</f>
        <v/>
      </c>
      <c r="AM95" s="60"/>
      <c r="AN95" s="60"/>
      <c r="AO95" s="51"/>
      <c r="AP95" s="51"/>
      <c r="AQ95" s="51"/>
      <c r="AR95" s="51"/>
      <c r="AS95" s="51"/>
      <c r="AT95" s="51"/>
      <c r="AU95" s="51"/>
      <c r="AV95" s="52">
        <f>IF(A95="",0,COUNTIFS(tbl_Beneficiaires_Activites[ID activite],A95))</f>
        <v>0</v>
      </c>
      <c r="AW95" s="51"/>
      <c r="AX95" s="51"/>
      <c r="AY95" s="51"/>
      <c r="AZ95" s="57"/>
      <c r="BA95" s="57"/>
      <c r="BB95" s="60"/>
      <c r="BC95" s="51"/>
      <c r="BD95" s="51"/>
      <c r="BE95" s="51"/>
      <c r="BF95" s="52">
        <f t="shared" si="17"/>
        <v>0</v>
      </c>
      <c r="BG95" s="53">
        <f t="shared" si="18"/>
        <v>0</v>
      </c>
      <c r="BH95" s="57"/>
      <c r="BI95" s="60"/>
      <c r="BJ95" s="51"/>
      <c r="BK95" s="51"/>
      <c r="BL95" s="57"/>
      <c r="BM95" s="60"/>
      <c r="BN95" s="60"/>
      <c r="BO95" s="60"/>
      <c r="BP95" s="60"/>
      <c r="BQ95" s="51"/>
      <c r="BR95" s="57"/>
      <c r="BS95" s="60"/>
      <c r="BT95" s="60"/>
      <c r="BU95" s="60"/>
      <c r="BV95" s="52" t="str">
        <f t="shared" si="19"/>
        <v/>
      </c>
      <c r="BW95" s="52" t="str">
        <f t="shared" si="20"/>
        <v/>
      </c>
      <c r="BX95" s="57"/>
      <c r="BY95" s="57"/>
      <c r="BZ95" s="57"/>
      <c r="CA95" s="57"/>
      <c r="CB95" s="60"/>
      <c r="CC95" s="60"/>
      <c r="CD95" s="54"/>
      <c r="CE95" s="57"/>
      <c r="CF95" s="50"/>
      <c r="CG95" s="60"/>
      <c r="CH95" s="57"/>
      <c r="CI95" s="60"/>
      <c r="CJ95" s="60"/>
      <c r="CK95" s="52">
        <f>IF(A95="",0,COUNTIF(tbl_Activites_Documents[ID Activite],A95))</f>
        <v>0</v>
      </c>
      <c r="CL95" s="52">
        <f>IF(A95="",0,COUNTIF(tbl_Activites_Risques[ID Activite],A95))</f>
        <v>0</v>
      </c>
      <c r="CM95" s="34" t="str">
        <f t="shared" si="21"/>
        <v/>
      </c>
      <c r="CN95" s="60"/>
    </row>
    <row r="96" spans="1:92" ht="30" customHeight="1">
      <c r="A96" s="34" t="str">
        <f t="shared" si="11"/>
        <v/>
      </c>
      <c r="B96" s="60"/>
      <c r="C96" s="57"/>
      <c r="D96" s="61" t="str">
        <f>IFERROR(INDEX(tbl_Projets[Titre complet du projet],MATCH(C96,tbl_Projets[ID Projet],0)),"")</f>
        <v/>
      </c>
      <c r="E96" s="34" t="str">
        <f>IFERROR(INDEX(tbl_Projets[Domaine d''intervention],MATCH(C96,tbl_Projets[ID Projet],0)),"")</f>
        <v/>
      </c>
      <c r="F96" s="34" t="str">
        <f>IFERROR(INDEX(tbl_Projets[Nom du responsable],MATCH(C96,tbl_Projets[ID Projet],0)),"")</f>
        <v/>
      </c>
      <c r="G96" s="60"/>
      <c r="H96" s="60"/>
      <c r="I96" s="60"/>
      <c r="J96" s="57"/>
      <c r="K96" s="57"/>
      <c r="L96" s="50"/>
      <c r="M96" s="62"/>
      <c r="N96" s="62"/>
      <c r="O96" s="63" t="str">
        <f t="shared" si="12"/>
        <v/>
      </c>
      <c r="P96" s="57"/>
      <c r="Q96" s="64" t="str">
        <f>IF(L96="","",INDEX(PARAMETRES!$B$53:$B$65,MONTH(L96)))</f>
        <v/>
      </c>
      <c r="R96" s="64" t="str">
        <f>IF(L96="","",INDEX(PARAMETRES!$C$53:$C$65,MONTH(L96)))</f>
        <v/>
      </c>
      <c r="S96" s="34" t="str">
        <f t="shared" si="13"/>
        <v/>
      </c>
      <c r="T96" s="50"/>
      <c r="U96" s="62"/>
      <c r="V96" s="62"/>
      <c r="W96" s="63" t="str">
        <f t="shared" si="14"/>
        <v/>
      </c>
      <c r="X96" s="57"/>
      <c r="Y96" s="54"/>
      <c r="Z96" s="57"/>
      <c r="AA96" s="52" t="str">
        <f t="shared" si="15"/>
        <v/>
      </c>
      <c r="AB96" s="34" t="str">
        <f t="shared" ca="1" si="16"/>
        <v/>
      </c>
      <c r="AC96" s="60"/>
      <c r="AD96" s="60"/>
      <c r="AE96" s="57"/>
      <c r="AF96" s="60"/>
      <c r="AG96" s="60"/>
      <c r="AH96" s="57"/>
      <c r="AI96" s="34" t="str">
        <f>IFERROR(INDEX(PARAMETRES!$B$536:$B$586,MATCH(AH96,PARAMETRES!$J$536:$J$586,0)),"")</f>
        <v/>
      </c>
      <c r="AJ96" s="34" t="str">
        <f>IFERROR(INDEX(PARAMETRES!$D$536:$D$586,MATCH(AH96,PARAMETRES!$J$536:$J$586,0)),"")</f>
        <v/>
      </c>
      <c r="AK96" s="34" t="str">
        <f>IFERROR(INDEX(PARAMETRES!$F$536:$F$586,MATCH(AH96,PARAMETRES!$J$536:$J$586,0)),"")</f>
        <v/>
      </c>
      <c r="AL96" s="34" t="str">
        <f>IFERROR(INDEX(PARAMETRES!$H$536:$H$586,MATCH(AH96,PARAMETRES!$J$536:$J$586,0)),"")</f>
        <v/>
      </c>
      <c r="AM96" s="60"/>
      <c r="AN96" s="60"/>
      <c r="AO96" s="51"/>
      <c r="AP96" s="51"/>
      <c r="AQ96" s="51"/>
      <c r="AR96" s="51"/>
      <c r="AS96" s="51"/>
      <c r="AT96" s="51"/>
      <c r="AU96" s="51"/>
      <c r="AV96" s="52">
        <f>IF(A96="",0,COUNTIFS(tbl_Beneficiaires_Activites[ID activite],A96))</f>
        <v>0</v>
      </c>
      <c r="AW96" s="51"/>
      <c r="AX96" s="51"/>
      <c r="AY96" s="51"/>
      <c r="AZ96" s="57"/>
      <c r="BA96" s="57"/>
      <c r="BB96" s="60"/>
      <c r="BC96" s="51"/>
      <c r="BD96" s="51"/>
      <c r="BE96" s="51"/>
      <c r="BF96" s="52">
        <f t="shared" si="17"/>
        <v>0</v>
      </c>
      <c r="BG96" s="53">
        <f t="shared" si="18"/>
        <v>0</v>
      </c>
      <c r="BH96" s="57"/>
      <c r="BI96" s="60"/>
      <c r="BJ96" s="51"/>
      <c r="BK96" s="51"/>
      <c r="BL96" s="57"/>
      <c r="BM96" s="60"/>
      <c r="BN96" s="60"/>
      <c r="BO96" s="60"/>
      <c r="BP96" s="60"/>
      <c r="BQ96" s="51"/>
      <c r="BR96" s="57"/>
      <c r="BS96" s="60"/>
      <c r="BT96" s="60"/>
      <c r="BU96" s="60"/>
      <c r="BV96" s="52" t="str">
        <f t="shared" si="19"/>
        <v/>
      </c>
      <c r="BW96" s="52" t="str">
        <f t="shared" si="20"/>
        <v/>
      </c>
      <c r="BX96" s="57"/>
      <c r="BY96" s="57"/>
      <c r="BZ96" s="57"/>
      <c r="CA96" s="57"/>
      <c r="CB96" s="60"/>
      <c r="CC96" s="60"/>
      <c r="CD96" s="54"/>
      <c r="CE96" s="57"/>
      <c r="CF96" s="50"/>
      <c r="CG96" s="60"/>
      <c r="CH96" s="57"/>
      <c r="CI96" s="60"/>
      <c r="CJ96" s="60"/>
      <c r="CK96" s="52">
        <f>IF(A96="",0,COUNTIF(tbl_Activites_Documents[ID Activite],A96))</f>
        <v>0</v>
      </c>
      <c r="CL96" s="52">
        <f>IF(A96="",0,COUNTIF(tbl_Activites_Risques[ID Activite],A96))</f>
        <v>0</v>
      </c>
      <c r="CM96" s="34" t="str">
        <f t="shared" si="21"/>
        <v/>
      </c>
      <c r="CN96" s="60"/>
    </row>
    <row r="97" spans="1:92" ht="30" customHeight="1">
      <c r="A97" s="34" t="str">
        <f t="shared" si="11"/>
        <v/>
      </c>
      <c r="B97" s="60"/>
      <c r="C97" s="57"/>
      <c r="D97" s="61" t="str">
        <f>IFERROR(INDEX(tbl_Projets[Titre complet du projet],MATCH(C97,tbl_Projets[ID Projet],0)),"")</f>
        <v/>
      </c>
      <c r="E97" s="34" t="str">
        <f>IFERROR(INDEX(tbl_Projets[Domaine d''intervention],MATCH(C97,tbl_Projets[ID Projet],0)),"")</f>
        <v/>
      </c>
      <c r="F97" s="34" t="str">
        <f>IFERROR(INDEX(tbl_Projets[Nom du responsable],MATCH(C97,tbl_Projets[ID Projet],0)),"")</f>
        <v/>
      </c>
      <c r="G97" s="60"/>
      <c r="H97" s="60"/>
      <c r="I97" s="60"/>
      <c r="J97" s="57"/>
      <c r="K97" s="57"/>
      <c r="L97" s="50"/>
      <c r="M97" s="62"/>
      <c r="N97" s="62"/>
      <c r="O97" s="63" t="str">
        <f t="shared" si="12"/>
        <v/>
      </c>
      <c r="P97" s="57"/>
      <c r="Q97" s="64" t="str">
        <f>IF(L97="","",INDEX(PARAMETRES!$B$53:$B$65,MONTH(L97)))</f>
        <v/>
      </c>
      <c r="R97" s="64" t="str">
        <f>IF(L97="","",INDEX(PARAMETRES!$C$53:$C$65,MONTH(L97)))</f>
        <v/>
      </c>
      <c r="S97" s="34" t="str">
        <f t="shared" si="13"/>
        <v/>
      </c>
      <c r="T97" s="50"/>
      <c r="U97" s="62"/>
      <c r="V97" s="62"/>
      <c r="W97" s="63" t="str">
        <f t="shared" si="14"/>
        <v/>
      </c>
      <c r="X97" s="57"/>
      <c r="Y97" s="54"/>
      <c r="Z97" s="57"/>
      <c r="AA97" s="52" t="str">
        <f t="shared" si="15"/>
        <v/>
      </c>
      <c r="AB97" s="34" t="str">
        <f t="shared" ca="1" si="16"/>
        <v/>
      </c>
      <c r="AC97" s="60"/>
      <c r="AD97" s="60"/>
      <c r="AE97" s="57"/>
      <c r="AF97" s="60"/>
      <c r="AG97" s="60"/>
      <c r="AH97" s="57"/>
      <c r="AI97" s="34" t="str">
        <f>IFERROR(INDEX(PARAMETRES!$B$536:$B$586,MATCH(AH97,PARAMETRES!$J$536:$J$586,0)),"")</f>
        <v/>
      </c>
      <c r="AJ97" s="34" t="str">
        <f>IFERROR(INDEX(PARAMETRES!$D$536:$D$586,MATCH(AH97,PARAMETRES!$J$536:$J$586,0)),"")</f>
        <v/>
      </c>
      <c r="AK97" s="34" t="str">
        <f>IFERROR(INDEX(PARAMETRES!$F$536:$F$586,MATCH(AH97,PARAMETRES!$J$536:$J$586,0)),"")</f>
        <v/>
      </c>
      <c r="AL97" s="34" t="str">
        <f>IFERROR(INDEX(PARAMETRES!$H$536:$H$586,MATCH(AH97,PARAMETRES!$J$536:$J$586,0)),"")</f>
        <v/>
      </c>
      <c r="AM97" s="60"/>
      <c r="AN97" s="60"/>
      <c r="AO97" s="51"/>
      <c r="AP97" s="51"/>
      <c r="AQ97" s="51"/>
      <c r="AR97" s="51"/>
      <c r="AS97" s="51"/>
      <c r="AT97" s="51"/>
      <c r="AU97" s="51"/>
      <c r="AV97" s="52">
        <f>IF(A97="",0,COUNTIFS(tbl_Beneficiaires_Activites[ID activite],A97))</f>
        <v>0</v>
      </c>
      <c r="AW97" s="51"/>
      <c r="AX97" s="51"/>
      <c r="AY97" s="51"/>
      <c r="AZ97" s="57"/>
      <c r="BA97" s="57"/>
      <c r="BB97" s="60"/>
      <c r="BC97" s="51"/>
      <c r="BD97" s="51"/>
      <c r="BE97" s="51"/>
      <c r="BF97" s="52">
        <f t="shared" si="17"/>
        <v>0</v>
      </c>
      <c r="BG97" s="53">
        <f t="shared" si="18"/>
        <v>0</v>
      </c>
      <c r="BH97" s="57"/>
      <c r="BI97" s="60"/>
      <c r="BJ97" s="51"/>
      <c r="BK97" s="51"/>
      <c r="BL97" s="57"/>
      <c r="BM97" s="60"/>
      <c r="BN97" s="60"/>
      <c r="BO97" s="60"/>
      <c r="BP97" s="60"/>
      <c r="BQ97" s="51"/>
      <c r="BR97" s="57"/>
      <c r="BS97" s="60"/>
      <c r="BT97" s="60"/>
      <c r="BU97" s="60"/>
      <c r="BV97" s="52" t="str">
        <f t="shared" si="19"/>
        <v/>
      </c>
      <c r="BW97" s="52" t="str">
        <f t="shared" si="20"/>
        <v/>
      </c>
      <c r="BX97" s="57"/>
      <c r="BY97" s="57"/>
      <c r="BZ97" s="57"/>
      <c r="CA97" s="57"/>
      <c r="CB97" s="60"/>
      <c r="CC97" s="60"/>
      <c r="CD97" s="54"/>
      <c r="CE97" s="57"/>
      <c r="CF97" s="50"/>
      <c r="CG97" s="60"/>
      <c r="CH97" s="57"/>
      <c r="CI97" s="60"/>
      <c r="CJ97" s="60"/>
      <c r="CK97" s="52">
        <f>IF(A97="",0,COUNTIF(tbl_Activites_Documents[ID Activite],A97))</f>
        <v>0</v>
      </c>
      <c r="CL97" s="52">
        <f>IF(A97="",0,COUNTIF(tbl_Activites_Risques[ID Activite],A97))</f>
        <v>0</v>
      </c>
      <c r="CM97" s="34" t="str">
        <f t="shared" si="21"/>
        <v/>
      </c>
      <c r="CN97" s="60"/>
    </row>
    <row r="98" spans="1:92" ht="30" customHeight="1">
      <c r="A98" s="34" t="str">
        <f t="shared" si="11"/>
        <v/>
      </c>
      <c r="B98" s="60"/>
      <c r="C98" s="57"/>
      <c r="D98" s="61" t="str">
        <f>IFERROR(INDEX(tbl_Projets[Titre complet du projet],MATCH(C98,tbl_Projets[ID Projet],0)),"")</f>
        <v/>
      </c>
      <c r="E98" s="34" t="str">
        <f>IFERROR(INDEX(tbl_Projets[Domaine d''intervention],MATCH(C98,tbl_Projets[ID Projet],0)),"")</f>
        <v/>
      </c>
      <c r="F98" s="34" t="str">
        <f>IFERROR(INDEX(tbl_Projets[Nom du responsable],MATCH(C98,tbl_Projets[ID Projet],0)),"")</f>
        <v/>
      </c>
      <c r="G98" s="60"/>
      <c r="H98" s="60"/>
      <c r="I98" s="60"/>
      <c r="J98" s="57"/>
      <c r="K98" s="57"/>
      <c r="L98" s="50"/>
      <c r="M98" s="62"/>
      <c r="N98" s="62"/>
      <c r="O98" s="63" t="str">
        <f t="shared" si="12"/>
        <v/>
      </c>
      <c r="P98" s="57"/>
      <c r="Q98" s="64" t="str">
        <f>IF(L98="","",INDEX(PARAMETRES!$B$53:$B$65,MONTH(L98)))</f>
        <v/>
      </c>
      <c r="R98" s="64" t="str">
        <f>IF(L98="","",INDEX(PARAMETRES!$C$53:$C$65,MONTH(L98)))</f>
        <v/>
      </c>
      <c r="S98" s="34" t="str">
        <f t="shared" si="13"/>
        <v/>
      </c>
      <c r="T98" s="50"/>
      <c r="U98" s="62"/>
      <c r="V98" s="62"/>
      <c r="W98" s="63" t="str">
        <f t="shared" si="14"/>
        <v/>
      </c>
      <c r="X98" s="57"/>
      <c r="Y98" s="54"/>
      <c r="Z98" s="57"/>
      <c r="AA98" s="52" t="str">
        <f t="shared" si="15"/>
        <v/>
      </c>
      <c r="AB98" s="34" t="str">
        <f t="shared" ca="1" si="16"/>
        <v/>
      </c>
      <c r="AC98" s="60"/>
      <c r="AD98" s="60"/>
      <c r="AE98" s="57"/>
      <c r="AF98" s="60"/>
      <c r="AG98" s="60"/>
      <c r="AH98" s="57"/>
      <c r="AI98" s="34" t="str">
        <f>IFERROR(INDEX(PARAMETRES!$B$536:$B$586,MATCH(AH98,PARAMETRES!$J$536:$J$586,0)),"")</f>
        <v/>
      </c>
      <c r="AJ98" s="34" t="str">
        <f>IFERROR(INDEX(PARAMETRES!$D$536:$D$586,MATCH(AH98,PARAMETRES!$J$536:$J$586,0)),"")</f>
        <v/>
      </c>
      <c r="AK98" s="34" t="str">
        <f>IFERROR(INDEX(PARAMETRES!$F$536:$F$586,MATCH(AH98,PARAMETRES!$J$536:$J$586,0)),"")</f>
        <v/>
      </c>
      <c r="AL98" s="34" t="str">
        <f>IFERROR(INDEX(PARAMETRES!$H$536:$H$586,MATCH(AH98,PARAMETRES!$J$536:$J$586,0)),"")</f>
        <v/>
      </c>
      <c r="AM98" s="60"/>
      <c r="AN98" s="60"/>
      <c r="AO98" s="51"/>
      <c r="AP98" s="51"/>
      <c r="AQ98" s="51"/>
      <c r="AR98" s="51"/>
      <c r="AS98" s="51"/>
      <c r="AT98" s="51"/>
      <c r="AU98" s="51"/>
      <c r="AV98" s="52">
        <f>IF(A98="",0,COUNTIFS(tbl_Beneficiaires_Activites[ID activite],A98))</f>
        <v>0</v>
      </c>
      <c r="AW98" s="51"/>
      <c r="AX98" s="51"/>
      <c r="AY98" s="51"/>
      <c r="AZ98" s="57"/>
      <c r="BA98" s="57"/>
      <c r="BB98" s="60"/>
      <c r="BC98" s="51"/>
      <c r="BD98" s="51"/>
      <c r="BE98" s="51"/>
      <c r="BF98" s="52">
        <f t="shared" si="17"/>
        <v>0</v>
      </c>
      <c r="BG98" s="53">
        <f t="shared" si="18"/>
        <v>0</v>
      </c>
      <c r="BH98" s="57"/>
      <c r="BI98" s="60"/>
      <c r="BJ98" s="51"/>
      <c r="BK98" s="51"/>
      <c r="BL98" s="57"/>
      <c r="BM98" s="60"/>
      <c r="BN98" s="60"/>
      <c r="BO98" s="60"/>
      <c r="BP98" s="60"/>
      <c r="BQ98" s="51"/>
      <c r="BR98" s="57"/>
      <c r="BS98" s="60"/>
      <c r="BT98" s="60"/>
      <c r="BU98" s="60"/>
      <c r="BV98" s="52" t="str">
        <f t="shared" si="19"/>
        <v/>
      </c>
      <c r="BW98" s="52" t="str">
        <f t="shared" si="20"/>
        <v/>
      </c>
      <c r="BX98" s="57"/>
      <c r="BY98" s="57"/>
      <c r="BZ98" s="57"/>
      <c r="CA98" s="57"/>
      <c r="CB98" s="60"/>
      <c r="CC98" s="60"/>
      <c r="CD98" s="54"/>
      <c r="CE98" s="57"/>
      <c r="CF98" s="50"/>
      <c r="CG98" s="60"/>
      <c r="CH98" s="57"/>
      <c r="CI98" s="60"/>
      <c r="CJ98" s="60"/>
      <c r="CK98" s="52">
        <f>IF(A98="",0,COUNTIF(tbl_Activites_Documents[ID Activite],A98))</f>
        <v>0</v>
      </c>
      <c r="CL98" s="52">
        <f>IF(A98="",0,COUNTIF(tbl_Activites_Risques[ID Activite],A98))</f>
        <v>0</v>
      </c>
      <c r="CM98" s="34" t="str">
        <f t="shared" si="21"/>
        <v/>
      </c>
      <c r="CN98" s="60"/>
    </row>
    <row r="99" spans="1:92" ht="30" customHeight="1">
      <c r="A99" s="34" t="str">
        <f t="shared" si="11"/>
        <v/>
      </c>
      <c r="B99" s="60"/>
      <c r="C99" s="57"/>
      <c r="D99" s="61" t="str">
        <f>IFERROR(INDEX(tbl_Projets[Titre complet du projet],MATCH(C99,tbl_Projets[ID Projet],0)),"")</f>
        <v/>
      </c>
      <c r="E99" s="34" t="str">
        <f>IFERROR(INDEX(tbl_Projets[Domaine d''intervention],MATCH(C99,tbl_Projets[ID Projet],0)),"")</f>
        <v/>
      </c>
      <c r="F99" s="34" t="str">
        <f>IFERROR(INDEX(tbl_Projets[Nom du responsable],MATCH(C99,tbl_Projets[ID Projet],0)),"")</f>
        <v/>
      </c>
      <c r="G99" s="60"/>
      <c r="H99" s="60"/>
      <c r="I99" s="60"/>
      <c r="J99" s="57"/>
      <c r="K99" s="57"/>
      <c r="L99" s="50"/>
      <c r="M99" s="62"/>
      <c r="N99" s="62"/>
      <c r="O99" s="63" t="str">
        <f t="shared" si="12"/>
        <v/>
      </c>
      <c r="P99" s="57"/>
      <c r="Q99" s="64" t="str">
        <f>IF(L99="","",INDEX(PARAMETRES!$B$53:$B$65,MONTH(L99)))</f>
        <v/>
      </c>
      <c r="R99" s="64" t="str">
        <f>IF(L99="","",INDEX(PARAMETRES!$C$53:$C$65,MONTH(L99)))</f>
        <v/>
      </c>
      <c r="S99" s="34" t="str">
        <f t="shared" si="13"/>
        <v/>
      </c>
      <c r="T99" s="50"/>
      <c r="U99" s="62"/>
      <c r="V99" s="62"/>
      <c r="W99" s="63" t="str">
        <f t="shared" si="14"/>
        <v/>
      </c>
      <c r="X99" s="57"/>
      <c r="Y99" s="54"/>
      <c r="Z99" s="57"/>
      <c r="AA99" s="52" t="str">
        <f t="shared" si="15"/>
        <v/>
      </c>
      <c r="AB99" s="34" t="str">
        <f t="shared" ca="1" si="16"/>
        <v/>
      </c>
      <c r="AC99" s="60"/>
      <c r="AD99" s="60"/>
      <c r="AE99" s="57"/>
      <c r="AF99" s="60"/>
      <c r="AG99" s="60"/>
      <c r="AH99" s="57"/>
      <c r="AI99" s="34" t="str">
        <f>IFERROR(INDEX(PARAMETRES!$B$536:$B$586,MATCH(AH99,PARAMETRES!$J$536:$J$586,0)),"")</f>
        <v/>
      </c>
      <c r="AJ99" s="34" t="str">
        <f>IFERROR(INDEX(PARAMETRES!$D$536:$D$586,MATCH(AH99,PARAMETRES!$J$536:$J$586,0)),"")</f>
        <v/>
      </c>
      <c r="AK99" s="34" t="str">
        <f>IFERROR(INDEX(PARAMETRES!$F$536:$F$586,MATCH(AH99,PARAMETRES!$J$536:$J$586,0)),"")</f>
        <v/>
      </c>
      <c r="AL99" s="34" t="str">
        <f>IFERROR(INDEX(PARAMETRES!$H$536:$H$586,MATCH(AH99,PARAMETRES!$J$536:$J$586,0)),"")</f>
        <v/>
      </c>
      <c r="AM99" s="60"/>
      <c r="AN99" s="60"/>
      <c r="AO99" s="51"/>
      <c r="AP99" s="51"/>
      <c r="AQ99" s="51"/>
      <c r="AR99" s="51"/>
      <c r="AS99" s="51"/>
      <c r="AT99" s="51"/>
      <c r="AU99" s="51"/>
      <c r="AV99" s="52">
        <f>IF(A99="",0,COUNTIFS(tbl_Beneficiaires_Activites[ID activite],A99))</f>
        <v>0</v>
      </c>
      <c r="AW99" s="51"/>
      <c r="AX99" s="51"/>
      <c r="AY99" s="51"/>
      <c r="AZ99" s="57"/>
      <c r="BA99" s="57"/>
      <c r="BB99" s="60"/>
      <c r="BC99" s="51"/>
      <c r="BD99" s="51"/>
      <c r="BE99" s="51"/>
      <c r="BF99" s="52">
        <f t="shared" si="17"/>
        <v>0</v>
      </c>
      <c r="BG99" s="53">
        <f t="shared" si="18"/>
        <v>0</v>
      </c>
      <c r="BH99" s="57"/>
      <c r="BI99" s="60"/>
      <c r="BJ99" s="51"/>
      <c r="BK99" s="51"/>
      <c r="BL99" s="57"/>
      <c r="BM99" s="60"/>
      <c r="BN99" s="60"/>
      <c r="BO99" s="60"/>
      <c r="BP99" s="60"/>
      <c r="BQ99" s="51"/>
      <c r="BR99" s="57"/>
      <c r="BS99" s="60"/>
      <c r="BT99" s="60"/>
      <c r="BU99" s="60"/>
      <c r="BV99" s="52" t="str">
        <f t="shared" si="19"/>
        <v/>
      </c>
      <c r="BW99" s="52" t="str">
        <f t="shared" si="20"/>
        <v/>
      </c>
      <c r="BX99" s="57"/>
      <c r="BY99" s="57"/>
      <c r="BZ99" s="57"/>
      <c r="CA99" s="57"/>
      <c r="CB99" s="60"/>
      <c r="CC99" s="60"/>
      <c r="CD99" s="54"/>
      <c r="CE99" s="57"/>
      <c r="CF99" s="50"/>
      <c r="CG99" s="60"/>
      <c r="CH99" s="57"/>
      <c r="CI99" s="60"/>
      <c r="CJ99" s="60"/>
      <c r="CK99" s="52">
        <f>IF(A99="",0,COUNTIF(tbl_Activites_Documents[ID Activite],A99))</f>
        <v>0</v>
      </c>
      <c r="CL99" s="52">
        <f>IF(A99="",0,COUNTIF(tbl_Activites_Risques[ID Activite],A99))</f>
        <v>0</v>
      </c>
      <c r="CM99" s="34" t="str">
        <f t="shared" si="21"/>
        <v/>
      </c>
      <c r="CN99" s="60"/>
    </row>
    <row r="100" spans="1:92" ht="30" customHeight="1">
      <c r="A100" s="34" t="str">
        <f t="shared" si="11"/>
        <v/>
      </c>
      <c r="B100" s="60"/>
      <c r="C100" s="57"/>
      <c r="D100" s="61" t="str">
        <f>IFERROR(INDEX(tbl_Projets[Titre complet du projet],MATCH(C100,tbl_Projets[ID Projet],0)),"")</f>
        <v/>
      </c>
      <c r="E100" s="34" t="str">
        <f>IFERROR(INDEX(tbl_Projets[Domaine d''intervention],MATCH(C100,tbl_Projets[ID Projet],0)),"")</f>
        <v/>
      </c>
      <c r="F100" s="34" t="str">
        <f>IFERROR(INDEX(tbl_Projets[Nom du responsable],MATCH(C100,tbl_Projets[ID Projet],0)),"")</f>
        <v/>
      </c>
      <c r="G100" s="60"/>
      <c r="H100" s="60"/>
      <c r="I100" s="60"/>
      <c r="J100" s="57"/>
      <c r="K100" s="57"/>
      <c r="L100" s="50"/>
      <c r="M100" s="62"/>
      <c r="N100" s="62"/>
      <c r="O100" s="63" t="str">
        <f t="shared" si="12"/>
        <v/>
      </c>
      <c r="P100" s="57"/>
      <c r="Q100" s="64" t="str">
        <f>IF(L100="","",INDEX(PARAMETRES!$B$53:$B$65,MONTH(L100)))</f>
        <v/>
      </c>
      <c r="R100" s="64" t="str">
        <f>IF(L100="","",INDEX(PARAMETRES!$C$53:$C$65,MONTH(L100)))</f>
        <v/>
      </c>
      <c r="S100" s="34" t="str">
        <f t="shared" si="13"/>
        <v/>
      </c>
      <c r="T100" s="50"/>
      <c r="U100" s="62"/>
      <c r="V100" s="62"/>
      <c r="W100" s="63" t="str">
        <f t="shared" si="14"/>
        <v/>
      </c>
      <c r="X100" s="57"/>
      <c r="Y100" s="54"/>
      <c r="Z100" s="57"/>
      <c r="AA100" s="52" t="str">
        <f t="shared" si="15"/>
        <v/>
      </c>
      <c r="AB100" s="34" t="str">
        <f t="shared" ca="1" si="16"/>
        <v/>
      </c>
      <c r="AC100" s="60"/>
      <c r="AD100" s="60"/>
      <c r="AE100" s="57"/>
      <c r="AF100" s="60"/>
      <c r="AG100" s="60"/>
      <c r="AH100" s="57"/>
      <c r="AI100" s="34" t="str">
        <f>IFERROR(INDEX(PARAMETRES!$B$536:$B$586,MATCH(AH100,PARAMETRES!$J$536:$J$586,0)),"")</f>
        <v/>
      </c>
      <c r="AJ100" s="34" t="str">
        <f>IFERROR(INDEX(PARAMETRES!$D$536:$D$586,MATCH(AH100,PARAMETRES!$J$536:$J$586,0)),"")</f>
        <v/>
      </c>
      <c r="AK100" s="34" t="str">
        <f>IFERROR(INDEX(PARAMETRES!$F$536:$F$586,MATCH(AH100,PARAMETRES!$J$536:$J$586,0)),"")</f>
        <v/>
      </c>
      <c r="AL100" s="34" t="str">
        <f>IFERROR(INDEX(PARAMETRES!$H$536:$H$586,MATCH(AH100,PARAMETRES!$J$536:$J$586,0)),"")</f>
        <v/>
      </c>
      <c r="AM100" s="60"/>
      <c r="AN100" s="60"/>
      <c r="AO100" s="51"/>
      <c r="AP100" s="51"/>
      <c r="AQ100" s="51"/>
      <c r="AR100" s="51"/>
      <c r="AS100" s="51"/>
      <c r="AT100" s="51"/>
      <c r="AU100" s="51"/>
      <c r="AV100" s="52">
        <f>IF(A100="",0,COUNTIFS(tbl_Beneficiaires_Activites[ID activite],A100))</f>
        <v>0</v>
      </c>
      <c r="AW100" s="51"/>
      <c r="AX100" s="51"/>
      <c r="AY100" s="51"/>
      <c r="AZ100" s="57"/>
      <c r="BA100" s="57"/>
      <c r="BB100" s="60"/>
      <c r="BC100" s="51"/>
      <c r="BD100" s="51"/>
      <c r="BE100" s="51"/>
      <c r="BF100" s="52">
        <f t="shared" si="17"/>
        <v>0</v>
      </c>
      <c r="BG100" s="53">
        <f t="shared" si="18"/>
        <v>0</v>
      </c>
      <c r="BH100" s="57"/>
      <c r="BI100" s="60"/>
      <c r="BJ100" s="51"/>
      <c r="BK100" s="51"/>
      <c r="BL100" s="57"/>
      <c r="BM100" s="60"/>
      <c r="BN100" s="60"/>
      <c r="BO100" s="60"/>
      <c r="BP100" s="60"/>
      <c r="BQ100" s="51"/>
      <c r="BR100" s="57"/>
      <c r="BS100" s="60"/>
      <c r="BT100" s="60"/>
      <c r="BU100" s="60"/>
      <c r="BV100" s="52" t="str">
        <f t="shared" si="19"/>
        <v/>
      </c>
      <c r="BW100" s="52" t="str">
        <f t="shared" si="20"/>
        <v/>
      </c>
      <c r="BX100" s="57"/>
      <c r="BY100" s="57"/>
      <c r="BZ100" s="57"/>
      <c r="CA100" s="57"/>
      <c r="CB100" s="60"/>
      <c r="CC100" s="60"/>
      <c r="CD100" s="54"/>
      <c r="CE100" s="57"/>
      <c r="CF100" s="50"/>
      <c r="CG100" s="60"/>
      <c r="CH100" s="57"/>
      <c r="CI100" s="60"/>
      <c r="CJ100" s="60"/>
      <c r="CK100" s="52">
        <f>IF(A100="",0,COUNTIF(tbl_Activites_Documents[ID Activite],A100))</f>
        <v>0</v>
      </c>
      <c r="CL100" s="52">
        <f>IF(A100="",0,COUNTIF(tbl_Activites_Risques[ID Activite],A100))</f>
        <v>0</v>
      </c>
      <c r="CM100" s="34" t="str">
        <f t="shared" si="21"/>
        <v/>
      </c>
      <c r="CN100" s="60"/>
    </row>
    <row r="101" spans="1:92" ht="30" customHeight="1">
      <c r="A101" s="34" t="str">
        <f t="shared" si="11"/>
        <v/>
      </c>
      <c r="B101" s="60"/>
      <c r="C101" s="57"/>
      <c r="D101" s="61" t="str">
        <f>IFERROR(INDEX(tbl_Projets[Titre complet du projet],MATCH(C101,tbl_Projets[ID Projet],0)),"")</f>
        <v/>
      </c>
      <c r="E101" s="34" t="str">
        <f>IFERROR(INDEX(tbl_Projets[Domaine d''intervention],MATCH(C101,tbl_Projets[ID Projet],0)),"")</f>
        <v/>
      </c>
      <c r="F101" s="34" t="str">
        <f>IFERROR(INDEX(tbl_Projets[Nom du responsable],MATCH(C101,tbl_Projets[ID Projet],0)),"")</f>
        <v/>
      </c>
      <c r="G101" s="60"/>
      <c r="H101" s="60"/>
      <c r="I101" s="60"/>
      <c r="J101" s="57"/>
      <c r="K101" s="57"/>
      <c r="L101" s="50"/>
      <c r="M101" s="62"/>
      <c r="N101" s="62"/>
      <c r="O101" s="63" t="str">
        <f t="shared" si="12"/>
        <v/>
      </c>
      <c r="P101" s="57"/>
      <c r="Q101" s="64" t="str">
        <f>IF(L101="","",INDEX(PARAMETRES!$B$53:$B$65,MONTH(L101)))</f>
        <v/>
      </c>
      <c r="R101" s="64" t="str">
        <f>IF(L101="","",INDEX(PARAMETRES!$C$53:$C$65,MONTH(L101)))</f>
        <v/>
      </c>
      <c r="S101" s="34" t="str">
        <f t="shared" si="13"/>
        <v/>
      </c>
      <c r="T101" s="50"/>
      <c r="U101" s="62"/>
      <c r="V101" s="62"/>
      <c r="W101" s="63" t="str">
        <f t="shared" si="14"/>
        <v/>
      </c>
      <c r="X101" s="57"/>
      <c r="Y101" s="54"/>
      <c r="Z101" s="57"/>
      <c r="AA101" s="52" t="str">
        <f t="shared" si="15"/>
        <v/>
      </c>
      <c r="AB101" s="34" t="str">
        <f t="shared" ca="1" si="16"/>
        <v/>
      </c>
      <c r="AC101" s="60"/>
      <c r="AD101" s="60"/>
      <c r="AE101" s="57"/>
      <c r="AF101" s="60"/>
      <c r="AG101" s="60"/>
      <c r="AH101" s="57"/>
      <c r="AI101" s="34" t="str">
        <f>IFERROR(INDEX(PARAMETRES!$B$536:$B$586,MATCH(AH101,PARAMETRES!$J$536:$J$586,0)),"")</f>
        <v/>
      </c>
      <c r="AJ101" s="34" t="str">
        <f>IFERROR(INDEX(PARAMETRES!$D$536:$D$586,MATCH(AH101,PARAMETRES!$J$536:$J$586,0)),"")</f>
        <v/>
      </c>
      <c r="AK101" s="34" t="str">
        <f>IFERROR(INDEX(PARAMETRES!$F$536:$F$586,MATCH(AH101,PARAMETRES!$J$536:$J$586,0)),"")</f>
        <v/>
      </c>
      <c r="AL101" s="34" t="str">
        <f>IFERROR(INDEX(PARAMETRES!$H$536:$H$586,MATCH(AH101,PARAMETRES!$J$536:$J$586,0)),"")</f>
        <v/>
      </c>
      <c r="AM101" s="60"/>
      <c r="AN101" s="60"/>
      <c r="AO101" s="51"/>
      <c r="AP101" s="51"/>
      <c r="AQ101" s="51"/>
      <c r="AR101" s="51"/>
      <c r="AS101" s="51"/>
      <c r="AT101" s="51"/>
      <c r="AU101" s="51"/>
      <c r="AV101" s="52">
        <f>IF(A101="",0,COUNTIFS(tbl_Beneficiaires_Activites[ID activite],A101))</f>
        <v>0</v>
      </c>
      <c r="AW101" s="51"/>
      <c r="AX101" s="51"/>
      <c r="AY101" s="51"/>
      <c r="AZ101" s="57"/>
      <c r="BA101" s="57"/>
      <c r="BB101" s="60"/>
      <c r="BC101" s="51"/>
      <c r="BD101" s="51"/>
      <c r="BE101" s="51"/>
      <c r="BF101" s="52">
        <f t="shared" si="17"/>
        <v>0</v>
      </c>
      <c r="BG101" s="53">
        <f t="shared" si="18"/>
        <v>0</v>
      </c>
      <c r="BH101" s="57"/>
      <c r="BI101" s="60"/>
      <c r="BJ101" s="51"/>
      <c r="BK101" s="51"/>
      <c r="BL101" s="57"/>
      <c r="BM101" s="60"/>
      <c r="BN101" s="60"/>
      <c r="BO101" s="60"/>
      <c r="BP101" s="60"/>
      <c r="BQ101" s="51"/>
      <c r="BR101" s="57"/>
      <c r="BS101" s="60"/>
      <c r="BT101" s="60"/>
      <c r="BU101" s="60"/>
      <c r="BV101" s="52" t="str">
        <f t="shared" si="19"/>
        <v/>
      </c>
      <c r="BW101" s="52" t="str">
        <f t="shared" si="20"/>
        <v/>
      </c>
      <c r="BX101" s="57"/>
      <c r="BY101" s="57"/>
      <c r="BZ101" s="57"/>
      <c r="CA101" s="57"/>
      <c r="CB101" s="60"/>
      <c r="CC101" s="60"/>
      <c r="CD101" s="54"/>
      <c r="CE101" s="57"/>
      <c r="CF101" s="50"/>
      <c r="CG101" s="60"/>
      <c r="CH101" s="57"/>
      <c r="CI101" s="60"/>
      <c r="CJ101" s="60"/>
      <c r="CK101" s="52">
        <f>IF(A101="",0,COUNTIF(tbl_Activites_Documents[ID Activite],A101))</f>
        <v>0</v>
      </c>
      <c r="CL101" s="52">
        <f>IF(A101="",0,COUNTIF(tbl_Activites_Risques[ID Activite],A101))</f>
        <v>0</v>
      </c>
      <c r="CM101" s="34" t="str">
        <f t="shared" si="21"/>
        <v/>
      </c>
      <c r="CN101" s="60"/>
    </row>
    <row r="102" spans="1:92" ht="30" customHeight="1">
      <c r="A102" s="34" t="str">
        <f t="shared" si="11"/>
        <v/>
      </c>
      <c r="B102" s="60"/>
      <c r="C102" s="57"/>
      <c r="D102" s="61" t="str">
        <f>IFERROR(INDEX(tbl_Projets[Titre complet du projet],MATCH(C102,tbl_Projets[ID Projet],0)),"")</f>
        <v/>
      </c>
      <c r="E102" s="34" t="str">
        <f>IFERROR(INDEX(tbl_Projets[Domaine d''intervention],MATCH(C102,tbl_Projets[ID Projet],0)),"")</f>
        <v/>
      </c>
      <c r="F102" s="34" t="str">
        <f>IFERROR(INDEX(tbl_Projets[Nom du responsable],MATCH(C102,tbl_Projets[ID Projet],0)),"")</f>
        <v/>
      </c>
      <c r="G102" s="60"/>
      <c r="H102" s="60"/>
      <c r="I102" s="60"/>
      <c r="J102" s="57"/>
      <c r="K102" s="57"/>
      <c r="L102" s="50"/>
      <c r="M102" s="62"/>
      <c r="N102" s="62"/>
      <c r="O102" s="63" t="str">
        <f t="shared" si="12"/>
        <v/>
      </c>
      <c r="P102" s="57"/>
      <c r="Q102" s="64" t="str">
        <f>IF(L102="","",INDEX(PARAMETRES!$B$53:$B$65,MONTH(L102)))</f>
        <v/>
      </c>
      <c r="R102" s="64" t="str">
        <f>IF(L102="","",INDEX(PARAMETRES!$C$53:$C$65,MONTH(L102)))</f>
        <v/>
      </c>
      <c r="S102" s="34" t="str">
        <f t="shared" si="13"/>
        <v/>
      </c>
      <c r="T102" s="50"/>
      <c r="U102" s="62"/>
      <c r="V102" s="62"/>
      <c r="W102" s="63" t="str">
        <f t="shared" si="14"/>
        <v/>
      </c>
      <c r="X102" s="57"/>
      <c r="Y102" s="54"/>
      <c r="Z102" s="57"/>
      <c r="AA102" s="52" t="str">
        <f t="shared" si="15"/>
        <v/>
      </c>
      <c r="AB102" s="34" t="str">
        <f t="shared" ca="1" si="16"/>
        <v/>
      </c>
      <c r="AC102" s="60"/>
      <c r="AD102" s="60"/>
      <c r="AE102" s="57"/>
      <c r="AF102" s="60"/>
      <c r="AG102" s="60"/>
      <c r="AH102" s="57"/>
      <c r="AI102" s="34" t="str">
        <f>IFERROR(INDEX(PARAMETRES!$B$536:$B$586,MATCH(AH102,PARAMETRES!$J$536:$J$586,0)),"")</f>
        <v/>
      </c>
      <c r="AJ102" s="34" t="str">
        <f>IFERROR(INDEX(PARAMETRES!$D$536:$D$586,MATCH(AH102,PARAMETRES!$J$536:$J$586,0)),"")</f>
        <v/>
      </c>
      <c r="AK102" s="34" t="str">
        <f>IFERROR(INDEX(PARAMETRES!$F$536:$F$586,MATCH(AH102,PARAMETRES!$J$536:$J$586,0)),"")</f>
        <v/>
      </c>
      <c r="AL102" s="34" t="str">
        <f>IFERROR(INDEX(PARAMETRES!$H$536:$H$586,MATCH(AH102,PARAMETRES!$J$536:$J$586,0)),"")</f>
        <v/>
      </c>
      <c r="AM102" s="60"/>
      <c r="AN102" s="60"/>
      <c r="AO102" s="51"/>
      <c r="AP102" s="51"/>
      <c r="AQ102" s="51"/>
      <c r="AR102" s="51"/>
      <c r="AS102" s="51"/>
      <c r="AT102" s="51"/>
      <c r="AU102" s="51"/>
      <c r="AV102" s="52">
        <f>IF(A102="",0,COUNTIFS(tbl_Beneficiaires_Activites[ID activite],A102))</f>
        <v>0</v>
      </c>
      <c r="AW102" s="51"/>
      <c r="AX102" s="51"/>
      <c r="AY102" s="51"/>
      <c r="AZ102" s="57"/>
      <c r="BA102" s="57"/>
      <c r="BB102" s="60"/>
      <c r="BC102" s="51"/>
      <c r="BD102" s="51"/>
      <c r="BE102" s="51"/>
      <c r="BF102" s="52">
        <f t="shared" si="17"/>
        <v>0</v>
      </c>
      <c r="BG102" s="53">
        <f t="shared" si="18"/>
        <v>0</v>
      </c>
      <c r="BH102" s="57"/>
      <c r="BI102" s="60"/>
      <c r="BJ102" s="51"/>
      <c r="BK102" s="51"/>
      <c r="BL102" s="57"/>
      <c r="BM102" s="60"/>
      <c r="BN102" s="60"/>
      <c r="BO102" s="60"/>
      <c r="BP102" s="60"/>
      <c r="BQ102" s="51"/>
      <c r="BR102" s="57"/>
      <c r="BS102" s="60"/>
      <c r="BT102" s="60"/>
      <c r="BU102" s="60"/>
      <c r="BV102" s="52" t="str">
        <f t="shared" si="19"/>
        <v/>
      </c>
      <c r="BW102" s="52" t="str">
        <f t="shared" si="20"/>
        <v/>
      </c>
      <c r="BX102" s="57"/>
      <c r="BY102" s="57"/>
      <c r="BZ102" s="57"/>
      <c r="CA102" s="57"/>
      <c r="CB102" s="60"/>
      <c r="CC102" s="60"/>
      <c r="CD102" s="54"/>
      <c r="CE102" s="57"/>
      <c r="CF102" s="50"/>
      <c r="CG102" s="60"/>
      <c r="CH102" s="57"/>
      <c r="CI102" s="60"/>
      <c r="CJ102" s="60"/>
      <c r="CK102" s="52">
        <f>IF(A102="",0,COUNTIF(tbl_Activites_Documents[ID Activite],A102))</f>
        <v>0</v>
      </c>
      <c r="CL102" s="52">
        <f>IF(A102="",0,COUNTIF(tbl_Activites_Risques[ID Activite],A102))</f>
        <v>0</v>
      </c>
      <c r="CM102" s="34" t="str">
        <f t="shared" si="21"/>
        <v/>
      </c>
      <c r="CN102" s="60"/>
    </row>
    <row r="103" spans="1:92" ht="30" customHeight="1">
      <c r="A103" s="34" t="str">
        <f t="shared" si="11"/>
        <v/>
      </c>
      <c r="B103" s="60"/>
      <c r="C103" s="57"/>
      <c r="D103" s="61" t="str">
        <f>IFERROR(INDEX(tbl_Projets[Titre complet du projet],MATCH(C103,tbl_Projets[ID Projet],0)),"")</f>
        <v/>
      </c>
      <c r="E103" s="34" t="str">
        <f>IFERROR(INDEX(tbl_Projets[Domaine d''intervention],MATCH(C103,tbl_Projets[ID Projet],0)),"")</f>
        <v/>
      </c>
      <c r="F103" s="34" t="str">
        <f>IFERROR(INDEX(tbl_Projets[Nom du responsable],MATCH(C103,tbl_Projets[ID Projet],0)),"")</f>
        <v/>
      </c>
      <c r="G103" s="60"/>
      <c r="H103" s="60"/>
      <c r="I103" s="60"/>
      <c r="J103" s="57"/>
      <c r="K103" s="57"/>
      <c r="L103" s="50"/>
      <c r="M103" s="62"/>
      <c r="N103" s="62"/>
      <c r="O103" s="63" t="str">
        <f t="shared" si="12"/>
        <v/>
      </c>
      <c r="P103" s="57"/>
      <c r="Q103" s="64" t="str">
        <f>IF(L103="","",INDEX(PARAMETRES!$B$53:$B$65,MONTH(L103)))</f>
        <v/>
      </c>
      <c r="R103" s="64" t="str">
        <f>IF(L103="","",INDEX(PARAMETRES!$C$53:$C$65,MONTH(L103)))</f>
        <v/>
      </c>
      <c r="S103" s="34" t="str">
        <f t="shared" si="13"/>
        <v/>
      </c>
      <c r="T103" s="50"/>
      <c r="U103" s="62"/>
      <c r="V103" s="62"/>
      <c r="W103" s="63" t="str">
        <f t="shared" si="14"/>
        <v/>
      </c>
      <c r="X103" s="57"/>
      <c r="Y103" s="54"/>
      <c r="Z103" s="57"/>
      <c r="AA103" s="52" t="str">
        <f t="shared" si="15"/>
        <v/>
      </c>
      <c r="AB103" s="34" t="str">
        <f t="shared" ca="1" si="16"/>
        <v/>
      </c>
      <c r="AC103" s="60"/>
      <c r="AD103" s="60"/>
      <c r="AE103" s="57"/>
      <c r="AF103" s="60"/>
      <c r="AG103" s="60"/>
      <c r="AH103" s="57"/>
      <c r="AI103" s="34" t="str">
        <f>IFERROR(INDEX(PARAMETRES!$B$536:$B$586,MATCH(AH103,PARAMETRES!$J$536:$J$586,0)),"")</f>
        <v/>
      </c>
      <c r="AJ103" s="34" t="str">
        <f>IFERROR(INDEX(PARAMETRES!$D$536:$D$586,MATCH(AH103,PARAMETRES!$J$536:$J$586,0)),"")</f>
        <v/>
      </c>
      <c r="AK103" s="34" t="str">
        <f>IFERROR(INDEX(PARAMETRES!$F$536:$F$586,MATCH(AH103,PARAMETRES!$J$536:$J$586,0)),"")</f>
        <v/>
      </c>
      <c r="AL103" s="34" t="str">
        <f>IFERROR(INDEX(PARAMETRES!$H$536:$H$586,MATCH(AH103,PARAMETRES!$J$536:$J$586,0)),"")</f>
        <v/>
      </c>
      <c r="AM103" s="60"/>
      <c r="AN103" s="60"/>
      <c r="AO103" s="51"/>
      <c r="AP103" s="51"/>
      <c r="AQ103" s="51"/>
      <c r="AR103" s="51"/>
      <c r="AS103" s="51"/>
      <c r="AT103" s="51"/>
      <c r="AU103" s="51"/>
      <c r="AV103" s="52">
        <f>IF(A103="",0,COUNTIFS(tbl_Beneficiaires_Activites[ID activite],A103))</f>
        <v>0</v>
      </c>
      <c r="AW103" s="51"/>
      <c r="AX103" s="51"/>
      <c r="AY103" s="51"/>
      <c r="AZ103" s="57"/>
      <c r="BA103" s="57"/>
      <c r="BB103" s="60"/>
      <c r="BC103" s="51"/>
      <c r="BD103" s="51"/>
      <c r="BE103" s="51"/>
      <c r="BF103" s="52">
        <f t="shared" si="17"/>
        <v>0</v>
      </c>
      <c r="BG103" s="53">
        <f t="shared" si="18"/>
        <v>0</v>
      </c>
      <c r="BH103" s="57"/>
      <c r="BI103" s="60"/>
      <c r="BJ103" s="51"/>
      <c r="BK103" s="51"/>
      <c r="BL103" s="57"/>
      <c r="BM103" s="60"/>
      <c r="BN103" s="60"/>
      <c r="BO103" s="60"/>
      <c r="BP103" s="60"/>
      <c r="BQ103" s="51"/>
      <c r="BR103" s="57"/>
      <c r="BS103" s="60"/>
      <c r="BT103" s="60"/>
      <c r="BU103" s="60"/>
      <c r="BV103" s="52" t="str">
        <f t="shared" si="19"/>
        <v/>
      </c>
      <c r="BW103" s="52" t="str">
        <f t="shared" si="20"/>
        <v/>
      </c>
      <c r="BX103" s="57"/>
      <c r="BY103" s="57"/>
      <c r="BZ103" s="57"/>
      <c r="CA103" s="57"/>
      <c r="CB103" s="60"/>
      <c r="CC103" s="60"/>
      <c r="CD103" s="54"/>
      <c r="CE103" s="57"/>
      <c r="CF103" s="50"/>
      <c r="CG103" s="60"/>
      <c r="CH103" s="57"/>
      <c r="CI103" s="60"/>
      <c r="CJ103" s="60"/>
      <c r="CK103" s="52">
        <f>IF(A103="",0,COUNTIF(tbl_Activites_Documents[ID Activite],A103))</f>
        <v>0</v>
      </c>
      <c r="CL103" s="52">
        <f>IF(A103="",0,COUNTIF(tbl_Activites_Risques[ID Activite],A103))</f>
        <v>0</v>
      </c>
      <c r="CM103" s="34" t="str">
        <f t="shared" si="21"/>
        <v/>
      </c>
      <c r="CN103" s="60"/>
    </row>
    <row r="104" spans="1:92" ht="30" customHeight="1">
      <c r="A104" s="34" t="str">
        <f t="shared" si="11"/>
        <v/>
      </c>
      <c r="B104" s="60"/>
      <c r="C104" s="57"/>
      <c r="D104" s="61" t="str">
        <f>IFERROR(INDEX(tbl_Projets[Titre complet du projet],MATCH(C104,tbl_Projets[ID Projet],0)),"")</f>
        <v/>
      </c>
      <c r="E104" s="34" t="str">
        <f>IFERROR(INDEX(tbl_Projets[Domaine d''intervention],MATCH(C104,tbl_Projets[ID Projet],0)),"")</f>
        <v/>
      </c>
      <c r="F104" s="34" t="str">
        <f>IFERROR(INDEX(tbl_Projets[Nom du responsable],MATCH(C104,tbl_Projets[ID Projet],0)),"")</f>
        <v/>
      </c>
      <c r="G104" s="60"/>
      <c r="H104" s="60"/>
      <c r="I104" s="60"/>
      <c r="J104" s="57"/>
      <c r="K104" s="57"/>
      <c r="L104" s="50"/>
      <c r="M104" s="62"/>
      <c r="N104" s="62"/>
      <c r="O104" s="63" t="str">
        <f t="shared" si="12"/>
        <v/>
      </c>
      <c r="P104" s="57"/>
      <c r="Q104" s="64" t="str">
        <f>IF(L104="","",INDEX(PARAMETRES!$B$53:$B$65,MONTH(L104)))</f>
        <v/>
      </c>
      <c r="R104" s="64" t="str">
        <f>IF(L104="","",INDEX(PARAMETRES!$C$53:$C$65,MONTH(L104)))</f>
        <v/>
      </c>
      <c r="S104" s="34" t="str">
        <f t="shared" si="13"/>
        <v/>
      </c>
      <c r="T104" s="50"/>
      <c r="U104" s="62"/>
      <c r="V104" s="62"/>
      <c r="W104" s="63" t="str">
        <f t="shared" si="14"/>
        <v/>
      </c>
      <c r="X104" s="57"/>
      <c r="Y104" s="54"/>
      <c r="Z104" s="57"/>
      <c r="AA104" s="52" t="str">
        <f t="shared" si="15"/>
        <v/>
      </c>
      <c r="AB104" s="34" t="str">
        <f t="shared" ca="1" si="16"/>
        <v/>
      </c>
      <c r="AC104" s="60"/>
      <c r="AD104" s="60"/>
      <c r="AE104" s="57"/>
      <c r="AF104" s="60"/>
      <c r="AG104" s="60"/>
      <c r="AH104" s="57"/>
      <c r="AI104" s="34" t="str">
        <f>IFERROR(INDEX(PARAMETRES!$B$536:$B$586,MATCH(AH104,PARAMETRES!$J$536:$J$586,0)),"")</f>
        <v/>
      </c>
      <c r="AJ104" s="34" t="str">
        <f>IFERROR(INDEX(PARAMETRES!$D$536:$D$586,MATCH(AH104,PARAMETRES!$J$536:$J$586,0)),"")</f>
        <v/>
      </c>
      <c r="AK104" s="34" t="str">
        <f>IFERROR(INDEX(PARAMETRES!$F$536:$F$586,MATCH(AH104,PARAMETRES!$J$536:$J$586,0)),"")</f>
        <v/>
      </c>
      <c r="AL104" s="34" t="str">
        <f>IFERROR(INDEX(PARAMETRES!$H$536:$H$586,MATCH(AH104,PARAMETRES!$J$536:$J$586,0)),"")</f>
        <v/>
      </c>
      <c r="AM104" s="60"/>
      <c r="AN104" s="60"/>
      <c r="AO104" s="51"/>
      <c r="AP104" s="51"/>
      <c r="AQ104" s="51"/>
      <c r="AR104" s="51"/>
      <c r="AS104" s="51"/>
      <c r="AT104" s="51"/>
      <c r="AU104" s="51"/>
      <c r="AV104" s="52">
        <f>IF(A104="",0,COUNTIFS(tbl_Beneficiaires_Activites[ID activite],A104))</f>
        <v>0</v>
      </c>
      <c r="AW104" s="51"/>
      <c r="AX104" s="51"/>
      <c r="AY104" s="51"/>
      <c r="AZ104" s="57"/>
      <c r="BA104" s="57"/>
      <c r="BB104" s="60"/>
      <c r="BC104" s="51"/>
      <c r="BD104" s="51"/>
      <c r="BE104" s="51"/>
      <c r="BF104" s="52">
        <f t="shared" si="17"/>
        <v>0</v>
      </c>
      <c r="BG104" s="53">
        <f t="shared" si="18"/>
        <v>0</v>
      </c>
      <c r="BH104" s="57"/>
      <c r="BI104" s="60"/>
      <c r="BJ104" s="51"/>
      <c r="BK104" s="51"/>
      <c r="BL104" s="57"/>
      <c r="BM104" s="60"/>
      <c r="BN104" s="60"/>
      <c r="BO104" s="60"/>
      <c r="BP104" s="60"/>
      <c r="BQ104" s="51"/>
      <c r="BR104" s="57"/>
      <c r="BS104" s="60"/>
      <c r="BT104" s="60"/>
      <c r="BU104" s="60"/>
      <c r="BV104" s="52" t="str">
        <f t="shared" si="19"/>
        <v/>
      </c>
      <c r="BW104" s="52" t="str">
        <f t="shared" si="20"/>
        <v/>
      </c>
      <c r="BX104" s="57"/>
      <c r="BY104" s="57"/>
      <c r="BZ104" s="57"/>
      <c r="CA104" s="57"/>
      <c r="CB104" s="60"/>
      <c r="CC104" s="60"/>
      <c r="CD104" s="54"/>
      <c r="CE104" s="57"/>
      <c r="CF104" s="50"/>
      <c r="CG104" s="60"/>
      <c r="CH104" s="57"/>
      <c r="CI104" s="60"/>
      <c r="CJ104" s="60"/>
      <c r="CK104" s="52">
        <f>IF(A104="",0,COUNTIF(tbl_Activites_Documents[ID Activite],A104))</f>
        <v>0</v>
      </c>
      <c r="CL104" s="52">
        <f>IF(A104="",0,COUNTIF(tbl_Activites_Risques[ID Activite],A104))</f>
        <v>0</v>
      </c>
      <c r="CM104" s="34" t="str">
        <f t="shared" si="21"/>
        <v/>
      </c>
      <c r="CN104" s="60"/>
    </row>
    <row r="105" spans="1:92" ht="30" customHeight="1">
      <c r="A105" s="34" t="str">
        <f t="shared" si="11"/>
        <v/>
      </c>
      <c r="B105" s="60"/>
      <c r="C105" s="57"/>
      <c r="D105" s="61" t="str">
        <f>IFERROR(INDEX(tbl_Projets[Titre complet du projet],MATCH(C105,tbl_Projets[ID Projet],0)),"")</f>
        <v/>
      </c>
      <c r="E105" s="34" t="str">
        <f>IFERROR(INDEX(tbl_Projets[Domaine d''intervention],MATCH(C105,tbl_Projets[ID Projet],0)),"")</f>
        <v/>
      </c>
      <c r="F105" s="34" t="str">
        <f>IFERROR(INDEX(tbl_Projets[Nom du responsable],MATCH(C105,tbl_Projets[ID Projet],0)),"")</f>
        <v/>
      </c>
      <c r="G105" s="60"/>
      <c r="H105" s="60"/>
      <c r="I105" s="60"/>
      <c r="J105" s="57"/>
      <c r="K105" s="57"/>
      <c r="L105" s="50"/>
      <c r="M105" s="62"/>
      <c r="N105" s="62"/>
      <c r="O105" s="63" t="str">
        <f t="shared" si="12"/>
        <v/>
      </c>
      <c r="P105" s="57"/>
      <c r="Q105" s="64" t="str">
        <f>IF(L105="","",INDEX(PARAMETRES!$B$53:$B$65,MONTH(L105)))</f>
        <v/>
      </c>
      <c r="R105" s="64" t="str">
        <f>IF(L105="","",INDEX(PARAMETRES!$C$53:$C$65,MONTH(L105)))</f>
        <v/>
      </c>
      <c r="S105" s="34" t="str">
        <f t="shared" si="13"/>
        <v/>
      </c>
      <c r="T105" s="50"/>
      <c r="U105" s="62"/>
      <c r="V105" s="62"/>
      <c r="W105" s="63" t="str">
        <f t="shared" si="14"/>
        <v/>
      </c>
      <c r="X105" s="57"/>
      <c r="Y105" s="54"/>
      <c r="Z105" s="57"/>
      <c r="AA105" s="52" t="str">
        <f t="shared" si="15"/>
        <v/>
      </c>
      <c r="AB105" s="34" t="str">
        <f t="shared" ca="1" si="16"/>
        <v/>
      </c>
      <c r="AC105" s="60"/>
      <c r="AD105" s="60"/>
      <c r="AE105" s="57"/>
      <c r="AF105" s="60"/>
      <c r="AG105" s="60"/>
      <c r="AH105" s="57"/>
      <c r="AI105" s="34" t="str">
        <f>IFERROR(INDEX(PARAMETRES!$B$536:$B$586,MATCH(AH105,PARAMETRES!$J$536:$J$586,0)),"")</f>
        <v/>
      </c>
      <c r="AJ105" s="34" t="str">
        <f>IFERROR(INDEX(PARAMETRES!$D$536:$D$586,MATCH(AH105,PARAMETRES!$J$536:$J$586,0)),"")</f>
        <v/>
      </c>
      <c r="AK105" s="34" t="str">
        <f>IFERROR(INDEX(PARAMETRES!$F$536:$F$586,MATCH(AH105,PARAMETRES!$J$536:$J$586,0)),"")</f>
        <v/>
      </c>
      <c r="AL105" s="34" t="str">
        <f>IFERROR(INDEX(PARAMETRES!$H$536:$H$586,MATCH(AH105,PARAMETRES!$J$536:$J$586,0)),"")</f>
        <v/>
      </c>
      <c r="AM105" s="60"/>
      <c r="AN105" s="60"/>
      <c r="AO105" s="51"/>
      <c r="AP105" s="51"/>
      <c r="AQ105" s="51"/>
      <c r="AR105" s="51"/>
      <c r="AS105" s="51"/>
      <c r="AT105" s="51"/>
      <c r="AU105" s="51"/>
      <c r="AV105" s="52">
        <f>IF(A105="",0,COUNTIFS(tbl_Beneficiaires_Activites[ID activite],A105))</f>
        <v>0</v>
      </c>
      <c r="AW105" s="51"/>
      <c r="AX105" s="51"/>
      <c r="AY105" s="51"/>
      <c r="AZ105" s="57"/>
      <c r="BA105" s="57"/>
      <c r="BB105" s="60"/>
      <c r="BC105" s="51"/>
      <c r="BD105" s="51"/>
      <c r="BE105" s="51"/>
      <c r="BF105" s="52">
        <f t="shared" si="17"/>
        <v>0</v>
      </c>
      <c r="BG105" s="53">
        <f t="shared" si="18"/>
        <v>0</v>
      </c>
      <c r="BH105" s="57"/>
      <c r="BI105" s="60"/>
      <c r="BJ105" s="51"/>
      <c r="BK105" s="51"/>
      <c r="BL105" s="57"/>
      <c r="BM105" s="60"/>
      <c r="BN105" s="60"/>
      <c r="BO105" s="60"/>
      <c r="BP105" s="60"/>
      <c r="BQ105" s="51"/>
      <c r="BR105" s="57"/>
      <c r="BS105" s="60"/>
      <c r="BT105" s="60"/>
      <c r="BU105" s="60"/>
      <c r="BV105" s="52" t="str">
        <f t="shared" si="19"/>
        <v/>
      </c>
      <c r="BW105" s="52" t="str">
        <f t="shared" si="20"/>
        <v/>
      </c>
      <c r="BX105" s="57"/>
      <c r="BY105" s="57"/>
      <c r="BZ105" s="57"/>
      <c r="CA105" s="57"/>
      <c r="CB105" s="60"/>
      <c r="CC105" s="60"/>
      <c r="CD105" s="54"/>
      <c r="CE105" s="57"/>
      <c r="CF105" s="50"/>
      <c r="CG105" s="60"/>
      <c r="CH105" s="57"/>
      <c r="CI105" s="60"/>
      <c r="CJ105" s="60"/>
      <c r="CK105" s="52">
        <f>IF(A105="",0,COUNTIF(tbl_Activites_Documents[ID Activite],A105))</f>
        <v>0</v>
      </c>
      <c r="CL105" s="52">
        <f>IF(A105="",0,COUNTIF(tbl_Activites_Risques[ID Activite],A105))</f>
        <v>0</v>
      </c>
      <c r="CM105" s="34" t="str">
        <f t="shared" si="21"/>
        <v/>
      </c>
      <c r="CN105" s="60"/>
    </row>
    <row r="108" spans="1:92" ht="15.75" customHeight="1">
      <c r="A108" s="296" t="s">
        <v>1840</v>
      </c>
      <c r="B108" s="262"/>
      <c r="C108" s="262"/>
      <c r="D108" s="262"/>
      <c r="E108" s="262"/>
      <c r="F108" s="262"/>
    </row>
    <row r="109" spans="1:92" ht="25.5" customHeight="1">
      <c r="A109" s="32" t="s">
        <v>1774</v>
      </c>
      <c r="B109" s="32" t="s">
        <v>1722</v>
      </c>
      <c r="C109" s="32" t="s">
        <v>1512</v>
      </c>
      <c r="D109" s="32" t="s">
        <v>1371</v>
      </c>
      <c r="E109" s="32" t="s">
        <v>1841</v>
      </c>
      <c r="F109" s="32" t="s">
        <v>1625</v>
      </c>
    </row>
    <row r="110" spans="1:92" ht="15" customHeight="1">
      <c r="A110" s="57"/>
      <c r="B110" s="57"/>
      <c r="C110" s="60"/>
      <c r="D110" s="60"/>
      <c r="E110" s="57"/>
      <c r="F110" s="57"/>
    </row>
    <row r="111" spans="1:92" ht="15" customHeight="1">
      <c r="A111" s="57"/>
      <c r="B111" s="57"/>
      <c r="C111" s="60"/>
      <c r="D111" s="60"/>
      <c r="E111" s="57"/>
      <c r="F111" s="57"/>
    </row>
    <row r="112" spans="1:92" ht="15" customHeight="1">
      <c r="A112" s="57"/>
      <c r="B112" s="57"/>
      <c r="C112" s="60"/>
      <c r="D112" s="60"/>
      <c r="E112" s="57"/>
      <c r="F112" s="57"/>
    </row>
    <row r="113" spans="1:6" ht="15" customHeight="1">
      <c r="A113" s="57"/>
      <c r="B113" s="57"/>
      <c r="C113" s="60"/>
      <c r="D113" s="60"/>
      <c r="E113" s="57"/>
      <c r="F113" s="57"/>
    </row>
    <row r="114" spans="1:6" ht="15" customHeight="1">
      <c r="A114" s="57"/>
      <c r="B114" s="57"/>
      <c r="C114" s="60"/>
      <c r="D114" s="60"/>
      <c r="E114" s="57"/>
      <c r="F114" s="57"/>
    </row>
    <row r="115" spans="1:6" ht="15" customHeight="1">
      <c r="A115" s="57"/>
      <c r="B115" s="57"/>
      <c r="C115" s="60"/>
      <c r="D115" s="60"/>
      <c r="E115" s="57"/>
      <c r="F115" s="57"/>
    </row>
    <row r="116" spans="1:6" ht="15" customHeight="1">
      <c r="A116" s="57"/>
      <c r="B116" s="57"/>
      <c r="C116" s="60"/>
      <c r="D116" s="60"/>
      <c r="E116" s="57"/>
      <c r="F116" s="57"/>
    </row>
    <row r="117" spans="1:6" ht="15" customHeight="1">
      <c r="A117" s="57"/>
      <c r="B117" s="57"/>
      <c r="C117" s="60"/>
      <c r="D117" s="60"/>
      <c r="E117" s="57"/>
      <c r="F117" s="57"/>
    </row>
    <row r="118" spans="1:6" ht="15" customHeight="1">
      <c r="A118" s="57"/>
      <c r="B118" s="57"/>
      <c r="C118" s="60"/>
      <c r="D118" s="60"/>
      <c r="E118" s="57"/>
      <c r="F118" s="57"/>
    </row>
    <row r="119" spans="1:6" ht="15" customHeight="1">
      <c r="A119" s="57"/>
      <c r="B119" s="57"/>
      <c r="C119" s="60"/>
      <c r="D119" s="60"/>
      <c r="E119" s="57"/>
      <c r="F119" s="57"/>
    </row>
    <row r="120" spans="1:6" ht="15" customHeight="1">
      <c r="A120" s="57"/>
      <c r="B120" s="57"/>
      <c r="C120" s="60"/>
      <c r="D120" s="60"/>
      <c r="E120" s="57"/>
      <c r="F120" s="57"/>
    </row>
    <row r="121" spans="1:6" ht="15" customHeight="1">
      <c r="A121" s="57"/>
      <c r="B121" s="57"/>
      <c r="C121" s="60"/>
      <c r="D121" s="60"/>
      <c r="E121" s="57"/>
      <c r="F121" s="57"/>
    </row>
    <row r="122" spans="1:6" ht="15" customHeight="1">
      <c r="A122" s="57"/>
      <c r="B122" s="57"/>
      <c r="C122" s="60"/>
      <c r="D122" s="60"/>
      <c r="E122" s="57"/>
      <c r="F122" s="57"/>
    </row>
    <row r="123" spans="1:6" ht="15" customHeight="1">
      <c r="A123" s="57"/>
      <c r="B123" s="57"/>
      <c r="C123" s="60"/>
      <c r="D123" s="60"/>
      <c r="E123" s="57"/>
      <c r="F123" s="57"/>
    </row>
    <row r="124" spans="1:6" ht="15" customHeight="1">
      <c r="A124" s="57"/>
      <c r="B124" s="57"/>
      <c r="C124" s="60"/>
      <c r="D124" s="60"/>
      <c r="E124" s="57"/>
      <c r="F124" s="57"/>
    </row>
    <row r="125" spans="1:6" ht="15" customHeight="1">
      <c r="A125" s="57"/>
      <c r="B125" s="57"/>
      <c r="C125" s="60"/>
      <c r="D125" s="60"/>
      <c r="E125" s="57"/>
      <c r="F125" s="57"/>
    </row>
    <row r="126" spans="1:6" ht="15" customHeight="1">
      <c r="A126" s="57"/>
      <c r="B126" s="57"/>
      <c r="C126" s="60"/>
      <c r="D126" s="60"/>
      <c r="E126" s="57"/>
      <c r="F126" s="57"/>
    </row>
    <row r="127" spans="1:6" ht="15" customHeight="1">
      <c r="A127" s="57"/>
      <c r="B127" s="57"/>
      <c r="C127" s="60"/>
      <c r="D127" s="60"/>
      <c r="E127" s="57"/>
      <c r="F127" s="57"/>
    </row>
    <row r="128" spans="1:6" ht="15" customHeight="1">
      <c r="A128" s="57"/>
      <c r="B128" s="57"/>
      <c r="C128" s="60"/>
      <c r="D128" s="60"/>
      <c r="E128" s="57"/>
      <c r="F128" s="57"/>
    </row>
    <row r="129" spans="1:7" ht="15" customHeight="1">
      <c r="A129" s="57"/>
      <c r="B129" s="57"/>
      <c r="C129" s="60"/>
      <c r="D129" s="60"/>
      <c r="E129" s="57"/>
      <c r="F129" s="57"/>
    </row>
    <row r="130" spans="1:7" ht="15" customHeight="1">
      <c r="A130" s="57"/>
      <c r="B130" s="57"/>
      <c r="C130" s="60"/>
      <c r="D130" s="60"/>
      <c r="E130" s="57"/>
      <c r="F130" s="57"/>
    </row>
    <row r="131" spans="1:7" ht="15" customHeight="1">
      <c r="A131" s="57"/>
      <c r="B131" s="57"/>
      <c r="C131" s="60"/>
      <c r="D131" s="60"/>
      <c r="E131" s="57"/>
      <c r="F131" s="57"/>
    </row>
    <row r="132" spans="1:7" ht="15" customHeight="1">
      <c r="A132" s="57"/>
      <c r="B132" s="57"/>
      <c r="C132" s="60"/>
      <c r="D132" s="60"/>
      <c r="E132" s="57"/>
      <c r="F132" s="57"/>
    </row>
    <row r="133" spans="1:7" ht="15" customHeight="1">
      <c r="A133" s="57"/>
      <c r="B133" s="57"/>
      <c r="C133" s="60"/>
      <c r="D133" s="60"/>
      <c r="E133" s="57"/>
      <c r="F133" s="57"/>
    </row>
    <row r="134" spans="1:7" ht="15" customHeight="1">
      <c r="A134" s="57"/>
      <c r="B134" s="57"/>
      <c r="C134" s="60"/>
      <c r="D134" s="60"/>
      <c r="E134" s="57"/>
      <c r="F134" s="57"/>
    </row>
    <row r="135" spans="1:7" ht="15" customHeight="1">
      <c r="A135" s="57"/>
      <c r="B135" s="57"/>
      <c r="C135" s="60"/>
      <c r="D135" s="60"/>
      <c r="E135" s="57"/>
      <c r="F135" s="57"/>
    </row>
    <row r="136" spans="1:7" ht="15" customHeight="1">
      <c r="A136" s="57"/>
      <c r="B136" s="57"/>
      <c r="C136" s="60"/>
      <c r="D136" s="60"/>
      <c r="E136" s="57"/>
      <c r="F136" s="57"/>
    </row>
    <row r="137" spans="1:7" ht="15" customHeight="1">
      <c r="A137" s="57"/>
      <c r="B137" s="57"/>
      <c r="C137" s="60"/>
      <c r="D137" s="60"/>
      <c r="E137" s="57"/>
      <c r="F137" s="57"/>
    </row>
    <row r="138" spans="1:7" ht="15" customHeight="1">
      <c r="A138" s="57"/>
      <c r="B138" s="57"/>
      <c r="C138" s="60"/>
      <c r="D138" s="60"/>
      <c r="E138" s="57"/>
      <c r="F138" s="57"/>
    </row>
    <row r="139" spans="1:7" ht="15" customHeight="1">
      <c r="A139" s="57"/>
      <c r="B139" s="57"/>
      <c r="C139" s="60"/>
      <c r="D139" s="60"/>
      <c r="E139" s="57"/>
      <c r="F139" s="57"/>
    </row>
    <row r="142" spans="1:7" ht="15.75" customHeight="1">
      <c r="A142" s="296" t="s">
        <v>1842</v>
      </c>
      <c r="B142" s="262"/>
      <c r="C142" s="262"/>
      <c r="D142" s="262"/>
      <c r="E142" s="262"/>
      <c r="F142" s="262"/>
      <c r="G142" s="262"/>
    </row>
    <row r="143" spans="1:7" ht="15" customHeight="1">
      <c r="A143" s="32" t="s">
        <v>1774</v>
      </c>
      <c r="B143" s="32" t="s">
        <v>1756</v>
      </c>
      <c r="C143" s="32" t="s">
        <v>1716</v>
      </c>
      <c r="D143" s="32" t="s">
        <v>842</v>
      </c>
      <c r="E143" s="32" t="s">
        <v>1718</v>
      </c>
      <c r="F143" s="32" t="s">
        <v>1719</v>
      </c>
      <c r="G143" s="32" t="s">
        <v>1757</v>
      </c>
    </row>
    <row r="144" spans="1:7" ht="15" customHeight="1">
      <c r="A144" s="57"/>
      <c r="B144" s="57"/>
      <c r="C144" s="60"/>
      <c r="D144" s="60"/>
      <c r="E144" s="57"/>
      <c r="F144" s="57"/>
      <c r="G144" s="53" t="str">
        <f t="shared" ref="G144:G173" si="22">IF(OR(E144="",E144=0,F144=""),"",F144/E144)</f>
        <v/>
      </c>
    </row>
    <row r="145" spans="1:7" ht="15" customHeight="1">
      <c r="A145" s="57"/>
      <c r="B145" s="57"/>
      <c r="C145" s="60"/>
      <c r="D145" s="60"/>
      <c r="E145" s="57"/>
      <c r="F145" s="57"/>
      <c r="G145" s="53" t="str">
        <f t="shared" si="22"/>
        <v/>
      </c>
    </row>
    <row r="146" spans="1:7" ht="15" customHeight="1">
      <c r="A146" s="57"/>
      <c r="B146" s="57"/>
      <c r="C146" s="60"/>
      <c r="D146" s="60"/>
      <c r="E146" s="57"/>
      <c r="F146" s="57"/>
      <c r="G146" s="53" t="str">
        <f t="shared" si="22"/>
        <v/>
      </c>
    </row>
    <row r="147" spans="1:7" ht="15" customHeight="1">
      <c r="A147" s="57"/>
      <c r="B147" s="57"/>
      <c r="C147" s="60"/>
      <c r="D147" s="60"/>
      <c r="E147" s="57"/>
      <c r="F147" s="57"/>
      <c r="G147" s="53" t="str">
        <f t="shared" si="22"/>
        <v/>
      </c>
    </row>
    <row r="148" spans="1:7" ht="15" customHeight="1">
      <c r="A148" s="57"/>
      <c r="B148" s="57"/>
      <c r="C148" s="60"/>
      <c r="D148" s="60"/>
      <c r="E148" s="57"/>
      <c r="F148" s="57"/>
      <c r="G148" s="53" t="str">
        <f t="shared" si="22"/>
        <v/>
      </c>
    </row>
    <row r="149" spans="1:7" ht="15" customHeight="1">
      <c r="A149" s="57"/>
      <c r="B149" s="57"/>
      <c r="C149" s="60"/>
      <c r="D149" s="60"/>
      <c r="E149" s="57"/>
      <c r="F149" s="57"/>
      <c r="G149" s="53" t="str">
        <f t="shared" si="22"/>
        <v/>
      </c>
    </row>
    <row r="150" spans="1:7" ht="15" customHeight="1">
      <c r="A150" s="57"/>
      <c r="B150" s="57"/>
      <c r="C150" s="60"/>
      <c r="D150" s="60"/>
      <c r="E150" s="57"/>
      <c r="F150" s="57"/>
      <c r="G150" s="53" t="str">
        <f t="shared" si="22"/>
        <v/>
      </c>
    </row>
    <row r="151" spans="1:7" ht="15" customHeight="1">
      <c r="A151" s="57"/>
      <c r="B151" s="57"/>
      <c r="C151" s="60"/>
      <c r="D151" s="60"/>
      <c r="E151" s="57"/>
      <c r="F151" s="57"/>
      <c r="G151" s="53" t="str">
        <f t="shared" si="22"/>
        <v/>
      </c>
    </row>
    <row r="152" spans="1:7" ht="15" customHeight="1">
      <c r="A152" s="57"/>
      <c r="B152" s="57"/>
      <c r="C152" s="60"/>
      <c r="D152" s="60"/>
      <c r="E152" s="57"/>
      <c r="F152" s="57"/>
      <c r="G152" s="53" t="str">
        <f t="shared" si="22"/>
        <v/>
      </c>
    </row>
    <row r="153" spans="1:7" ht="15" customHeight="1">
      <c r="A153" s="57"/>
      <c r="B153" s="57"/>
      <c r="C153" s="60"/>
      <c r="D153" s="60"/>
      <c r="E153" s="57"/>
      <c r="F153" s="57"/>
      <c r="G153" s="53" t="str">
        <f t="shared" si="22"/>
        <v/>
      </c>
    </row>
    <row r="154" spans="1:7" ht="15" customHeight="1">
      <c r="A154" s="57"/>
      <c r="B154" s="57"/>
      <c r="C154" s="60"/>
      <c r="D154" s="60"/>
      <c r="E154" s="57"/>
      <c r="F154" s="57"/>
      <c r="G154" s="53" t="str">
        <f t="shared" si="22"/>
        <v/>
      </c>
    </row>
    <row r="155" spans="1:7" ht="15" customHeight="1">
      <c r="A155" s="57"/>
      <c r="B155" s="57"/>
      <c r="C155" s="60"/>
      <c r="D155" s="60"/>
      <c r="E155" s="57"/>
      <c r="F155" s="57"/>
      <c r="G155" s="53" t="str">
        <f t="shared" si="22"/>
        <v/>
      </c>
    </row>
    <row r="156" spans="1:7" ht="15" customHeight="1">
      <c r="A156" s="57"/>
      <c r="B156" s="57"/>
      <c r="C156" s="60"/>
      <c r="D156" s="60"/>
      <c r="E156" s="57"/>
      <c r="F156" s="57"/>
      <c r="G156" s="53" t="str">
        <f t="shared" si="22"/>
        <v/>
      </c>
    </row>
    <row r="157" spans="1:7" ht="15" customHeight="1">
      <c r="A157" s="57"/>
      <c r="B157" s="57"/>
      <c r="C157" s="60"/>
      <c r="D157" s="60"/>
      <c r="E157" s="57"/>
      <c r="F157" s="57"/>
      <c r="G157" s="53" t="str">
        <f t="shared" si="22"/>
        <v/>
      </c>
    </row>
    <row r="158" spans="1:7" ht="15" customHeight="1">
      <c r="A158" s="57"/>
      <c r="B158" s="57"/>
      <c r="C158" s="60"/>
      <c r="D158" s="60"/>
      <c r="E158" s="57"/>
      <c r="F158" s="57"/>
      <c r="G158" s="53" t="str">
        <f t="shared" si="22"/>
        <v/>
      </c>
    </row>
    <row r="159" spans="1:7" ht="15" customHeight="1">
      <c r="A159" s="57"/>
      <c r="B159" s="57"/>
      <c r="C159" s="60"/>
      <c r="D159" s="60"/>
      <c r="E159" s="57"/>
      <c r="F159" s="57"/>
      <c r="G159" s="53" t="str">
        <f t="shared" si="22"/>
        <v/>
      </c>
    </row>
    <row r="160" spans="1:7" ht="15" customHeight="1">
      <c r="A160" s="57"/>
      <c r="B160" s="57"/>
      <c r="C160" s="60"/>
      <c r="D160" s="60"/>
      <c r="E160" s="57"/>
      <c r="F160" s="57"/>
      <c r="G160" s="53" t="str">
        <f t="shared" si="22"/>
        <v/>
      </c>
    </row>
    <row r="161" spans="1:9" ht="15" customHeight="1">
      <c r="A161" s="57"/>
      <c r="B161" s="57"/>
      <c r="C161" s="60"/>
      <c r="D161" s="60"/>
      <c r="E161" s="57"/>
      <c r="F161" s="57"/>
      <c r="G161" s="53" t="str">
        <f t="shared" si="22"/>
        <v/>
      </c>
    </row>
    <row r="162" spans="1:9" ht="15" customHeight="1">
      <c r="A162" s="57"/>
      <c r="B162" s="57"/>
      <c r="C162" s="60"/>
      <c r="D162" s="60"/>
      <c r="E162" s="57"/>
      <c r="F162" s="57"/>
      <c r="G162" s="53" t="str">
        <f t="shared" si="22"/>
        <v/>
      </c>
    </row>
    <row r="163" spans="1:9" ht="15" customHeight="1">
      <c r="A163" s="57"/>
      <c r="B163" s="57"/>
      <c r="C163" s="60"/>
      <c r="D163" s="60"/>
      <c r="E163" s="57"/>
      <c r="F163" s="57"/>
      <c r="G163" s="53" t="str">
        <f t="shared" si="22"/>
        <v/>
      </c>
    </row>
    <row r="164" spans="1:9" ht="15" customHeight="1">
      <c r="A164" s="57"/>
      <c r="B164" s="57"/>
      <c r="C164" s="60"/>
      <c r="D164" s="60"/>
      <c r="E164" s="57"/>
      <c r="F164" s="57"/>
      <c r="G164" s="53" t="str">
        <f t="shared" si="22"/>
        <v/>
      </c>
    </row>
    <row r="165" spans="1:9" ht="15" customHeight="1">
      <c r="A165" s="57"/>
      <c r="B165" s="57"/>
      <c r="C165" s="60"/>
      <c r="D165" s="60"/>
      <c r="E165" s="57"/>
      <c r="F165" s="57"/>
      <c r="G165" s="53" t="str">
        <f t="shared" si="22"/>
        <v/>
      </c>
    </row>
    <row r="166" spans="1:9" ht="15" customHeight="1">
      <c r="A166" s="57"/>
      <c r="B166" s="57"/>
      <c r="C166" s="60"/>
      <c r="D166" s="60"/>
      <c r="E166" s="57"/>
      <c r="F166" s="57"/>
      <c r="G166" s="53" t="str">
        <f t="shared" si="22"/>
        <v/>
      </c>
    </row>
    <row r="167" spans="1:9" ht="15" customHeight="1">
      <c r="A167" s="57"/>
      <c r="B167" s="57"/>
      <c r="C167" s="60"/>
      <c r="D167" s="60"/>
      <c r="E167" s="57"/>
      <c r="F167" s="57"/>
      <c r="G167" s="53" t="str">
        <f t="shared" si="22"/>
        <v/>
      </c>
    </row>
    <row r="168" spans="1:9" ht="15" customHeight="1">
      <c r="A168" s="57"/>
      <c r="B168" s="57"/>
      <c r="C168" s="60"/>
      <c r="D168" s="60"/>
      <c r="E168" s="57"/>
      <c r="F168" s="57"/>
      <c r="G168" s="53" t="str">
        <f t="shared" si="22"/>
        <v/>
      </c>
    </row>
    <row r="169" spans="1:9" ht="15" customHeight="1">
      <c r="A169" s="57"/>
      <c r="B169" s="57"/>
      <c r="C169" s="60"/>
      <c r="D169" s="60"/>
      <c r="E169" s="57"/>
      <c r="F169" s="57"/>
      <c r="G169" s="53" t="str">
        <f t="shared" si="22"/>
        <v/>
      </c>
    </row>
    <row r="170" spans="1:9" ht="15" customHeight="1">
      <c r="A170" s="57"/>
      <c r="B170" s="57"/>
      <c r="C170" s="60"/>
      <c r="D170" s="60"/>
      <c r="E170" s="57"/>
      <c r="F170" s="57"/>
      <c r="G170" s="53" t="str">
        <f t="shared" si="22"/>
        <v/>
      </c>
    </row>
    <row r="171" spans="1:9" ht="15" customHeight="1">
      <c r="A171" s="57"/>
      <c r="B171" s="57"/>
      <c r="C171" s="60"/>
      <c r="D171" s="60"/>
      <c r="E171" s="57"/>
      <c r="F171" s="57"/>
      <c r="G171" s="53" t="str">
        <f t="shared" si="22"/>
        <v/>
      </c>
    </row>
    <row r="172" spans="1:9" ht="15" customHeight="1">
      <c r="A172" s="57"/>
      <c r="B172" s="57"/>
      <c r="C172" s="60"/>
      <c r="D172" s="60"/>
      <c r="E172" s="57"/>
      <c r="F172" s="57"/>
      <c r="G172" s="53" t="str">
        <f t="shared" si="22"/>
        <v/>
      </c>
    </row>
    <row r="173" spans="1:9" ht="15" customHeight="1">
      <c r="A173" s="57"/>
      <c r="B173" s="57"/>
      <c r="C173" s="60"/>
      <c r="D173" s="60"/>
      <c r="E173" s="57"/>
      <c r="F173" s="57"/>
      <c r="G173" s="53" t="str">
        <f t="shared" si="22"/>
        <v/>
      </c>
    </row>
    <row r="176" spans="1:9" ht="15.75" customHeight="1">
      <c r="A176" s="296" t="s">
        <v>1843</v>
      </c>
      <c r="B176" s="262"/>
      <c r="C176" s="262"/>
      <c r="D176" s="262"/>
      <c r="E176" s="262"/>
      <c r="F176" s="262"/>
      <c r="G176" s="262"/>
      <c r="H176" s="262"/>
      <c r="I176" s="262"/>
    </row>
    <row r="177" spans="1:9" ht="15" customHeight="1">
      <c r="A177" s="32" t="s">
        <v>1774</v>
      </c>
      <c r="B177" s="32" t="s">
        <v>1749</v>
      </c>
      <c r="C177" s="32" t="s">
        <v>1844</v>
      </c>
      <c r="D177" s="32" t="s">
        <v>1428</v>
      </c>
      <c r="E177" s="32" t="s">
        <v>1845</v>
      </c>
      <c r="F177" s="32" t="s">
        <v>1753</v>
      </c>
      <c r="G177" s="32" t="s">
        <v>1846</v>
      </c>
      <c r="H177" s="32" t="s">
        <v>1408</v>
      </c>
      <c r="I177" s="32" t="s">
        <v>175</v>
      </c>
    </row>
    <row r="178" spans="1:9" ht="15" customHeight="1">
      <c r="A178" s="57"/>
      <c r="B178" s="34" t="str">
        <f t="shared" ref="B178:B207" si="23">IF(A178="","","RSA"&amp;TEXT(ROW()-177,"0000"))</f>
        <v/>
      </c>
      <c r="C178" s="60"/>
      <c r="D178" s="66"/>
      <c r="E178" s="57"/>
      <c r="F178" s="57"/>
      <c r="G178" s="57"/>
      <c r="H178" s="57"/>
      <c r="I178" s="57"/>
    </row>
    <row r="179" spans="1:9" ht="15" customHeight="1">
      <c r="A179" s="57"/>
      <c r="B179" s="34" t="str">
        <f t="shared" si="23"/>
        <v/>
      </c>
      <c r="C179" s="60"/>
      <c r="D179" s="66"/>
      <c r="E179" s="57"/>
      <c r="F179" s="57"/>
      <c r="G179" s="57"/>
      <c r="H179" s="57"/>
      <c r="I179" s="57"/>
    </row>
    <row r="180" spans="1:9" ht="15" customHeight="1">
      <c r="A180" s="57"/>
      <c r="B180" s="34" t="str">
        <f t="shared" si="23"/>
        <v/>
      </c>
      <c r="C180" s="60"/>
      <c r="D180" s="66"/>
      <c r="E180" s="57"/>
      <c r="F180" s="57"/>
      <c r="G180" s="57"/>
      <c r="H180" s="57"/>
      <c r="I180" s="57"/>
    </row>
    <row r="181" spans="1:9" ht="15" customHeight="1">
      <c r="A181" s="57"/>
      <c r="B181" s="34" t="str">
        <f t="shared" si="23"/>
        <v/>
      </c>
      <c r="C181" s="60"/>
      <c r="D181" s="66"/>
      <c r="E181" s="57"/>
      <c r="F181" s="57"/>
      <c r="G181" s="57"/>
      <c r="H181" s="57"/>
      <c r="I181" s="57"/>
    </row>
    <row r="182" spans="1:9" ht="15" customHeight="1">
      <c r="A182" s="57"/>
      <c r="B182" s="34" t="str">
        <f t="shared" si="23"/>
        <v/>
      </c>
      <c r="C182" s="60"/>
      <c r="D182" s="66"/>
      <c r="E182" s="57"/>
      <c r="F182" s="57"/>
      <c r="G182" s="57"/>
      <c r="H182" s="57"/>
      <c r="I182" s="57"/>
    </row>
    <row r="183" spans="1:9" ht="15" customHeight="1">
      <c r="A183" s="57"/>
      <c r="B183" s="34" t="str">
        <f t="shared" si="23"/>
        <v/>
      </c>
      <c r="C183" s="60"/>
      <c r="D183" s="66"/>
      <c r="E183" s="57"/>
      <c r="F183" s="57"/>
      <c r="G183" s="57"/>
      <c r="H183" s="57"/>
      <c r="I183" s="57"/>
    </row>
    <row r="184" spans="1:9" ht="15" customHeight="1">
      <c r="A184" s="57"/>
      <c r="B184" s="34" t="str">
        <f t="shared" si="23"/>
        <v/>
      </c>
      <c r="C184" s="60"/>
      <c r="D184" s="66"/>
      <c r="E184" s="57"/>
      <c r="F184" s="57"/>
      <c r="G184" s="57"/>
      <c r="H184" s="57"/>
      <c r="I184" s="57"/>
    </row>
    <row r="185" spans="1:9" ht="15" customHeight="1">
      <c r="A185" s="57"/>
      <c r="B185" s="34" t="str">
        <f t="shared" si="23"/>
        <v/>
      </c>
      <c r="C185" s="60"/>
      <c r="D185" s="66"/>
      <c r="E185" s="57"/>
      <c r="F185" s="57"/>
      <c r="G185" s="57"/>
      <c r="H185" s="57"/>
      <c r="I185" s="57"/>
    </row>
    <row r="186" spans="1:9" ht="15" customHeight="1">
      <c r="A186" s="57"/>
      <c r="B186" s="34" t="str">
        <f t="shared" si="23"/>
        <v/>
      </c>
      <c r="C186" s="60"/>
      <c r="D186" s="66"/>
      <c r="E186" s="57"/>
      <c r="F186" s="57"/>
      <c r="G186" s="57"/>
      <c r="H186" s="57"/>
      <c r="I186" s="57"/>
    </row>
    <row r="187" spans="1:9" ht="15" customHeight="1">
      <c r="A187" s="57"/>
      <c r="B187" s="34" t="str">
        <f t="shared" si="23"/>
        <v/>
      </c>
      <c r="C187" s="60"/>
      <c r="D187" s="66"/>
      <c r="E187" s="57"/>
      <c r="F187" s="57"/>
      <c r="G187" s="57"/>
      <c r="H187" s="57"/>
      <c r="I187" s="57"/>
    </row>
    <row r="188" spans="1:9" ht="15" customHeight="1">
      <c r="A188" s="57"/>
      <c r="B188" s="34" t="str">
        <f t="shared" si="23"/>
        <v/>
      </c>
      <c r="C188" s="60"/>
      <c r="D188" s="66"/>
      <c r="E188" s="57"/>
      <c r="F188" s="57"/>
      <c r="G188" s="57"/>
      <c r="H188" s="57"/>
      <c r="I188" s="57"/>
    </row>
    <row r="189" spans="1:9" ht="15" customHeight="1">
      <c r="A189" s="57"/>
      <c r="B189" s="34" t="str">
        <f t="shared" si="23"/>
        <v/>
      </c>
      <c r="C189" s="60"/>
      <c r="D189" s="66"/>
      <c r="E189" s="57"/>
      <c r="F189" s="57"/>
      <c r="G189" s="57"/>
      <c r="H189" s="57"/>
      <c r="I189" s="57"/>
    </row>
    <row r="190" spans="1:9" ht="15" customHeight="1">
      <c r="A190" s="57"/>
      <c r="B190" s="34" t="str">
        <f t="shared" si="23"/>
        <v/>
      </c>
      <c r="C190" s="60"/>
      <c r="D190" s="66"/>
      <c r="E190" s="57"/>
      <c r="F190" s="57"/>
      <c r="G190" s="57"/>
      <c r="H190" s="57"/>
      <c r="I190" s="57"/>
    </row>
    <row r="191" spans="1:9" ht="15" customHeight="1">
      <c r="A191" s="57"/>
      <c r="B191" s="34" t="str">
        <f t="shared" si="23"/>
        <v/>
      </c>
      <c r="C191" s="60"/>
      <c r="D191" s="66"/>
      <c r="E191" s="57"/>
      <c r="F191" s="57"/>
      <c r="G191" s="57"/>
      <c r="H191" s="57"/>
      <c r="I191" s="57"/>
    </row>
    <row r="192" spans="1:9" ht="15" customHeight="1">
      <c r="A192" s="57"/>
      <c r="B192" s="34" t="str">
        <f t="shared" si="23"/>
        <v/>
      </c>
      <c r="C192" s="60"/>
      <c r="D192" s="66"/>
      <c r="E192" s="57"/>
      <c r="F192" s="57"/>
      <c r="G192" s="57"/>
      <c r="H192" s="57"/>
      <c r="I192" s="57"/>
    </row>
    <row r="193" spans="1:9" ht="15" customHeight="1">
      <c r="A193" s="57"/>
      <c r="B193" s="34" t="str">
        <f t="shared" si="23"/>
        <v/>
      </c>
      <c r="C193" s="60"/>
      <c r="D193" s="66"/>
      <c r="E193" s="57"/>
      <c r="F193" s="57"/>
      <c r="G193" s="57"/>
      <c r="H193" s="57"/>
      <c r="I193" s="57"/>
    </row>
    <row r="194" spans="1:9" ht="15" customHeight="1">
      <c r="A194" s="57"/>
      <c r="B194" s="34" t="str">
        <f t="shared" si="23"/>
        <v/>
      </c>
      <c r="C194" s="60"/>
      <c r="D194" s="66"/>
      <c r="E194" s="57"/>
      <c r="F194" s="57"/>
      <c r="G194" s="57"/>
      <c r="H194" s="57"/>
      <c r="I194" s="57"/>
    </row>
    <row r="195" spans="1:9" ht="15" customHeight="1">
      <c r="A195" s="57"/>
      <c r="B195" s="34" t="str">
        <f t="shared" si="23"/>
        <v/>
      </c>
      <c r="C195" s="60"/>
      <c r="D195" s="66"/>
      <c r="E195" s="57"/>
      <c r="F195" s="57"/>
      <c r="G195" s="57"/>
      <c r="H195" s="57"/>
      <c r="I195" s="57"/>
    </row>
    <row r="196" spans="1:9" ht="15" customHeight="1">
      <c r="A196" s="57"/>
      <c r="B196" s="34" t="str">
        <f t="shared" si="23"/>
        <v/>
      </c>
      <c r="C196" s="60"/>
      <c r="D196" s="66"/>
      <c r="E196" s="57"/>
      <c r="F196" s="57"/>
      <c r="G196" s="57"/>
      <c r="H196" s="57"/>
      <c r="I196" s="57"/>
    </row>
    <row r="197" spans="1:9" ht="15" customHeight="1">
      <c r="A197" s="57"/>
      <c r="B197" s="34" t="str">
        <f t="shared" si="23"/>
        <v/>
      </c>
      <c r="C197" s="60"/>
      <c r="D197" s="66"/>
      <c r="E197" s="57"/>
      <c r="F197" s="57"/>
      <c r="G197" s="57"/>
      <c r="H197" s="57"/>
      <c r="I197" s="57"/>
    </row>
    <row r="198" spans="1:9" ht="15" customHeight="1">
      <c r="A198" s="57"/>
      <c r="B198" s="34" t="str">
        <f t="shared" si="23"/>
        <v/>
      </c>
      <c r="C198" s="60"/>
      <c r="D198" s="66"/>
      <c r="E198" s="57"/>
      <c r="F198" s="57"/>
      <c r="G198" s="57"/>
      <c r="H198" s="57"/>
      <c r="I198" s="57"/>
    </row>
    <row r="199" spans="1:9" ht="15" customHeight="1">
      <c r="A199" s="57"/>
      <c r="B199" s="34" t="str">
        <f t="shared" si="23"/>
        <v/>
      </c>
      <c r="C199" s="60"/>
      <c r="D199" s="66"/>
      <c r="E199" s="57"/>
      <c r="F199" s="57"/>
      <c r="G199" s="57"/>
      <c r="H199" s="57"/>
      <c r="I199" s="57"/>
    </row>
    <row r="200" spans="1:9" ht="15" customHeight="1">
      <c r="A200" s="57"/>
      <c r="B200" s="34" t="str">
        <f t="shared" si="23"/>
        <v/>
      </c>
      <c r="C200" s="60"/>
      <c r="D200" s="66"/>
      <c r="E200" s="57"/>
      <c r="F200" s="57"/>
      <c r="G200" s="57"/>
      <c r="H200" s="57"/>
      <c r="I200" s="57"/>
    </row>
    <row r="201" spans="1:9" ht="15" customHeight="1">
      <c r="A201" s="57"/>
      <c r="B201" s="34" t="str">
        <f t="shared" si="23"/>
        <v/>
      </c>
      <c r="C201" s="60"/>
      <c r="D201" s="66"/>
      <c r="E201" s="57"/>
      <c r="F201" s="57"/>
      <c r="G201" s="57"/>
      <c r="H201" s="57"/>
      <c r="I201" s="57"/>
    </row>
    <row r="202" spans="1:9" ht="15" customHeight="1">
      <c r="A202" s="57"/>
      <c r="B202" s="34" t="str">
        <f t="shared" si="23"/>
        <v/>
      </c>
      <c r="C202" s="60"/>
      <c r="D202" s="66"/>
      <c r="E202" s="57"/>
      <c r="F202" s="57"/>
      <c r="G202" s="57"/>
      <c r="H202" s="57"/>
      <c r="I202" s="57"/>
    </row>
    <row r="203" spans="1:9" ht="15" customHeight="1">
      <c r="A203" s="57"/>
      <c r="B203" s="34" t="str">
        <f t="shared" si="23"/>
        <v/>
      </c>
      <c r="C203" s="60"/>
      <c r="D203" s="66"/>
      <c r="E203" s="57"/>
      <c r="F203" s="57"/>
      <c r="G203" s="57"/>
      <c r="H203" s="57"/>
      <c r="I203" s="57"/>
    </row>
    <row r="204" spans="1:9" ht="15" customHeight="1">
      <c r="A204" s="57"/>
      <c r="B204" s="34" t="str">
        <f t="shared" si="23"/>
        <v/>
      </c>
      <c r="C204" s="60"/>
      <c r="D204" s="66"/>
      <c r="E204" s="57"/>
      <c r="F204" s="57"/>
      <c r="G204" s="57"/>
      <c r="H204" s="57"/>
      <c r="I204" s="57"/>
    </row>
    <row r="205" spans="1:9" ht="15" customHeight="1">
      <c r="A205" s="57"/>
      <c r="B205" s="34" t="str">
        <f t="shared" si="23"/>
        <v/>
      </c>
      <c r="C205" s="60"/>
      <c r="D205" s="66"/>
      <c r="E205" s="57"/>
      <c r="F205" s="57"/>
      <c r="G205" s="57"/>
      <c r="H205" s="57"/>
      <c r="I205" s="57"/>
    </row>
    <row r="206" spans="1:9" ht="15" customHeight="1">
      <c r="A206" s="57"/>
      <c r="B206" s="34" t="str">
        <f t="shared" si="23"/>
        <v/>
      </c>
      <c r="C206" s="60"/>
      <c r="D206" s="66"/>
      <c r="E206" s="57"/>
      <c r="F206" s="57"/>
      <c r="G206" s="57"/>
      <c r="H206" s="57"/>
      <c r="I206" s="57"/>
    </row>
    <row r="207" spans="1:9" ht="15" customHeight="1">
      <c r="A207" s="57"/>
      <c r="B207" s="34" t="str">
        <f t="shared" si="23"/>
        <v/>
      </c>
      <c r="C207" s="60"/>
      <c r="D207" s="66"/>
      <c r="E207" s="57"/>
      <c r="F207" s="57"/>
      <c r="G207" s="57"/>
      <c r="H207" s="57"/>
      <c r="I207" s="57"/>
    </row>
    <row r="210" spans="1:6" ht="15.75" customHeight="1">
      <c r="A210" s="296" t="s">
        <v>1847</v>
      </c>
      <c r="B210" s="262"/>
      <c r="C210" s="262"/>
      <c r="D210" s="262"/>
      <c r="E210" s="262"/>
      <c r="F210" s="262"/>
    </row>
    <row r="211" spans="1:6" ht="15" customHeight="1">
      <c r="A211" s="32" t="s">
        <v>1774</v>
      </c>
      <c r="B211" s="32" t="s">
        <v>1603</v>
      </c>
      <c r="C211" s="32" t="s">
        <v>1427</v>
      </c>
      <c r="D211" s="32" t="s">
        <v>1428</v>
      </c>
      <c r="E211" s="32" t="s">
        <v>175</v>
      </c>
      <c r="F211" s="32" t="s">
        <v>1759</v>
      </c>
    </row>
    <row r="212" spans="1:6" ht="15" customHeight="1">
      <c r="A212" s="57"/>
      <c r="B212" s="57"/>
      <c r="C212" s="60"/>
      <c r="D212" s="66"/>
      <c r="E212" s="57"/>
      <c r="F212" s="57"/>
    </row>
    <row r="213" spans="1:6" ht="15" customHeight="1">
      <c r="A213" s="57"/>
      <c r="B213" s="57"/>
      <c r="C213" s="60"/>
      <c r="D213" s="66"/>
      <c r="E213" s="57"/>
      <c r="F213" s="57"/>
    </row>
    <row r="214" spans="1:6" ht="15" customHeight="1">
      <c r="A214" s="57"/>
      <c r="B214" s="57"/>
      <c r="C214" s="60"/>
      <c r="D214" s="66"/>
      <c r="E214" s="57"/>
      <c r="F214" s="57"/>
    </row>
    <row r="215" spans="1:6" ht="15" customHeight="1">
      <c r="A215" s="57"/>
      <c r="B215" s="57"/>
      <c r="C215" s="60"/>
      <c r="D215" s="66"/>
      <c r="E215" s="57"/>
      <c r="F215" s="57"/>
    </row>
    <row r="216" spans="1:6" ht="15" customHeight="1">
      <c r="A216" s="57"/>
      <c r="B216" s="57"/>
      <c r="C216" s="60"/>
      <c r="D216" s="66"/>
      <c r="E216" s="57"/>
      <c r="F216" s="57"/>
    </row>
    <row r="217" spans="1:6" ht="15" customHeight="1">
      <c r="A217" s="57"/>
      <c r="B217" s="57"/>
      <c r="C217" s="60"/>
      <c r="D217" s="66"/>
      <c r="E217" s="57"/>
      <c r="F217" s="57"/>
    </row>
    <row r="218" spans="1:6" ht="15" customHeight="1">
      <c r="A218" s="57"/>
      <c r="B218" s="57"/>
      <c r="C218" s="60"/>
      <c r="D218" s="66"/>
      <c r="E218" s="57"/>
      <c r="F218" s="57"/>
    </row>
    <row r="219" spans="1:6" ht="15" customHeight="1">
      <c r="A219" s="57"/>
      <c r="B219" s="57"/>
      <c r="C219" s="60"/>
      <c r="D219" s="66"/>
      <c r="E219" s="57"/>
      <c r="F219" s="57"/>
    </row>
    <row r="220" spans="1:6" ht="15" customHeight="1">
      <c r="A220" s="57"/>
      <c r="B220" s="57"/>
      <c r="C220" s="60"/>
      <c r="D220" s="66"/>
      <c r="E220" s="57"/>
      <c r="F220" s="57"/>
    </row>
    <row r="221" spans="1:6" ht="15" customHeight="1">
      <c r="A221" s="57"/>
      <c r="B221" s="57"/>
      <c r="C221" s="60"/>
      <c r="D221" s="66"/>
      <c r="E221" s="57"/>
      <c r="F221" s="57"/>
    </row>
    <row r="222" spans="1:6" ht="15" customHeight="1">
      <c r="A222" s="57"/>
      <c r="B222" s="57"/>
      <c r="C222" s="60"/>
      <c r="D222" s="66"/>
      <c r="E222" s="57"/>
      <c r="F222" s="57"/>
    </row>
    <row r="223" spans="1:6" ht="15" customHeight="1">
      <c r="A223" s="57"/>
      <c r="B223" s="57"/>
      <c r="C223" s="60"/>
      <c r="D223" s="66"/>
      <c r="E223" s="57"/>
      <c r="F223" s="57"/>
    </row>
    <row r="224" spans="1:6" ht="15" customHeight="1">
      <c r="A224" s="57"/>
      <c r="B224" s="57"/>
      <c r="C224" s="60"/>
      <c r="D224" s="66"/>
      <c r="E224" s="57"/>
      <c r="F224" s="57"/>
    </row>
    <row r="225" spans="1:6" ht="15" customHeight="1">
      <c r="A225" s="57"/>
      <c r="B225" s="57"/>
      <c r="C225" s="60"/>
      <c r="D225" s="66"/>
      <c r="E225" s="57"/>
      <c r="F225" s="57"/>
    </row>
    <row r="226" spans="1:6" ht="15" customHeight="1">
      <c r="A226" s="57"/>
      <c r="B226" s="57"/>
      <c r="C226" s="60"/>
      <c r="D226" s="66"/>
      <c r="E226" s="57"/>
      <c r="F226" s="57"/>
    </row>
    <row r="227" spans="1:6" ht="15" customHeight="1">
      <c r="A227" s="57"/>
      <c r="B227" s="57"/>
      <c r="C227" s="60"/>
      <c r="D227" s="66"/>
      <c r="E227" s="57"/>
      <c r="F227" s="57"/>
    </row>
    <row r="228" spans="1:6" ht="15" customHeight="1">
      <c r="A228" s="57"/>
      <c r="B228" s="57"/>
      <c r="C228" s="60"/>
      <c r="D228" s="66"/>
      <c r="E228" s="57"/>
      <c r="F228" s="57"/>
    </row>
    <row r="229" spans="1:6" ht="15" customHeight="1">
      <c r="A229" s="57"/>
      <c r="B229" s="57"/>
      <c r="C229" s="60"/>
      <c r="D229" s="66"/>
      <c r="E229" s="57"/>
      <c r="F229" s="57"/>
    </row>
    <row r="230" spans="1:6" ht="15" customHeight="1">
      <c r="A230" s="57"/>
      <c r="B230" s="57"/>
      <c r="C230" s="60"/>
      <c r="D230" s="66"/>
      <c r="E230" s="57"/>
      <c r="F230" s="57"/>
    </row>
    <row r="231" spans="1:6" ht="15" customHeight="1">
      <c r="A231" s="57"/>
      <c r="B231" s="57"/>
      <c r="C231" s="60"/>
      <c r="D231" s="66"/>
      <c r="E231" s="57"/>
      <c r="F231" s="57"/>
    </row>
    <row r="232" spans="1:6" ht="15" customHeight="1">
      <c r="A232" s="57"/>
      <c r="B232" s="57"/>
      <c r="C232" s="60"/>
      <c r="D232" s="66"/>
      <c r="E232" s="57"/>
      <c r="F232" s="57"/>
    </row>
    <row r="233" spans="1:6" ht="15" customHeight="1">
      <c r="A233" s="57"/>
      <c r="B233" s="57"/>
      <c r="C233" s="60"/>
      <c r="D233" s="66"/>
      <c r="E233" s="57"/>
      <c r="F233" s="57"/>
    </row>
    <row r="234" spans="1:6" ht="15" customHeight="1">
      <c r="A234" s="57"/>
      <c r="B234" s="57"/>
      <c r="C234" s="60"/>
      <c r="D234" s="66"/>
      <c r="E234" s="57"/>
      <c r="F234" s="57"/>
    </row>
    <row r="235" spans="1:6" ht="15" customHeight="1">
      <c r="A235" s="57"/>
      <c r="B235" s="57"/>
      <c r="C235" s="60"/>
      <c r="D235" s="66"/>
      <c r="E235" s="57"/>
      <c r="F235" s="57"/>
    </row>
    <row r="236" spans="1:6" ht="15" customHeight="1">
      <c r="A236" s="57"/>
      <c r="B236" s="57"/>
      <c r="C236" s="60"/>
      <c r="D236" s="66"/>
      <c r="E236" s="57"/>
      <c r="F236" s="57"/>
    </row>
    <row r="237" spans="1:6" ht="15" customHeight="1">
      <c r="A237" s="57"/>
      <c r="B237" s="57"/>
      <c r="C237" s="60"/>
      <c r="D237" s="66"/>
      <c r="E237" s="57"/>
      <c r="F237" s="57"/>
    </row>
    <row r="238" spans="1:6" ht="15" customHeight="1">
      <c r="A238" s="57"/>
      <c r="B238" s="57"/>
      <c r="C238" s="60"/>
      <c r="D238" s="66"/>
      <c r="E238" s="57"/>
      <c r="F238" s="57"/>
    </row>
    <row r="239" spans="1:6" ht="15" customHeight="1">
      <c r="A239" s="57"/>
      <c r="B239" s="57"/>
      <c r="C239" s="60"/>
      <c r="D239" s="66"/>
      <c r="E239" s="57"/>
      <c r="F239" s="57"/>
    </row>
    <row r="240" spans="1:6" ht="15" customHeight="1">
      <c r="A240" s="57"/>
      <c r="B240" s="57"/>
      <c r="C240" s="60"/>
      <c r="D240" s="66"/>
      <c r="E240" s="57"/>
      <c r="F240" s="57"/>
    </row>
    <row r="241" spans="1:6" ht="15" customHeight="1">
      <c r="A241" s="57"/>
      <c r="B241" s="57"/>
      <c r="C241" s="60"/>
      <c r="D241" s="66"/>
      <c r="E241" s="57"/>
      <c r="F241" s="57"/>
    </row>
    <row r="244" spans="1:6" ht="15.75" customHeight="1">
      <c r="A244" s="296" t="s">
        <v>1848</v>
      </c>
      <c r="B244" s="262"/>
      <c r="C244" s="262"/>
      <c r="D244" s="262"/>
    </row>
    <row r="245" spans="1:6" ht="25.5" customHeight="1">
      <c r="A245" s="32" t="s">
        <v>872</v>
      </c>
      <c r="B245" s="32" t="s">
        <v>1849</v>
      </c>
      <c r="C245" s="32" t="s">
        <v>1766</v>
      </c>
      <c r="D245" s="32" t="s">
        <v>1850</v>
      </c>
    </row>
    <row r="246" spans="1:6" ht="25.5" customHeight="1">
      <c r="A246" s="61" t="str">
        <f>IFERROR(INDEX(tbl_Projets[Titre complet du projet],1),"")</f>
        <v>Projet d'appui a l'insertion professionnelle des jeunes</v>
      </c>
      <c r="B246" s="34">
        <f>IF(A246="","",COUNTIFS(tbl_Activites[ID Projet],INDEX(tbl_Projets[ID Projet],1)))</f>
        <v>1</v>
      </c>
      <c r="C246" s="34">
        <f>IF(A246="","",COUNTIFS(tbl_Activites[ID Projet],INDEX(tbl_Projets[ID Projet],1),tbl_Activites[Statut de l''activite],"Realisee"))</f>
        <v>0</v>
      </c>
      <c r="D246" s="53">
        <f t="shared" ref="D246:D285" si="24">IF(OR(B246="",B246=0),"",C246/B246)</f>
        <v>0</v>
      </c>
    </row>
    <row r="247" spans="1:6" ht="15" customHeight="1">
      <c r="A247" s="61">
        <f>IFERROR(INDEX(tbl_Projets[Titre complet du projet],2),"")</f>
        <v>0</v>
      </c>
      <c r="B247" s="34">
        <f>IF(A247="","",COUNTIFS(tbl_Activites[ID Projet],INDEX(tbl_Projets[ID Projet],2)))</f>
        <v>49</v>
      </c>
      <c r="C247" s="34">
        <f>IF(A247="","",COUNTIFS(tbl_Activites[ID Projet],INDEX(tbl_Projets[ID Projet],2),tbl_Activites[Statut de l''activite],"Realisee"))</f>
        <v>0</v>
      </c>
      <c r="D247" s="53">
        <f t="shared" si="24"/>
        <v>0</v>
      </c>
    </row>
    <row r="248" spans="1:6" ht="15" customHeight="1">
      <c r="A248" s="61">
        <f>IFERROR(INDEX(tbl_Projets[Titre complet du projet],3),"")</f>
        <v>0</v>
      </c>
      <c r="B248" s="34">
        <f>IF(A248="","",COUNTIFS(tbl_Activites[ID Projet],INDEX(tbl_Projets[ID Projet],3)))</f>
        <v>49</v>
      </c>
      <c r="C248" s="34">
        <f>IF(A248="","",COUNTIFS(tbl_Activites[ID Projet],INDEX(tbl_Projets[ID Projet],3),tbl_Activites[Statut de l''activite],"Realisee"))</f>
        <v>0</v>
      </c>
      <c r="D248" s="53">
        <f t="shared" si="24"/>
        <v>0</v>
      </c>
    </row>
    <row r="249" spans="1:6" ht="15" customHeight="1">
      <c r="A249" s="61">
        <f>IFERROR(INDEX(tbl_Projets[Titre complet du projet],4),"")</f>
        <v>0</v>
      </c>
      <c r="B249" s="34">
        <f>IF(A249="","",COUNTIFS(tbl_Activites[ID Projet],INDEX(tbl_Projets[ID Projet],4)))</f>
        <v>49</v>
      </c>
      <c r="C249" s="34">
        <f>IF(A249="","",COUNTIFS(tbl_Activites[ID Projet],INDEX(tbl_Projets[ID Projet],4),tbl_Activites[Statut de l''activite],"Realisee"))</f>
        <v>0</v>
      </c>
      <c r="D249" s="53">
        <f t="shared" si="24"/>
        <v>0</v>
      </c>
    </row>
    <row r="250" spans="1:6" ht="15" customHeight="1">
      <c r="A250" s="61">
        <f>IFERROR(INDEX(tbl_Projets[Titre complet du projet],5),"")</f>
        <v>0</v>
      </c>
      <c r="B250" s="34">
        <f>IF(A250="","",COUNTIFS(tbl_Activites[ID Projet],INDEX(tbl_Projets[ID Projet],5)))</f>
        <v>49</v>
      </c>
      <c r="C250" s="34">
        <f>IF(A250="","",COUNTIFS(tbl_Activites[ID Projet],INDEX(tbl_Projets[ID Projet],5),tbl_Activites[Statut de l''activite],"Realisee"))</f>
        <v>0</v>
      </c>
      <c r="D250" s="53">
        <f t="shared" si="24"/>
        <v>0</v>
      </c>
    </row>
    <row r="251" spans="1:6" ht="15" customHeight="1">
      <c r="A251" s="61">
        <f>IFERROR(INDEX(tbl_Projets[Titre complet du projet],6),"")</f>
        <v>0</v>
      </c>
      <c r="B251" s="34">
        <f>IF(A251="","",COUNTIFS(tbl_Activites[ID Projet],INDEX(tbl_Projets[ID Projet],6)))</f>
        <v>49</v>
      </c>
      <c r="C251" s="34">
        <f>IF(A251="","",COUNTIFS(tbl_Activites[ID Projet],INDEX(tbl_Projets[ID Projet],6),tbl_Activites[Statut de l''activite],"Realisee"))</f>
        <v>0</v>
      </c>
      <c r="D251" s="53">
        <f t="shared" si="24"/>
        <v>0</v>
      </c>
    </row>
    <row r="252" spans="1:6" ht="15" customHeight="1">
      <c r="A252" s="61">
        <f>IFERROR(INDEX(tbl_Projets[Titre complet du projet],7),"")</f>
        <v>0</v>
      </c>
      <c r="B252" s="34">
        <f>IF(A252="","",COUNTIFS(tbl_Activites[ID Projet],INDEX(tbl_Projets[ID Projet],7)))</f>
        <v>49</v>
      </c>
      <c r="C252" s="34">
        <f>IF(A252="","",COUNTIFS(tbl_Activites[ID Projet],INDEX(tbl_Projets[ID Projet],7),tbl_Activites[Statut de l''activite],"Realisee"))</f>
        <v>0</v>
      </c>
      <c r="D252" s="53">
        <f t="shared" si="24"/>
        <v>0</v>
      </c>
    </row>
    <row r="253" spans="1:6" ht="15" customHeight="1">
      <c r="A253" s="61">
        <f>IFERROR(INDEX(tbl_Projets[Titre complet du projet],8),"")</f>
        <v>0</v>
      </c>
      <c r="B253" s="34">
        <f>IF(A253="","",COUNTIFS(tbl_Activites[ID Projet],INDEX(tbl_Projets[ID Projet],8)))</f>
        <v>49</v>
      </c>
      <c r="C253" s="34">
        <f>IF(A253="","",COUNTIFS(tbl_Activites[ID Projet],INDEX(tbl_Projets[ID Projet],8),tbl_Activites[Statut de l''activite],"Realisee"))</f>
        <v>0</v>
      </c>
      <c r="D253" s="53">
        <f t="shared" si="24"/>
        <v>0</v>
      </c>
    </row>
    <row r="254" spans="1:6" ht="15" customHeight="1">
      <c r="A254" s="61">
        <f>IFERROR(INDEX(tbl_Projets[Titre complet du projet],9),"")</f>
        <v>0</v>
      </c>
      <c r="B254" s="34">
        <f>IF(A254="","",COUNTIFS(tbl_Activites[ID Projet],INDEX(tbl_Projets[ID Projet],9)))</f>
        <v>49</v>
      </c>
      <c r="C254" s="34">
        <f>IF(A254="","",COUNTIFS(tbl_Activites[ID Projet],INDEX(tbl_Projets[ID Projet],9),tbl_Activites[Statut de l''activite],"Realisee"))</f>
        <v>0</v>
      </c>
      <c r="D254" s="53">
        <f t="shared" si="24"/>
        <v>0</v>
      </c>
    </row>
    <row r="255" spans="1:6" ht="15" customHeight="1">
      <c r="A255" s="61">
        <f>IFERROR(INDEX(tbl_Projets[Titre complet du projet],10),"")</f>
        <v>0</v>
      </c>
      <c r="B255" s="34">
        <f>IF(A255="","",COUNTIFS(tbl_Activites[ID Projet],INDEX(tbl_Projets[ID Projet],10)))</f>
        <v>49</v>
      </c>
      <c r="C255" s="34">
        <f>IF(A255="","",COUNTIFS(tbl_Activites[ID Projet],INDEX(tbl_Projets[ID Projet],10),tbl_Activites[Statut de l''activite],"Realisee"))</f>
        <v>0</v>
      </c>
      <c r="D255" s="53">
        <f t="shared" si="24"/>
        <v>0</v>
      </c>
    </row>
    <row r="256" spans="1:6" ht="15" customHeight="1">
      <c r="A256" s="61">
        <f>IFERROR(INDEX(tbl_Projets[Titre complet du projet],11),"")</f>
        <v>0</v>
      </c>
      <c r="B256" s="34">
        <f>IF(A256="","",COUNTIFS(tbl_Activites[ID Projet],INDEX(tbl_Projets[ID Projet],11)))</f>
        <v>49</v>
      </c>
      <c r="C256" s="34">
        <f>IF(A256="","",COUNTIFS(tbl_Activites[ID Projet],INDEX(tbl_Projets[ID Projet],11),tbl_Activites[Statut de l''activite],"Realisee"))</f>
        <v>0</v>
      </c>
      <c r="D256" s="53">
        <f t="shared" si="24"/>
        <v>0</v>
      </c>
    </row>
    <row r="257" spans="1:4" ht="15" customHeight="1">
      <c r="A257" s="61">
        <f>IFERROR(INDEX(tbl_Projets[Titre complet du projet],12),"")</f>
        <v>0</v>
      </c>
      <c r="B257" s="34">
        <f>IF(A257="","",COUNTIFS(tbl_Activites[ID Projet],INDEX(tbl_Projets[ID Projet],12)))</f>
        <v>49</v>
      </c>
      <c r="C257" s="34">
        <f>IF(A257="","",COUNTIFS(tbl_Activites[ID Projet],INDEX(tbl_Projets[ID Projet],12),tbl_Activites[Statut de l''activite],"Realisee"))</f>
        <v>0</v>
      </c>
      <c r="D257" s="53">
        <f t="shared" si="24"/>
        <v>0</v>
      </c>
    </row>
    <row r="258" spans="1:4" ht="15" customHeight="1">
      <c r="A258" s="61">
        <f>IFERROR(INDEX(tbl_Projets[Titre complet du projet],13),"")</f>
        <v>0</v>
      </c>
      <c r="B258" s="34">
        <f>IF(A258="","",COUNTIFS(tbl_Activites[ID Projet],INDEX(tbl_Projets[ID Projet],13)))</f>
        <v>49</v>
      </c>
      <c r="C258" s="34">
        <f>IF(A258="","",COUNTIFS(tbl_Activites[ID Projet],INDEX(tbl_Projets[ID Projet],13),tbl_Activites[Statut de l''activite],"Realisee"))</f>
        <v>0</v>
      </c>
      <c r="D258" s="53">
        <f t="shared" si="24"/>
        <v>0</v>
      </c>
    </row>
    <row r="259" spans="1:4" ht="15" customHeight="1">
      <c r="A259" s="61">
        <f>IFERROR(INDEX(tbl_Projets[Titre complet du projet],14),"")</f>
        <v>0</v>
      </c>
      <c r="B259" s="34">
        <f>IF(A259="","",COUNTIFS(tbl_Activites[ID Projet],INDEX(tbl_Projets[ID Projet],14)))</f>
        <v>49</v>
      </c>
      <c r="C259" s="34">
        <f>IF(A259="","",COUNTIFS(tbl_Activites[ID Projet],INDEX(tbl_Projets[ID Projet],14),tbl_Activites[Statut de l''activite],"Realisee"))</f>
        <v>0</v>
      </c>
      <c r="D259" s="53">
        <f t="shared" si="24"/>
        <v>0</v>
      </c>
    </row>
    <row r="260" spans="1:4" ht="15" customHeight="1">
      <c r="A260" s="61">
        <f>IFERROR(INDEX(tbl_Projets[Titre complet du projet],15),"")</f>
        <v>0</v>
      </c>
      <c r="B260" s="34">
        <f>IF(A260="","",COUNTIFS(tbl_Activites[ID Projet],INDEX(tbl_Projets[ID Projet],15)))</f>
        <v>49</v>
      </c>
      <c r="C260" s="34">
        <f>IF(A260="","",COUNTIFS(tbl_Activites[ID Projet],INDEX(tbl_Projets[ID Projet],15),tbl_Activites[Statut de l''activite],"Realisee"))</f>
        <v>0</v>
      </c>
      <c r="D260" s="53">
        <f t="shared" si="24"/>
        <v>0</v>
      </c>
    </row>
    <row r="261" spans="1:4" ht="15" customHeight="1">
      <c r="A261" s="61">
        <f>IFERROR(INDEX(tbl_Projets[Titre complet du projet],16),"")</f>
        <v>0</v>
      </c>
      <c r="B261" s="34">
        <f>IF(A261="","",COUNTIFS(tbl_Activites[ID Projet],INDEX(tbl_Projets[ID Projet],16)))</f>
        <v>49</v>
      </c>
      <c r="C261" s="34">
        <f>IF(A261="","",COUNTIFS(tbl_Activites[ID Projet],INDEX(tbl_Projets[ID Projet],16),tbl_Activites[Statut de l''activite],"Realisee"))</f>
        <v>0</v>
      </c>
      <c r="D261" s="53">
        <f t="shared" si="24"/>
        <v>0</v>
      </c>
    </row>
    <row r="262" spans="1:4" ht="15" customHeight="1">
      <c r="A262" s="61">
        <f>IFERROR(INDEX(tbl_Projets[Titre complet du projet],17),"")</f>
        <v>0</v>
      </c>
      <c r="B262" s="34">
        <f>IF(A262="","",COUNTIFS(tbl_Activites[ID Projet],INDEX(tbl_Projets[ID Projet],17)))</f>
        <v>49</v>
      </c>
      <c r="C262" s="34">
        <f>IF(A262="","",COUNTIFS(tbl_Activites[ID Projet],INDEX(tbl_Projets[ID Projet],17),tbl_Activites[Statut de l''activite],"Realisee"))</f>
        <v>0</v>
      </c>
      <c r="D262" s="53">
        <f t="shared" si="24"/>
        <v>0</v>
      </c>
    </row>
    <row r="263" spans="1:4" ht="15" customHeight="1">
      <c r="A263" s="61">
        <f>IFERROR(INDEX(tbl_Projets[Titre complet du projet],18),"")</f>
        <v>0</v>
      </c>
      <c r="B263" s="34">
        <f>IF(A263="","",COUNTIFS(tbl_Activites[ID Projet],INDEX(tbl_Projets[ID Projet],18)))</f>
        <v>49</v>
      </c>
      <c r="C263" s="34">
        <f>IF(A263="","",COUNTIFS(tbl_Activites[ID Projet],INDEX(tbl_Projets[ID Projet],18),tbl_Activites[Statut de l''activite],"Realisee"))</f>
        <v>0</v>
      </c>
      <c r="D263" s="53">
        <f t="shared" si="24"/>
        <v>0</v>
      </c>
    </row>
    <row r="264" spans="1:4" ht="15" customHeight="1">
      <c r="A264" s="61">
        <f>IFERROR(INDEX(tbl_Projets[Titre complet du projet],19),"")</f>
        <v>0</v>
      </c>
      <c r="B264" s="34">
        <f>IF(A264="","",COUNTIFS(tbl_Activites[ID Projet],INDEX(tbl_Projets[ID Projet],19)))</f>
        <v>49</v>
      </c>
      <c r="C264" s="34">
        <f>IF(A264="","",COUNTIFS(tbl_Activites[ID Projet],INDEX(tbl_Projets[ID Projet],19),tbl_Activites[Statut de l''activite],"Realisee"))</f>
        <v>0</v>
      </c>
      <c r="D264" s="53">
        <f t="shared" si="24"/>
        <v>0</v>
      </c>
    </row>
    <row r="265" spans="1:4" ht="15" customHeight="1">
      <c r="A265" s="61">
        <f>IFERROR(INDEX(tbl_Projets[Titre complet du projet],20),"")</f>
        <v>0</v>
      </c>
      <c r="B265" s="34">
        <f>IF(A265="","",COUNTIFS(tbl_Activites[ID Projet],INDEX(tbl_Projets[ID Projet],20)))</f>
        <v>49</v>
      </c>
      <c r="C265" s="34">
        <f>IF(A265="","",COUNTIFS(tbl_Activites[ID Projet],INDEX(tbl_Projets[ID Projet],20),tbl_Activites[Statut de l''activite],"Realisee"))</f>
        <v>0</v>
      </c>
      <c r="D265" s="53">
        <f t="shared" si="24"/>
        <v>0</v>
      </c>
    </row>
    <row r="266" spans="1:4" ht="15" customHeight="1">
      <c r="A266" s="61">
        <f>IFERROR(INDEX(tbl_Projets[Titre complet du projet],21),"")</f>
        <v>0</v>
      </c>
      <c r="B266" s="34">
        <f>IF(A266="","",COUNTIFS(tbl_Activites[ID Projet],INDEX(tbl_Projets[ID Projet],21)))</f>
        <v>49</v>
      </c>
      <c r="C266" s="34">
        <f>IF(A266="","",COUNTIFS(tbl_Activites[ID Projet],INDEX(tbl_Projets[ID Projet],21),tbl_Activites[Statut de l''activite],"Realisee"))</f>
        <v>0</v>
      </c>
      <c r="D266" s="53">
        <f t="shared" si="24"/>
        <v>0</v>
      </c>
    </row>
    <row r="267" spans="1:4" ht="15" customHeight="1">
      <c r="A267" s="61">
        <f>IFERROR(INDEX(tbl_Projets[Titre complet du projet],22),"")</f>
        <v>0</v>
      </c>
      <c r="B267" s="34">
        <f>IF(A267="","",COUNTIFS(tbl_Activites[ID Projet],INDEX(tbl_Projets[ID Projet],22)))</f>
        <v>49</v>
      </c>
      <c r="C267" s="34">
        <f>IF(A267="","",COUNTIFS(tbl_Activites[ID Projet],INDEX(tbl_Projets[ID Projet],22),tbl_Activites[Statut de l''activite],"Realisee"))</f>
        <v>0</v>
      </c>
      <c r="D267" s="53">
        <f t="shared" si="24"/>
        <v>0</v>
      </c>
    </row>
    <row r="268" spans="1:4" ht="15" customHeight="1">
      <c r="A268" s="61">
        <f>IFERROR(INDEX(tbl_Projets[Titre complet du projet],23),"")</f>
        <v>0</v>
      </c>
      <c r="B268" s="34">
        <f>IF(A268="","",COUNTIFS(tbl_Activites[ID Projet],INDEX(tbl_Projets[ID Projet],23)))</f>
        <v>49</v>
      </c>
      <c r="C268" s="34">
        <f>IF(A268="","",COUNTIFS(tbl_Activites[ID Projet],INDEX(tbl_Projets[ID Projet],23),tbl_Activites[Statut de l''activite],"Realisee"))</f>
        <v>0</v>
      </c>
      <c r="D268" s="53">
        <f t="shared" si="24"/>
        <v>0</v>
      </c>
    </row>
    <row r="269" spans="1:4" ht="15" customHeight="1">
      <c r="A269" s="61">
        <f>IFERROR(INDEX(tbl_Projets[Titre complet du projet],24),"")</f>
        <v>0</v>
      </c>
      <c r="B269" s="34">
        <f>IF(A269="","",COUNTIFS(tbl_Activites[ID Projet],INDEX(tbl_Projets[ID Projet],24)))</f>
        <v>49</v>
      </c>
      <c r="C269" s="34">
        <f>IF(A269="","",COUNTIFS(tbl_Activites[ID Projet],INDEX(tbl_Projets[ID Projet],24),tbl_Activites[Statut de l''activite],"Realisee"))</f>
        <v>0</v>
      </c>
      <c r="D269" s="53">
        <f t="shared" si="24"/>
        <v>0</v>
      </c>
    </row>
    <row r="270" spans="1:4" ht="15" customHeight="1">
      <c r="A270" s="61">
        <f>IFERROR(INDEX(tbl_Projets[Titre complet du projet],25),"")</f>
        <v>0</v>
      </c>
      <c r="B270" s="34">
        <f>IF(A270="","",COUNTIFS(tbl_Activites[ID Projet],INDEX(tbl_Projets[ID Projet],25)))</f>
        <v>49</v>
      </c>
      <c r="C270" s="34">
        <f>IF(A270="","",COUNTIFS(tbl_Activites[ID Projet],INDEX(tbl_Projets[ID Projet],25),tbl_Activites[Statut de l''activite],"Realisee"))</f>
        <v>0</v>
      </c>
      <c r="D270" s="53">
        <f t="shared" si="24"/>
        <v>0</v>
      </c>
    </row>
    <row r="271" spans="1:4" ht="15" customHeight="1">
      <c r="A271" s="61">
        <f>IFERROR(INDEX(tbl_Projets[Titre complet du projet],26),"")</f>
        <v>0</v>
      </c>
      <c r="B271" s="34">
        <f>IF(A271="","",COUNTIFS(tbl_Activites[ID Projet],INDEX(tbl_Projets[ID Projet],26)))</f>
        <v>49</v>
      </c>
      <c r="C271" s="34">
        <f>IF(A271="","",COUNTIFS(tbl_Activites[ID Projet],INDEX(tbl_Projets[ID Projet],26),tbl_Activites[Statut de l''activite],"Realisee"))</f>
        <v>0</v>
      </c>
      <c r="D271" s="53">
        <f t="shared" si="24"/>
        <v>0</v>
      </c>
    </row>
    <row r="272" spans="1:4" ht="15" customHeight="1">
      <c r="A272" s="61">
        <f>IFERROR(INDEX(tbl_Projets[Titre complet du projet],27),"")</f>
        <v>0</v>
      </c>
      <c r="B272" s="34">
        <f>IF(A272="","",COUNTIFS(tbl_Activites[ID Projet],INDEX(tbl_Projets[ID Projet],27)))</f>
        <v>49</v>
      </c>
      <c r="C272" s="34">
        <f>IF(A272="","",COUNTIFS(tbl_Activites[ID Projet],INDEX(tbl_Projets[ID Projet],27),tbl_Activites[Statut de l''activite],"Realisee"))</f>
        <v>0</v>
      </c>
      <c r="D272" s="53">
        <f t="shared" si="24"/>
        <v>0</v>
      </c>
    </row>
    <row r="273" spans="1:4" ht="15" customHeight="1">
      <c r="A273" s="61">
        <f>IFERROR(INDEX(tbl_Projets[Titre complet du projet],28),"")</f>
        <v>0</v>
      </c>
      <c r="B273" s="34">
        <f>IF(A273="","",COUNTIFS(tbl_Activites[ID Projet],INDEX(tbl_Projets[ID Projet],28)))</f>
        <v>49</v>
      </c>
      <c r="C273" s="34">
        <f>IF(A273="","",COUNTIFS(tbl_Activites[ID Projet],INDEX(tbl_Projets[ID Projet],28),tbl_Activites[Statut de l''activite],"Realisee"))</f>
        <v>0</v>
      </c>
      <c r="D273" s="53">
        <f t="shared" si="24"/>
        <v>0</v>
      </c>
    </row>
    <row r="274" spans="1:4" ht="15" customHeight="1">
      <c r="A274" s="61">
        <f>IFERROR(INDEX(tbl_Projets[Titre complet du projet],29),"")</f>
        <v>0</v>
      </c>
      <c r="B274" s="34">
        <f>IF(A274="","",COUNTIFS(tbl_Activites[ID Projet],INDEX(tbl_Projets[ID Projet],29)))</f>
        <v>49</v>
      </c>
      <c r="C274" s="34">
        <f>IF(A274="","",COUNTIFS(tbl_Activites[ID Projet],INDEX(tbl_Projets[ID Projet],29),tbl_Activites[Statut de l''activite],"Realisee"))</f>
        <v>0</v>
      </c>
      <c r="D274" s="53">
        <f t="shared" si="24"/>
        <v>0</v>
      </c>
    </row>
    <row r="275" spans="1:4" ht="15" customHeight="1">
      <c r="A275" s="61">
        <f>IFERROR(INDEX(tbl_Projets[Titre complet du projet],30),"")</f>
        <v>0</v>
      </c>
      <c r="B275" s="34">
        <f>IF(A275="","",COUNTIFS(tbl_Activites[ID Projet],INDEX(tbl_Projets[ID Projet],30)))</f>
        <v>49</v>
      </c>
      <c r="C275" s="34">
        <f>IF(A275="","",COUNTIFS(tbl_Activites[ID Projet],INDEX(tbl_Projets[ID Projet],30),tbl_Activites[Statut de l''activite],"Realisee"))</f>
        <v>0</v>
      </c>
      <c r="D275" s="53">
        <f t="shared" si="24"/>
        <v>0</v>
      </c>
    </row>
    <row r="276" spans="1:4" ht="15" customHeight="1">
      <c r="A276" s="61">
        <f>IFERROR(INDEX(tbl_Projets[Titre complet du projet],31),"")</f>
        <v>0</v>
      </c>
      <c r="B276" s="34">
        <f>IF(A276="","",COUNTIFS(tbl_Activites[ID Projet],INDEX(tbl_Projets[ID Projet],31)))</f>
        <v>49</v>
      </c>
      <c r="C276" s="34">
        <f>IF(A276="","",COUNTIFS(tbl_Activites[ID Projet],INDEX(tbl_Projets[ID Projet],31),tbl_Activites[Statut de l''activite],"Realisee"))</f>
        <v>0</v>
      </c>
      <c r="D276" s="53">
        <f t="shared" si="24"/>
        <v>0</v>
      </c>
    </row>
    <row r="277" spans="1:4" ht="15" customHeight="1">
      <c r="A277" s="61">
        <f>IFERROR(INDEX(tbl_Projets[Titre complet du projet],32),"")</f>
        <v>0</v>
      </c>
      <c r="B277" s="34">
        <f>IF(A277="","",COUNTIFS(tbl_Activites[ID Projet],INDEX(tbl_Projets[ID Projet],32)))</f>
        <v>49</v>
      </c>
      <c r="C277" s="34">
        <f>IF(A277="","",COUNTIFS(tbl_Activites[ID Projet],INDEX(tbl_Projets[ID Projet],32),tbl_Activites[Statut de l''activite],"Realisee"))</f>
        <v>0</v>
      </c>
      <c r="D277" s="53">
        <f t="shared" si="24"/>
        <v>0</v>
      </c>
    </row>
    <row r="278" spans="1:4" ht="15" customHeight="1">
      <c r="A278" s="61">
        <f>IFERROR(INDEX(tbl_Projets[Titre complet du projet],33),"")</f>
        <v>0</v>
      </c>
      <c r="B278" s="34">
        <f>IF(A278="","",COUNTIFS(tbl_Activites[ID Projet],INDEX(tbl_Projets[ID Projet],33)))</f>
        <v>49</v>
      </c>
      <c r="C278" s="34">
        <f>IF(A278="","",COUNTIFS(tbl_Activites[ID Projet],INDEX(tbl_Projets[ID Projet],33),tbl_Activites[Statut de l''activite],"Realisee"))</f>
        <v>0</v>
      </c>
      <c r="D278" s="53">
        <f t="shared" si="24"/>
        <v>0</v>
      </c>
    </row>
    <row r="279" spans="1:4" ht="15" customHeight="1">
      <c r="A279" s="61">
        <f>IFERROR(INDEX(tbl_Projets[Titre complet du projet],34),"")</f>
        <v>0</v>
      </c>
      <c r="B279" s="34">
        <f>IF(A279="","",COUNTIFS(tbl_Activites[ID Projet],INDEX(tbl_Projets[ID Projet],34)))</f>
        <v>49</v>
      </c>
      <c r="C279" s="34">
        <f>IF(A279="","",COUNTIFS(tbl_Activites[ID Projet],INDEX(tbl_Projets[ID Projet],34),tbl_Activites[Statut de l''activite],"Realisee"))</f>
        <v>0</v>
      </c>
      <c r="D279" s="53">
        <f t="shared" si="24"/>
        <v>0</v>
      </c>
    </row>
    <row r="280" spans="1:4" ht="15" customHeight="1">
      <c r="A280" s="61">
        <f>IFERROR(INDEX(tbl_Projets[Titre complet du projet],35),"")</f>
        <v>0</v>
      </c>
      <c r="B280" s="34">
        <f>IF(A280="","",COUNTIFS(tbl_Activites[ID Projet],INDEX(tbl_Projets[ID Projet],35)))</f>
        <v>49</v>
      </c>
      <c r="C280" s="34">
        <f>IF(A280="","",COUNTIFS(tbl_Activites[ID Projet],INDEX(tbl_Projets[ID Projet],35),tbl_Activites[Statut de l''activite],"Realisee"))</f>
        <v>0</v>
      </c>
      <c r="D280" s="53">
        <f t="shared" si="24"/>
        <v>0</v>
      </c>
    </row>
    <row r="281" spans="1:4" ht="15" customHeight="1">
      <c r="A281" s="61">
        <f>IFERROR(INDEX(tbl_Projets[Titre complet du projet],36),"")</f>
        <v>0</v>
      </c>
      <c r="B281" s="34">
        <f>IF(A281="","",COUNTIFS(tbl_Activites[ID Projet],INDEX(tbl_Projets[ID Projet],36)))</f>
        <v>49</v>
      </c>
      <c r="C281" s="34">
        <f>IF(A281="","",COUNTIFS(tbl_Activites[ID Projet],INDEX(tbl_Projets[ID Projet],36),tbl_Activites[Statut de l''activite],"Realisee"))</f>
        <v>0</v>
      </c>
      <c r="D281" s="53">
        <f t="shared" si="24"/>
        <v>0</v>
      </c>
    </row>
    <row r="282" spans="1:4" ht="15" customHeight="1">
      <c r="A282" s="61">
        <f>IFERROR(INDEX(tbl_Projets[Titre complet du projet],37),"")</f>
        <v>0</v>
      </c>
      <c r="B282" s="34">
        <f>IF(A282="","",COUNTIFS(tbl_Activites[ID Projet],INDEX(tbl_Projets[ID Projet],37)))</f>
        <v>49</v>
      </c>
      <c r="C282" s="34">
        <f>IF(A282="","",COUNTIFS(tbl_Activites[ID Projet],INDEX(tbl_Projets[ID Projet],37),tbl_Activites[Statut de l''activite],"Realisee"))</f>
        <v>0</v>
      </c>
      <c r="D282" s="53">
        <f t="shared" si="24"/>
        <v>0</v>
      </c>
    </row>
    <row r="283" spans="1:4" ht="15" customHeight="1">
      <c r="A283" s="61">
        <f>IFERROR(INDEX(tbl_Projets[Titre complet du projet],38),"")</f>
        <v>0</v>
      </c>
      <c r="B283" s="34">
        <f>IF(A283="","",COUNTIFS(tbl_Activites[ID Projet],INDEX(tbl_Projets[ID Projet],38)))</f>
        <v>49</v>
      </c>
      <c r="C283" s="34">
        <f>IF(A283="","",COUNTIFS(tbl_Activites[ID Projet],INDEX(tbl_Projets[ID Projet],38),tbl_Activites[Statut de l''activite],"Realisee"))</f>
        <v>0</v>
      </c>
      <c r="D283" s="53">
        <f t="shared" si="24"/>
        <v>0</v>
      </c>
    </row>
    <row r="284" spans="1:4" ht="15" customHeight="1">
      <c r="A284" s="61">
        <f>IFERROR(INDEX(tbl_Projets[Titre complet du projet],39),"")</f>
        <v>0</v>
      </c>
      <c r="B284" s="34">
        <f>IF(A284="","",COUNTIFS(tbl_Activites[ID Projet],INDEX(tbl_Projets[ID Projet],39)))</f>
        <v>49</v>
      </c>
      <c r="C284" s="34">
        <f>IF(A284="","",COUNTIFS(tbl_Activites[ID Projet],INDEX(tbl_Projets[ID Projet],39),tbl_Activites[Statut de l''activite],"Realisee"))</f>
        <v>0</v>
      </c>
      <c r="D284" s="53">
        <f t="shared" si="24"/>
        <v>0</v>
      </c>
    </row>
    <row r="285" spans="1:4" ht="15" customHeight="1">
      <c r="A285" s="61">
        <f>IFERROR(INDEX(tbl_Projets[Titre complet du projet],40),"")</f>
        <v>0</v>
      </c>
      <c r="B285" s="34">
        <f>IF(A285="","",COUNTIFS(tbl_Activites[ID Projet],INDEX(tbl_Projets[ID Projet],40)))</f>
        <v>49</v>
      </c>
      <c r="C285" s="34">
        <f>IF(A285="","",COUNTIFS(tbl_Activites[ID Projet],INDEX(tbl_Projets[ID Projet],40),tbl_Activites[Statut de l''activite],"Realisee"))</f>
        <v>0</v>
      </c>
      <c r="D285" s="53">
        <f t="shared" si="24"/>
        <v>0</v>
      </c>
    </row>
    <row r="288" spans="1:4" ht="15.75" customHeight="1">
      <c r="A288" s="296" t="s">
        <v>1851</v>
      </c>
      <c r="B288" s="262"/>
      <c r="C288" s="262"/>
      <c r="D288" s="262"/>
    </row>
    <row r="289" spans="1:4" ht="15" customHeight="1">
      <c r="A289" s="32" t="s">
        <v>1400</v>
      </c>
      <c r="B289" s="32" t="s">
        <v>1772</v>
      </c>
      <c r="C289" s="32" t="s">
        <v>1766</v>
      </c>
      <c r="D289" s="32" t="s">
        <v>1852</v>
      </c>
    </row>
    <row r="290" spans="1:4" ht="15" customHeight="1">
      <c r="A290" s="67" t="s">
        <v>11</v>
      </c>
      <c r="B290" s="34">
        <f>COUNTIFS(tbl_Activites[Domaine d''intervention (activite)],A290)</f>
        <v>0</v>
      </c>
      <c r="C290" s="34">
        <f>COUNTIFS(tbl_Activites[Domaine d''intervention (activite)],A290,tbl_Activites[Statut de l''activite],"Realisee")</f>
        <v>0</v>
      </c>
      <c r="D290" s="53" t="str">
        <f t="shared" ref="D290:D329" si="25">IF(OR(B290="",B290=0),"",C290/B290)</f>
        <v/>
      </c>
    </row>
    <row r="291" spans="1:4" ht="15" customHeight="1">
      <c r="A291" s="67" t="s">
        <v>15</v>
      </c>
      <c r="B291" s="34">
        <f>COUNTIFS(tbl_Activites[Domaine d''intervention (activite)],A291)</f>
        <v>0</v>
      </c>
      <c r="C291" s="34">
        <f>COUNTIFS(tbl_Activites[Domaine d''intervention (activite)],A291,tbl_Activites[Statut de l''activite],"Realisee")</f>
        <v>0</v>
      </c>
      <c r="D291" s="53" t="str">
        <f t="shared" si="25"/>
        <v/>
      </c>
    </row>
    <row r="292" spans="1:4" ht="15" customHeight="1">
      <c r="A292" s="67" t="s">
        <v>19</v>
      </c>
      <c r="B292" s="34">
        <f>COUNTIFS(tbl_Activites[Domaine d''intervention (activite)],A292)</f>
        <v>0</v>
      </c>
      <c r="C292" s="34">
        <f>COUNTIFS(tbl_Activites[Domaine d''intervention (activite)],A292,tbl_Activites[Statut de l''activite],"Realisee")</f>
        <v>0</v>
      </c>
      <c r="D292" s="53" t="str">
        <f t="shared" si="25"/>
        <v/>
      </c>
    </row>
    <row r="293" spans="1:4" ht="15" customHeight="1">
      <c r="A293" s="67" t="s">
        <v>24</v>
      </c>
      <c r="B293" s="34">
        <f>COUNTIFS(tbl_Activites[Domaine d''intervention (activite)],A293)</f>
        <v>0</v>
      </c>
      <c r="C293" s="34">
        <f>COUNTIFS(tbl_Activites[Domaine d''intervention (activite)],A293,tbl_Activites[Statut de l''activite],"Realisee")</f>
        <v>0</v>
      </c>
      <c r="D293" s="53" t="str">
        <f t="shared" si="25"/>
        <v/>
      </c>
    </row>
    <row r="294" spans="1:4" ht="15" customHeight="1">
      <c r="A294" s="67" t="s">
        <v>32</v>
      </c>
      <c r="B294" s="34">
        <f>COUNTIFS(tbl_Activites[Domaine d''intervention (activite)],A294)</f>
        <v>0</v>
      </c>
      <c r="C294" s="34">
        <f>COUNTIFS(tbl_Activites[Domaine d''intervention (activite)],A294,tbl_Activites[Statut de l''activite],"Realisee")</f>
        <v>0</v>
      </c>
      <c r="D294" s="53" t="str">
        <f t="shared" si="25"/>
        <v/>
      </c>
    </row>
    <row r="295" spans="1:4" ht="15" customHeight="1">
      <c r="A295" s="67" t="s">
        <v>34</v>
      </c>
      <c r="B295" s="34">
        <f>COUNTIFS(tbl_Activites[Domaine d''intervention (activite)],A295)</f>
        <v>0</v>
      </c>
      <c r="C295" s="34">
        <f>COUNTIFS(tbl_Activites[Domaine d''intervention (activite)],A295,tbl_Activites[Statut de l''activite],"Realisee")</f>
        <v>0</v>
      </c>
      <c r="D295" s="53" t="str">
        <f t="shared" si="25"/>
        <v/>
      </c>
    </row>
    <row r="296" spans="1:4" ht="15" customHeight="1">
      <c r="A296" s="67" t="s">
        <v>36</v>
      </c>
      <c r="B296" s="34">
        <f>COUNTIFS(tbl_Activites[Domaine d''intervention (activite)],A296)</f>
        <v>0</v>
      </c>
      <c r="C296" s="34">
        <f>COUNTIFS(tbl_Activites[Domaine d''intervention (activite)],A296,tbl_Activites[Statut de l''activite],"Realisee")</f>
        <v>0</v>
      </c>
      <c r="D296" s="53" t="str">
        <f t="shared" si="25"/>
        <v/>
      </c>
    </row>
    <row r="297" spans="1:4" ht="15" customHeight="1">
      <c r="A297" s="67" t="s">
        <v>38</v>
      </c>
      <c r="B297" s="34">
        <f>COUNTIFS(tbl_Activites[Domaine d''intervention (activite)],A297)</f>
        <v>0</v>
      </c>
      <c r="C297" s="34">
        <f>COUNTIFS(tbl_Activites[Domaine d''intervention (activite)],A297,tbl_Activites[Statut de l''activite],"Realisee")</f>
        <v>0</v>
      </c>
      <c r="D297" s="53" t="str">
        <f t="shared" si="25"/>
        <v/>
      </c>
    </row>
    <row r="298" spans="1:4" ht="15" customHeight="1">
      <c r="A298" s="67" t="s">
        <v>46</v>
      </c>
      <c r="B298" s="34">
        <f>COUNTIFS(tbl_Activites[Domaine d''intervention (activite)],A298)</f>
        <v>0</v>
      </c>
      <c r="C298" s="34">
        <f>COUNTIFS(tbl_Activites[Domaine d''intervention (activite)],A298,tbl_Activites[Statut de l''activite],"Realisee")</f>
        <v>0</v>
      </c>
      <c r="D298" s="53" t="str">
        <f t="shared" si="25"/>
        <v/>
      </c>
    </row>
    <row r="299" spans="1:4" ht="15" customHeight="1">
      <c r="A299" s="67" t="s">
        <v>48</v>
      </c>
      <c r="B299" s="34">
        <f>COUNTIFS(tbl_Activites[Domaine d''intervention (activite)],A299)</f>
        <v>0</v>
      </c>
      <c r="C299" s="34">
        <f>COUNTIFS(tbl_Activites[Domaine d''intervention (activite)],A299,tbl_Activites[Statut de l''activite],"Realisee")</f>
        <v>0</v>
      </c>
      <c r="D299" s="53" t="str">
        <f t="shared" si="25"/>
        <v/>
      </c>
    </row>
    <row r="300" spans="1:4" ht="15" customHeight="1">
      <c r="A300" s="67" t="s">
        <v>50</v>
      </c>
      <c r="B300" s="34">
        <f>COUNTIFS(tbl_Activites[Domaine d''intervention (activite)],A300)</f>
        <v>0</v>
      </c>
      <c r="C300" s="34">
        <f>COUNTIFS(tbl_Activites[Domaine d''intervention (activite)],A300,tbl_Activites[Statut de l''activite],"Realisee")</f>
        <v>0</v>
      </c>
      <c r="D300" s="53" t="str">
        <f t="shared" si="25"/>
        <v/>
      </c>
    </row>
    <row r="301" spans="1:4" ht="15" customHeight="1">
      <c r="A301" s="67" t="s">
        <v>52</v>
      </c>
      <c r="B301" s="34">
        <f>COUNTIFS(tbl_Activites[Domaine d''intervention (activite)],A301)</f>
        <v>0</v>
      </c>
      <c r="C301" s="34">
        <f>COUNTIFS(tbl_Activites[Domaine d''intervention (activite)],A301,tbl_Activites[Statut de l''activite],"Realisee")</f>
        <v>0</v>
      </c>
      <c r="D301" s="53" t="str">
        <f t="shared" si="25"/>
        <v/>
      </c>
    </row>
    <row r="302" spans="1:4" ht="15" customHeight="1">
      <c r="A302" s="67" t="s">
        <v>53</v>
      </c>
      <c r="B302" s="34">
        <f>COUNTIFS(tbl_Activites[Domaine d''intervention (activite)],A302)</f>
        <v>0</v>
      </c>
      <c r="C302" s="34">
        <f>COUNTIFS(tbl_Activites[Domaine d''intervention (activite)],A302,tbl_Activites[Statut de l''activite],"Realisee")</f>
        <v>0</v>
      </c>
      <c r="D302" s="53" t="str">
        <f t="shared" si="25"/>
        <v/>
      </c>
    </row>
    <row r="303" spans="1:4" ht="15" customHeight="1">
      <c r="A303" s="67" t="s">
        <v>60</v>
      </c>
      <c r="B303" s="34">
        <f>COUNTIFS(tbl_Activites[Domaine d''intervention (activite)],A303)</f>
        <v>0</v>
      </c>
      <c r="C303" s="34">
        <f>COUNTIFS(tbl_Activites[Domaine d''intervention (activite)],A303,tbl_Activites[Statut de l''activite],"Realisee")</f>
        <v>0</v>
      </c>
      <c r="D303" s="53" t="str">
        <f t="shared" si="25"/>
        <v/>
      </c>
    </row>
    <row r="304" spans="1:4" ht="15" customHeight="1">
      <c r="A304" s="67" t="s">
        <v>61</v>
      </c>
      <c r="B304" s="34">
        <f>COUNTIFS(tbl_Activites[Domaine d''intervention (activite)],A304)</f>
        <v>0</v>
      </c>
      <c r="C304" s="34">
        <f>COUNTIFS(tbl_Activites[Domaine d''intervention (activite)],A304,tbl_Activites[Statut de l''activite],"Realisee")</f>
        <v>0</v>
      </c>
      <c r="D304" s="53" t="str">
        <f t="shared" si="25"/>
        <v/>
      </c>
    </row>
    <row r="305" spans="1:4" ht="15" customHeight="1">
      <c r="A305" s="67" t="s">
        <v>62</v>
      </c>
      <c r="B305" s="34">
        <f>COUNTIFS(tbl_Activites[Domaine d''intervention (activite)],A305)</f>
        <v>0</v>
      </c>
      <c r="C305" s="34">
        <f>COUNTIFS(tbl_Activites[Domaine d''intervention (activite)],A305,tbl_Activites[Statut de l''activite],"Realisee")</f>
        <v>0</v>
      </c>
      <c r="D305" s="53" t="str">
        <f t="shared" si="25"/>
        <v/>
      </c>
    </row>
    <row r="306" spans="1:4" ht="15" customHeight="1">
      <c r="A306" s="67" t="s">
        <v>63</v>
      </c>
      <c r="B306" s="34">
        <f>COUNTIFS(tbl_Activites[Domaine d''intervention (activite)],A306)</f>
        <v>0</v>
      </c>
      <c r="C306" s="34">
        <f>COUNTIFS(tbl_Activites[Domaine d''intervention (activite)],A306,tbl_Activites[Statut de l''activite],"Realisee")</f>
        <v>0</v>
      </c>
      <c r="D306" s="53" t="str">
        <f t="shared" si="25"/>
        <v/>
      </c>
    </row>
    <row r="307" spans="1:4" ht="15" customHeight="1">
      <c r="A307" s="67" t="s">
        <v>64</v>
      </c>
      <c r="B307" s="34">
        <f>COUNTIFS(tbl_Activites[Domaine d''intervention (activite)],A307)</f>
        <v>0</v>
      </c>
      <c r="C307" s="34">
        <f>COUNTIFS(tbl_Activites[Domaine d''intervention (activite)],A307,tbl_Activites[Statut de l''activite],"Realisee")</f>
        <v>0</v>
      </c>
      <c r="D307" s="53" t="str">
        <f t="shared" si="25"/>
        <v/>
      </c>
    </row>
    <row r="308" spans="1:4" ht="15" customHeight="1">
      <c r="A308" s="67" t="s">
        <v>67</v>
      </c>
      <c r="B308" s="34">
        <f>COUNTIFS(tbl_Activites[Domaine d''intervention (activite)],A308)</f>
        <v>0</v>
      </c>
      <c r="C308" s="34">
        <f>COUNTIFS(tbl_Activites[Domaine d''intervention (activite)],A308,tbl_Activites[Statut de l''activite],"Realisee")</f>
        <v>0</v>
      </c>
      <c r="D308" s="53" t="str">
        <f t="shared" si="25"/>
        <v/>
      </c>
    </row>
    <row r="309" spans="1:4" ht="15" customHeight="1">
      <c r="A309" s="67" t="s">
        <v>68</v>
      </c>
      <c r="B309" s="34">
        <f>COUNTIFS(tbl_Activites[Domaine d''intervention (activite)],A309)</f>
        <v>0</v>
      </c>
      <c r="C309" s="34">
        <f>COUNTIFS(tbl_Activites[Domaine d''intervention (activite)],A309,tbl_Activites[Statut de l''activite],"Realisee")</f>
        <v>0</v>
      </c>
      <c r="D309" s="53" t="str">
        <f t="shared" si="25"/>
        <v/>
      </c>
    </row>
    <row r="310" spans="1:4" ht="25.5" customHeight="1">
      <c r="A310" s="67" t="s">
        <v>69</v>
      </c>
      <c r="B310" s="34">
        <f>COUNTIFS(tbl_Activites[Domaine d''intervention (activite)],A310)</f>
        <v>0</v>
      </c>
      <c r="C310" s="34">
        <f>COUNTIFS(tbl_Activites[Domaine d''intervention (activite)],A310,tbl_Activites[Statut de l''activite],"Realisee")</f>
        <v>0</v>
      </c>
      <c r="D310" s="53" t="str">
        <f t="shared" si="25"/>
        <v/>
      </c>
    </row>
    <row r="311" spans="1:4" ht="15" customHeight="1">
      <c r="A311" s="67" t="s">
        <v>70</v>
      </c>
      <c r="B311" s="34">
        <f>COUNTIFS(tbl_Activites[Domaine d''intervention (activite)],A311)</f>
        <v>0</v>
      </c>
      <c r="C311" s="34">
        <f>COUNTIFS(tbl_Activites[Domaine d''intervention (activite)],A311,tbl_Activites[Statut de l''activite],"Realisee")</f>
        <v>0</v>
      </c>
      <c r="D311" s="53" t="str">
        <f t="shared" si="25"/>
        <v/>
      </c>
    </row>
    <row r="312" spans="1:4" ht="15" customHeight="1">
      <c r="A312" s="67" t="s">
        <v>71</v>
      </c>
      <c r="B312" s="34">
        <f>COUNTIFS(tbl_Activites[Domaine d''intervention (activite)],A312)</f>
        <v>0</v>
      </c>
      <c r="C312" s="34">
        <f>COUNTIFS(tbl_Activites[Domaine d''intervention (activite)],A312,tbl_Activites[Statut de l''activite],"Realisee")</f>
        <v>0</v>
      </c>
      <c r="D312" s="53" t="str">
        <f t="shared" si="25"/>
        <v/>
      </c>
    </row>
    <row r="313" spans="1:4" ht="15" customHeight="1">
      <c r="A313" s="67" t="s">
        <v>72</v>
      </c>
      <c r="B313" s="34">
        <f>COUNTIFS(tbl_Activites[Domaine d''intervention (activite)],A313)</f>
        <v>0</v>
      </c>
      <c r="C313" s="34">
        <f>COUNTIFS(tbl_Activites[Domaine d''intervention (activite)],A313,tbl_Activites[Statut de l''activite],"Realisee")</f>
        <v>0</v>
      </c>
      <c r="D313" s="53" t="str">
        <f t="shared" si="25"/>
        <v/>
      </c>
    </row>
    <row r="314" spans="1:4" ht="25.5" customHeight="1">
      <c r="A314" s="67" t="s">
        <v>73</v>
      </c>
      <c r="B314" s="34">
        <f>COUNTIFS(tbl_Activites[Domaine d''intervention (activite)],A314)</f>
        <v>0</v>
      </c>
      <c r="C314" s="34">
        <f>COUNTIFS(tbl_Activites[Domaine d''intervention (activite)],A314,tbl_Activites[Statut de l''activite],"Realisee")</f>
        <v>0</v>
      </c>
      <c r="D314" s="53" t="str">
        <f t="shared" si="25"/>
        <v/>
      </c>
    </row>
    <row r="315" spans="1:4" ht="15" customHeight="1">
      <c r="A315" s="67" t="s">
        <v>74</v>
      </c>
      <c r="B315" s="34">
        <f>COUNTIFS(tbl_Activites[Domaine d''intervention (activite)],A315)</f>
        <v>0</v>
      </c>
      <c r="C315" s="34">
        <f>COUNTIFS(tbl_Activites[Domaine d''intervention (activite)],A315,tbl_Activites[Statut de l''activite],"Realisee")</f>
        <v>0</v>
      </c>
      <c r="D315" s="53" t="str">
        <f t="shared" si="25"/>
        <v/>
      </c>
    </row>
    <row r="316" spans="1:4" ht="15" customHeight="1">
      <c r="A316" s="67" t="s">
        <v>75</v>
      </c>
      <c r="B316" s="34">
        <f>COUNTIFS(tbl_Activites[Domaine d''intervention (activite)],A316)</f>
        <v>0</v>
      </c>
      <c r="C316" s="34">
        <f>COUNTIFS(tbl_Activites[Domaine d''intervention (activite)],A316,tbl_Activites[Statut de l''activite],"Realisee")</f>
        <v>0</v>
      </c>
      <c r="D316" s="53" t="str">
        <f t="shared" si="25"/>
        <v/>
      </c>
    </row>
    <row r="317" spans="1:4" ht="15" customHeight="1">
      <c r="A317" s="67" t="s">
        <v>76</v>
      </c>
      <c r="B317" s="34">
        <f>COUNTIFS(tbl_Activites[Domaine d''intervention (activite)],A317)</f>
        <v>0</v>
      </c>
      <c r="C317" s="34">
        <f>COUNTIFS(tbl_Activites[Domaine d''intervention (activite)],A317,tbl_Activites[Statut de l''activite],"Realisee")</f>
        <v>0</v>
      </c>
      <c r="D317" s="53" t="str">
        <f t="shared" si="25"/>
        <v/>
      </c>
    </row>
    <row r="318" spans="1:4" ht="15" customHeight="1">
      <c r="A318" s="67" t="s">
        <v>77</v>
      </c>
      <c r="B318" s="34">
        <f>COUNTIFS(tbl_Activites[Domaine d''intervention (activite)],A318)</f>
        <v>0</v>
      </c>
      <c r="C318" s="34">
        <f>COUNTIFS(tbl_Activites[Domaine d''intervention (activite)],A318,tbl_Activites[Statut de l''activite],"Realisee")</f>
        <v>0</v>
      </c>
      <c r="D318" s="53" t="str">
        <f t="shared" si="25"/>
        <v/>
      </c>
    </row>
    <row r="319" spans="1:4" ht="25.5" customHeight="1">
      <c r="A319" s="67" t="s">
        <v>78</v>
      </c>
      <c r="B319" s="34">
        <f>COUNTIFS(tbl_Activites[Domaine d''intervention (activite)],A319)</f>
        <v>0</v>
      </c>
      <c r="C319" s="34">
        <f>COUNTIFS(tbl_Activites[Domaine d''intervention (activite)],A319,tbl_Activites[Statut de l''activite],"Realisee")</f>
        <v>0</v>
      </c>
      <c r="D319" s="53" t="str">
        <f t="shared" si="25"/>
        <v/>
      </c>
    </row>
    <row r="320" spans="1:4" ht="25.5" customHeight="1">
      <c r="A320" s="67" t="s">
        <v>79</v>
      </c>
      <c r="B320" s="34">
        <f>COUNTIFS(tbl_Activites[Domaine d''intervention (activite)],A320)</f>
        <v>0</v>
      </c>
      <c r="C320" s="34">
        <f>COUNTIFS(tbl_Activites[Domaine d''intervention (activite)],A320,tbl_Activites[Statut de l''activite],"Realisee")</f>
        <v>0</v>
      </c>
      <c r="D320" s="53" t="str">
        <f t="shared" si="25"/>
        <v/>
      </c>
    </row>
    <row r="321" spans="1:8" ht="15" customHeight="1">
      <c r="A321" s="67" t="s">
        <v>80</v>
      </c>
      <c r="B321" s="34">
        <f>COUNTIFS(tbl_Activites[Domaine d''intervention (activite)],A321)</f>
        <v>0</v>
      </c>
      <c r="C321" s="34">
        <f>COUNTIFS(tbl_Activites[Domaine d''intervention (activite)],A321,tbl_Activites[Statut de l''activite],"Realisee")</f>
        <v>0</v>
      </c>
      <c r="D321" s="53" t="str">
        <f t="shared" si="25"/>
        <v/>
      </c>
    </row>
    <row r="322" spans="1:8" ht="25.5" customHeight="1">
      <c r="A322" s="67" t="s">
        <v>81</v>
      </c>
      <c r="B322" s="34">
        <f>COUNTIFS(tbl_Activites[Domaine d''intervention (activite)],A322)</f>
        <v>0</v>
      </c>
      <c r="C322" s="34">
        <f>COUNTIFS(tbl_Activites[Domaine d''intervention (activite)],A322,tbl_Activites[Statut de l''activite],"Realisee")</f>
        <v>0</v>
      </c>
      <c r="D322" s="53" t="str">
        <f t="shared" si="25"/>
        <v/>
      </c>
    </row>
    <row r="323" spans="1:8" ht="15" customHeight="1">
      <c r="A323" s="67" t="s">
        <v>83</v>
      </c>
      <c r="B323" s="34">
        <f>COUNTIFS(tbl_Activites[Domaine d''intervention (activite)],A323)</f>
        <v>0</v>
      </c>
      <c r="C323" s="34">
        <f>COUNTIFS(tbl_Activites[Domaine d''intervention (activite)],A323,tbl_Activites[Statut de l''activite],"Realisee")</f>
        <v>0</v>
      </c>
      <c r="D323" s="53" t="str">
        <f t="shared" si="25"/>
        <v/>
      </c>
    </row>
    <row r="324" spans="1:8" ht="25.5" customHeight="1">
      <c r="A324" s="67" t="s">
        <v>88</v>
      </c>
      <c r="B324" s="34">
        <f>COUNTIFS(tbl_Activites[Domaine d''intervention (activite)],A324)</f>
        <v>0</v>
      </c>
      <c r="C324" s="34">
        <f>COUNTIFS(tbl_Activites[Domaine d''intervention (activite)],A324,tbl_Activites[Statut de l''activite],"Realisee")</f>
        <v>0</v>
      </c>
      <c r="D324" s="53" t="str">
        <f t="shared" si="25"/>
        <v/>
      </c>
    </row>
    <row r="325" spans="1:8" ht="15" customHeight="1">
      <c r="A325" s="67" t="s">
        <v>91</v>
      </c>
      <c r="B325" s="34">
        <f>COUNTIFS(tbl_Activites[Domaine d''intervention (activite)],A325)</f>
        <v>0</v>
      </c>
      <c r="C325" s="34">
        <f>COUNTIFS(tbl_Activites[Domaine d''intervention (activite)],A325,tbl_Activites[Statut de l''activite],"Realisee")</f>
        <v>0</v>
      </c>
      <c r="D325" s="53" t="str">
        <f t="shared" si="25"/>
        <v/>
      </c>
    </row>
    <row r="326" spans="1:8" ht="15" customHeight="1">
      <c r="A326" s="67" t="s">
        <v>94</v>
      </c>
      <c r="B326" s="34">
        <f>COUNTIFS(tbl_Activites[Domaine d''intervention (activite)],A326)</f>
        <v>0</v>
      </c>
      <c r="C326" s="34">
        <f>COUNTIFS(tbl_Activites[Domaine d''intervention (activite)],A326,tbl_Activites[Statut de l''activite],"Realisee")</f>
        <v>0</v>
      </c>
      <c r="D326" s="53" t="str">
        <f t="shared" si="25"/>
        <v/>
      </c>
    </row>
    <row r="327" spans="1:8" ht="15" customHeight="1">
      <c r="A327" s="67" t="s">
        <v>96</v>
      </c>
      <c r="B327" s="34">
        <f>COUNTIFS(tbl_Activites[Domaine d''intervention (activite)],A327)</f>
        <v>0</v>
      </c>
      <c r="C327" s="34">
        <f>COUNTIFS(tbl_Activites[Domaine d''intervention (activite)],A327,tbl_Activites[Statut de l''activite],"Realisee")</f>
        <v>0</v>
      </c>
      <c r="D327" s="53" t="str">
        <f t="shared" si="25"/>
        <v/>
      </c>
    </row>
    <row r="328" spans="1:8" ht="15" customHeight="1">
      <c r="A328" s="67" t="s">
        <v>98</v>
      </c>
      <c r="B328" s="34">
        <f>COUNTIFS(tbl_Activites[Domaine d''intervention (activite)],A328)</f>
        <v>0</v>
      </c>
      <c r="C328" s="34">
        <f>COUNTIFS(tbl_Activites[Domaine d''intervention (activite)],A328,tbl_Activites[Statut de l''activite],"Realisee")</f>
        <v>0</v>
      </c>
      <c r="D328" s="53" t="str">
        <f t="shared" si="25"/>
        <v/>
      </c>
    </row>
    <row r="329" spans="1:8" ht="15" customHeight="1">
      <c r="A329" s="67" t="s">
        <v>100</v>
      </c>
      <c r="B329" s="34">
        <f>COUNTIFS(tbl_Activites[Domaine d''intervention (activite)],A329)</f>
        <v>0</v>
      </c>
      <c r="C329" s="34">
        <f>COUNTIFS(tbl_Activites[Domaine d''intervention (activite)],A329,tbl_Activites[Statut de l''activite],"Realisee")</f>
        <v>0</v>
      </c>
      <c r="D329" s="53" t="str">
        <f t="shared" si="25"/>
        <v/>
      </c>
    </row>
    <row r="332" spans="1:8" ht="27.75" customHeight="1">
      <c r="A332" s="298" t="s">
        <v>1853</v>
      </c>
      <c r="B332" s="262"/>
      <c r="C332" s="262"/>
      <c r="D332" s="262"/>
      <c r="E332" s="262"/>
      <c r="F332" s="262"/>
      <c r="G332" s="262"/>
      <c r="H332" s="262"/>
    </row>
  </sheetData>
  <mergeCells count="13">
    <mergeCell ref="A332:H332"/>
    <mergeCell ref="A176:I176"/>
    <mergeCell ref="A142:G142"/>
    <mergeCell ref="A210:F210"/>
    <mergeCell ref="A6:R6"/>
    <mergeCell ref="A288:D288"/>
    <mergeCell ref="A54:CN54"/>
    <mergeCell ref="A108:F108"/>
    <mergeCell ref="A1:P1"/>
    <mergeCell ref="A2:R2"/>
    <mergeCell ref="A244:D244"/>
    <mergeCell ref="A10:R10"/>
    <mergeCell ref="A4:R4"/>
  </mergeCells>
  <conditionalFormatting sqref="AB56:AB105">
    <cfRule type="expression" dxfId="66" priority="5">
      <formula>AB56="OUI"</formula>
    </cfRule>
  </conditionalFormatting>
  <conditionalFormatting sqref="CD56:CD105">
    <cfRule type="cellIs" dxfId="65" priority="2" operator="lessThan">
      <formula>0.34</formula>
    </cfRule>
    <cfRule type="cellIs" dxfId="64" priority="3" operator="between">
      <formula>0.34</formula>
      <formula>0.69</formula>
    </cfRule>
    <cfRule type="cellIs" dxfId="63" priority="4" operator="greaterThanOrEqual">
      <formula>0.7</formula>
    </cfRule>
  </conditionalFormatting>
  <conditionalFormatting sqref="CM56:CM105">
    <cfRule type="expression" dxfId="62" priority="6">
      <formula>CM56="OUI"</formula>
    </cfRule>
  </conditionalFormatting>
  <dataValidations count="20">
    <dataValidation type="list" allowBlank="1" sqref="I7">
      <formula1>"2024,2025,2026,2027,2028,2029,2030,2031,2032,2033,Total"</formula1>
      <formula2>0</formula2>
    </dataValidation>
    <dataValidation type="list" allowBlank="1" sqref="C56:C105">
      <formula1>Liste_ActivitesIDProjets</formula1>
      <formula2>0</formula2>
    </dataValidation>
    <dataValidation type="list" allowBlank="1" sqref="J56:J105">
      <formula1>Liste_TypesActivites</formula1>
      <formula2>0</formula2>
    </dataValidation>
    <dataValidation type="list" allowBlank="1" sqref="K56:K105">
      <formula1>Liste_Domaines</formula1>
      <formula2>0</formula2>
    </dataValidation>
    <dataValidation type="list" allowBlank="1" sqref="P56:P105">
      <formula1>"Unique,Journaliere,Hebdomadaire,Mensuelle,Trimestrielle,Semestrielle,Annuelle"</formula1>
      <formula2>0</formula2>
    </dataValidation>
    <dataValidation type="list" allowBlank="1" sqref="X56:X105 F110:F139 CE56:CE105 BX56:CA105 AZ56:BA105">
      <formula1>"Oui,Non"</formula1>
      <formula2>0</formula2>
    </dataValidation>
    <dataValidation type="list" allowBlank="1" sqref="Z56:Z105">
      <formula1>Liste_StatutsActivites</formula1>
      <formula2>0</formula2>
    </dataValidation>
    <dataValidation type="list" allowBlank="1" sqref="AE56:AE105 D110:D139">
      <formula1>Liste_Fonctions</formula1>
      <formula2>0</formula2>
    </dataValidation>
    <dataValidation type="list" allowBlank="1" sqref="AH56:AH105">
      <formula1>Liste_ZonesGeo</formula1>
      <formula2>0</formula2>
    </dataValidation>
    <dataValidation type="list" allowBlank="1" sqref="BH56:BH105">
      <formula1>Liste_SourcesFinancement</formula1>
      <formula2>0</formula2>
    </dataValidation>
    <dataValidation type="list" allowBlank="1" sqref="BL56:BL105 BR56:BR105">
      <formula1>Liste_StatutsGeneraux</formula1>
      <formula2>0</formula2>
    </dataValidation>
    <dataValidation type="list" allowBlank="1" sqref="CH56:CH105">
      <formula1>"1,2,3,4,5"</formula1>
      <formula2>0</formula2>
    </dataValidation>
    <dataValidation type="decimal" allowBlank="1" showErrorMessage="1" errorTitle="Valeur invalide" error="Le taux doit etre compris entre 0% et 100%." sqref="Y56:Y105 CD56:CD105">
      <formula1>0</formula1>
      <formula2>1</formula2>
    </dataValidation>
    <dataValidation type="decimal" operator="greaterThanOrEqual" allowBlank="1" showErrorMessage="1" errorTitle="Valeur invalide" error="Le montant ne peut pas etre negatif." sqref="BC56:BE105 BJ56:BK105 BQ56:BQ105">
      <formula1>0</formula1>
      <formula2>0</formula2>
    </dataValidation>
    <dataValidation type="custom" allowBlank="1" showErrorMessage="1" errorTitle="Date incoherente" error="La date reelle ne peut pas etre anterieure a la date prevue." sqref="T56:T105">
      <formula1>OR(T56="",L56="",T56&gt;=L56)</formula1>
      <formula2>0</formula2>
    </dataValidation>
    <dataValidation type="list" allowBlank="1" sqref="D144:D173">
      <formula1>Liste_UnitesMesure</formula1>
      <formula2>0</formula2>
    </dataValidation>
    <dataValidation type="list" allowBlank="1" sqref="E178:E207">
      <formula1>Liste_NiveauxRisque</formula1>
      <formula2>0</formula2>
    </dataValidation>
    <dataValidation type="list" allowBlank="1" sqref="I178:I207">
      <formula1>Liste_StatutsRisques</formula1>
      <formula2>0</formula2>
    </dataValidation>
    <dataValidation type="list" allowBlank="1" sqref="B212:B241">
      <formula1>Liste_TypesDocuments</formula1>
      <formula2>0</formula2>
    </dataValidation>
    <dataValidation type="list" allowBlank="1" sqref="E212:E241">
      <formula1>Liste_StatutsDocuments</formula1>
      <formula2>0</formula2>
    </dataValidation>
  </dataValidations>
  <pageMargins left="0.75" right="0.75" top="1" bottom="1" header="0.511811023622047" footer="0.511811023622047"/>
  <pageSetup paperSize="9" orientation="portrait" horizontalDpi="300" verticalDpi="300"/>
  <tableParts count="7">
    <tablePart r:id="rId1"/>
    <tablePart r:id="rId2"/>
    <tablePart r:id="rId3"/>
    <tablePart r:id="rId4"/>
    <tablePart r:id="rId5"/>
    <tablePart r:id="rId6"/>
    <tablePart r:id="rId7"/>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S437"/>
  <sheetViews>
    <sheetView showGridLines="0" topLeftCell="B193" zoomScale="90" zoomScaleNormal="90" workbookViewId="0">
      <selection activeCell="C19" sqref="C19"/>
    </sheetView>
  </sheetViews>
  <sheetFormatPr baseColWidth="10" defaultColWidth="8.7109375" defaultRowHeight="15" customHeight="1"/>
  <cols>
    <col min="1" max="2" width="16" customWidth="1"/>
    <col min="3" max="3" width="18" customWidth="1"/>
    <col min="4" max="4" width="20" customWidth="1"/>
    <col min="5" max="7" width="22" customWidth="1"/>
    <col min="8" max="8" width="16" customWidth="1"/>
    <col min="9" max="10" width="18" customWidth="1"/>
    <col min="11" max="12" width="28" customWidth="1"/>
    <col min="13" max="17" width="18" customWidth="1"/>
    <col min="18" max="18" width="28" customWidth="1"/>
    <col min="19" max="28" width="18" customWidth="1"/>
    <col min="29" max="29" width="14" customWidth="1"/>
    <col min="30" max="30" width="18" customWidth="1"/>
    <col min="31" max="32" width="22" customWidth="1"/>
    <col min="33" max="36" width="18" customWidth="1"/>
    <col min="37" max="37" width="22" customWidth="1"/>
    <col min="38" max="39" width="14" customWidth="1"/>
    <col min="40" max="41" width="18" customWidth="1"/>
    <col min="42" max="43" width="22" customWidth="1"/>
    <col min="44" max="44" width="18" customWidth="1"/>
    <col min="45" max="45" width="22" customWidth="1"/>
    <col min="46" max="48" width="18" customWidth="1"/>
    <col min="49" max="49" width="22" customWidth="1"/>
    <col min="50" max="51" width="18" customWidth="1"/>
    <col min="52" max="52" width="14" customWidth="1"/>
    <col min="53" max="53" width="18" customWidth="1"/>
    <col min="54" max="54" width="22" customWidth="1"/>
    <col min="55" max="60" width="18" customWidth="1"/>
    <col min="61" max="61" width="22" customWidth="1"/>
    <col min="62" max="70" width="18" customWidth="1"/>
    <col min="71" max="71" width="28" customWidth="1"/>
  </cols>
  <sheetData>
    <row r="1" spans="1:19" ht="25.5" customHeight="1">
      <c r="A1" s="292" t="s">
        <v>1854</v>
      </c>
      <c r="B1" s="262"/>
      <c r="C1" s="262"/>
      <c r="D1" s="262"/>
      <c r="E1" s="262"/>
      <c r="F1" s="262"/>
      <c r="G1" s="262"/>
      <c r="H1" s="262"/>
      <c r="I1" s="262"/>
      <c r="J1" s="262"/>
      <c r="K1" s="262"/>
      <c r="L1" s="262"/>
      <c r="M1" s="262"/>
      <c r="N1" s="262"/>
      <c r="O1" s="262"/>
      <c r="P1" s="262"/>
      <c r="Q1" s="26" t="s">
        <v>1761</v>
      </c>
      <c r="R1" s="26" t="s">
        <v>1855</v>
      </c>
      <c r="S1" s="26" t="s">
        <v>1526</v>
      </c>
    </row>
    <row r="2" spans="1:19" ht="15.75" customHeight="1">
      <c r="A2" s="294" t="s">
        <v>1856</v>
      </c>
      <c r="B2" s="262"/>
      <c r="C2" s="262"/>
      <c r="D2" s="262"/>
      <c r="E2" s="262"/>
      <c r="F2" s="262"/>
      <c r="G2" s="262"/>
      <c r="H2" s="262"/>
      <c r="I2" s="262"/>
      <c r="J2" s="262"/>
      <c r="K2" s="262"/>
      <c r="L2" s="262"/>
      <c r="M2" s="262"/>
      <c r="N2" s="262"/>
      <c r="O2" s="262"/>
      <c r="P2" s="262"/>
      <c r="Q2" s="262"/>
      <c r="R2" s="262"/>
    </row>
    <row r="4" spans="1:19" ht="15" customHeight="1">
      <c r="A4" s="297" t="s">
        <v>1857</v>
      </c>
      <c r="B4" s="262"/>
      <c r="C4" s="262"/>
      <c r="D4" s="262"/>
      <c r="E4" s="262"/>
      <c r="F4" s="262"/>
      <c r="G4" s="262"/>
      <c r="H4" s="262"/>
      <c r="I4" s="262"/>
      <c r="J4" s="262"/>
      <c r="K4" s="262"/>
      <c r="L4" s="262"/>
      <c r="M4" s="262"/>
      <c r="N4" s="262"/>
      <c r="O4" s="262"/>
      <c r="P4" s="262"/>
      <c r="Q4" s="262"/>
      <c r="R4" s="262"/>
    </row>
    <row r="6" spans="1:19" ht="24" customHeight="1">
      <c r="A6" s="296" t="s">
        <v>1858</v>
      </c>
      <c r="B6" s="262"/>
      <c r="C6" s="262"/>
      <c r="D6" s="262"/>
      <c r="E6" s="262"/>
      <c r="F6" s="262"/>
      <c r="G6" s="262"/>
      <c r="H6" s="262"/>
      <c r="I6" s="262"/>
      <c r="J6" s="262"/>
      <c r="K6" s="262"/>
      <c r="L6" s="262"/>
      <c r="M6" s="262"/>
      <c r="N6" s="262"/>
      <c r="O6" s="262"/>
      <c r="P6" s="262"/>
      <c r="Q6" s="262"/>
      <c r="R6" s="262"/>
    </row>
    <row r="7" spans="1:19" ht="24" customHeight="1">
      <c r="A7" s="56" t="s">
        <v>1859</v>
      </c>
      <c r="B7" s="56" t="s">
        <v>1537</v>
      </c>
      <c r="C7" s="56" t="s">
        <v>1860</v>
      </c>
      <c r="D7" s="56" t="s">
        <v>1861</v>
      </c>
      <c r="E7" s="56" t="s">
        <v>1862</v>
      </c>
      <c r="F7" s="56" t="s">
        <v>1863</v>
      </c>
      <c r="G7" s="56" t="s">
        <v>1864</v>
      </c>
      <c r="H7" s="56" t="s">
        <v>1865</v>
      </c>
      <c r="I7" s="56" t="s">
        <v>1866</v>
      </c>
    </row>
    <row r="8" spans="1:19" ht="15" customHeight="1">
      <c r="A8" s="34">
        <f>COUNTIF(C56:C115,"&lt;&gt;")</f>
        <v>0</v>
      </c>
      <c r="B8" s="34">
        <f>COUNTIF(AN56:AN115,"Actif")+COUNTIF(AN56:AN115,"En partenariat")</f>
        <v>0</v>
      </c>
      <c r="C8" s="34">
        <f>COUNTIF(AN56:AN115,"Prospect")</f>
        <v>0</v>
      </c>
      <c r="D8" s="34">
        <f>COUNTIF(AN56:AN115,"Inactif")</f>
        <v>0</v>
      </c>
      <c r="E8" s="34">
        <f>COUNTIF(F56:F115,"Partenaire technique")</f>
        <v>0</v>
      </c>
      <c r="F8" s="34">
        <f>COUNTIF(F56:F115,"Partenaire financier")</f>
        <v>0</v>
      </c>
      <c r="G8" s="34">
        <f>COUNTIF(F56:F115,"Partenaire institutionnel")</f>
        <v>0</v>
      </c>
      <c r="H8" s="34">
        <f>COUNTIF(tbl_Partenaires_Conventions[Statut],"Active")</f>
        <v>0</v>
      </c>
      <c r="I8" s="34">
        <f ca="1">COUNTIFS(tbl_Partenaires_Conventions[Statut],"Active",tbl_Partenaires_Conventions[Date fin],"&lt;="&amp;(TODAY()+60))</f>
        <v>0</v>
      </c>
    </row>
    <row r="10" spans="1:19" ht="24" customHeight="1">
      <c r="A10" s="296" t="s">
        <v>1644</v>
      </c>
      <c r="B10" s="262"/>
      <c r="C10" s="262"/>
      <c r="D10" s="262"/>
      <c r="E10" s="262"/>
      <c r="F10" s="262"/>
      <c r="G10" s="262"/>
      <c r="H10" s="262"/>
      <c r="I10" s="262"/>
      <c r="J10" s="262"/>
      <c r="K10" s="262"/>
      <c r="L10" s="262"/>
      <c r="M10" s="262"/>
      <c r="N10" s="262"/>
      <c r="O10" s="262"/>
      <c r="P10" s="262"/>
      <c r="Q10" s="262"/>
      <c r="R10" s="262"/>
    </row>
    <row r="11" spans="1:19" ht="24" customHeight="1">
      <c r="A11" s="56" t="s">
        <v>1867</v>
      </c>
      <c r="B11" s="56" t="s">
        <v>1868</v>
      </c>
      <c r="D11" s="56" t="s">
        <v>1728</v>
      </c>
      <c r="E11" s="56" t="s">
        <v>1868</v>
      </c>
      <c r="G11" s="56" t="s">
        <v>1869</v>
      </c>
      <c r="H11" s="56" t="s">
        <v>1868</v>
      </c>
    </row>
    <row r="12" spans="1:19" ht="15" customHeight="1">
      <c r="A12" s="68" t="s">
        <v>1870</v>
      </c>
      <c r="B12" s="69">
        <f>COUNTIF(tbl_Partenaires[Statut du partenaire],A12)</f>
        <v>0</v>
      </c>
      <c r="D12" s="68" t="s">
        <v>526</v>
      </c>
      <c r="E12" s="69">
        <f>COUNTIF(tbl_Partenaires[Type de partenaire],D12)</f>
        <v>0</v>
      </c>
      <c r="G12" s="68" t="s">
        <v>11</v>
      </c>
      <c r="H12" s="69">
        <f>COUNTIF(tbl_Partenaires[Domaine de collaboration principal],G12)</f>
        <v>0</v>
      </c>
    </row>
    <row r="13" spans="1:19" ht="15" customHeight="1">
      <c r="A13" s="68" t="s">
        <v>1871</v>
      </c>
      <c r="B13" s="69">
        <f>COUNTIF(tbl_Partenaires[Statut du partenaire],A13)</f>
        <v>0</v>
      </c>
      <c r="D13" s="68" t="s">
        <v>528</v>
      </c>
      <c r="E13" s="69">
        <f>COUNTIF(tbl_Partenaires[Type de partenaire],D13)</f>
        <v>0</v>
      </c>
      <c r="G13" s="68" t="s">
        <v>15</v>
      </c>
      <c r="H13" s="69">
        <f>COUNTIF(tbl_Partenaires[Domaine de collaboration principal],G13)</f>
        <v>0</v>
      </c>
    </row>
    <row r="14" spans="1:19" ht="15" customHeight="1">
      <c r="A14" s="68" t="s">
        <v>177</v>
      </c>
      <c r="B14" s="69">
        <f>COUNTIF(tbl_Partenaires[Statut du partenaire],A14)</f>
        <v>0</v>
      </c>
      <c r="D14" s="68" t="s">
        <v>530</v>
      </c>
      <c r="E14" s="69">
        <f>COUNTIF(tbl_Partenaires[Type de partenaire],D14)</f>
        <v>0</v>
      </c>
      <c r="G14" s="68" t="s">
        <v>19</v>
      </c>
      <c r="H14" s="69">
        <f>COUNTIF(tbl_Partenaires[Domaine de collaboration principal],G14)</f>
        <v>0</v>
      </c>
    </row>
    <row r="15" spans="1:19" ht="24" customHeight="1">
      <c r="A15" s="68" t="s">
        <v>1872</v>
      </c>
      <c r="B15" s="69">
        <f>COUNTIF(tbl_Partenaires[Statut du partenaire],A15)</f>
        <v>0</v>
      </c>
      <c r="D15" s="68" t="s">
        <v>532</v>
      </c>
      <c r="E15" s="69">
        <f>COUNTIF(tbl_Partenaires[Type de partenaire],D15)</f>
        <v>0</v>
      </c>
      <c r="G15" s="68" t="s">
        <v>24</v>
      </c>
      <c r="H15" s="69">
        <f>COUNTIF(tbl_Partenaires[Domaine de collaboration principal],G15)</f>
        <v>0</v>
      </c>
    </row>
    <row r="16" spans="1:19" ht="15" customHeight="1">
      <c r="A16" s="68" t="s">
        <v>21</v>
      </c>
      <c r="B16" s="69">
        <f>COUNTIF(tbl_Partenaires[Statut du partenaire],A16)</f>
        <v>0</v>
      </c>
      <c r="D16" s="68" t="s">
        <v>534</v>
      </c>
      <c r="E16" s="69">
        <f>COUNTIF(tbl_Partenaires[Type de partenaire],D16)</f>
        <v>0</v>
      </c>
      <c r="G16" s="68" t="s">
        <v>32</v>
      </c>
      <c r="H16" s="69">
        <f>COUNTIF(tbl_Partenaires[Domaine de collaboration principal],G16)</f>
        <v>0</v>
      </c>
    </row>
    <row r="17" spans="1:8" ht="24" customHeight="1">
      <c r="A17" s="68" t="s">
        <v>1108</v>
      </c>
      <c r="B17" s="69">
        <f>COUNTIF(tbl_Partenaires[Statut du partenaire],A17)</f>
        <v>0</v>
      </c>
      <c r="D17" s="68" t="s">
        <v>536</v>
      </c>
      <c r="E17" s="69">
        <f>COUNTIF(tbl_Partenaires[Type de partenaire],D17)</f>
        <v>0</v>
      </c>
      <c r="G17" s="68" t="s">
        <v>34</v>
      </c>
      <c r="H17" s="69">
        <f>COUNTIF(tbl_Partenaires[Domaine de collaboration principal],G17)</f>
        <v>0</v>
      </c>
    </row>
    <row r="18" spans="1:8" ht="15" customHeight="1">
      <c r="A18" s="68" t="s">
        <v>229</v>
      </c>
      <c r="B18" s="69">
        <f>COUNTIF(tbl_Partenaires[Statut du partenaire],A18)</f>
        <v>0</v>
      </c>
      <c r="D18" s="68" t="s">
        <v>538</v>
      </c>
      <c r="E18" s="69">
        <f>COUNTIF(tbl_Partenaires[Type de partenaire],D18)</f>
        <v>0</v>
      </c>
      <c r="G18" s="68" t="s">
        <v>36</v>
      </c>
      <c r="H18" s="69">
        <f>COUNTIF(tbl_Partenaires[Domaine de collaboration principal],G18)</f>
        <v>0</v>
      </c>
    </row>
    <row r="19" spans="1:8" ht="15" customHeight="1">
      <c r="A19" s="68" t="s">
        <v>1873</v>
      </c>
      <c r="B19" s="69">
        <f>COUNTIF(tbl_Partenaires[Statut du partenaire],A19)</f>
        <v>0</v>
      </c>
      <c r="D19" s="68" t="s">
        <v>540</v>
      </c>
      <c r="E19" s="69">
        <f>COUNTIF(tbl_Partenaires[Type de partenaire],D19)</f>
        <v>0</v>
      </c>
      <c r="G19" s="68" t="s">
        <v>38</v>
      </c>
      <c r="H19" s="69">
        <f>COUNTIF(tbl_Partenaires[Domaine de collaboration principal],G19)</f>
        <v>0</v>
      </c>
    </row>
    <row r="20" spans="1:8" ht="15" customHeight="1">
      <c r="A20" s="68" t="s">
        <v>383</v>
      </c>
      <c r="B20" s="69">
        <f>COUNTIF(tbl_Partenaires[Statut du partenaire],A20)</f>
        <v>0</v>
      </c>
      <c r="D20" s="68" t="s">
        <v>488</v>
      </c>
      <c r="E20" s="69">
        <f>COUNTIF(tbl_Partenaires[Type de partenaire],D20)</f>
        <v>0</v>
      </c>
      <c r="G20" s="68" t="s">
        <v>46</v>
      </c>
      <c r="H20" s="69">
        <f>COUNTIF(tbl_Partenaires[Domaine de collaboration principal],G20)</f>
        <v>0</v>
      </c>
    </row>
    <row r="21" spans="1:8" ht="24" customHeight="1">
      <c r="D21" s="68" t="s">
        <v>543</v>
      </c>
      <c r="E21" s="69">
        <f>COUNTIF(tbl_Partenaires[Type de partenaire],D21)</f>
        <v>0</v>
      </c>
      <c r="G21" s="68" t="s">
        <v>48</v>
      </c>
      <c r="H21" s="69">
        <f>COUNTIF(tbl_Partenaires[Domaine de collaboration principal],G21)</f>
        <v>0</v>
      </c>
    </row>
    <row r="22" spans="1:8" ht="15" customHeight="1">
      <c r="D22" s="68" t="s">
        <v>545</v>
      </c>
      <c r="E22" s="69">
        <f>COUNTIF(tbl_Partenaires[Type de partenaire],D22)</f>
        <v>0</v>
      </c>
      <c r="G22" s="68" t="s">
        <v>50</v>
      </c>
      <c r="H22" s="69">
        <f>COUNTIF(tbl_Partenaires[Domaine de collaboration principal],G22)</f>
        <v>0</v>
      </c>
    </row>
    <row r="23" spans="1:8" ht="15" customHeight="1">
      <c r="D23" s="68" t="s">
        <v>547</v>
      </c>
      <c r="E23" s="69">
        <f>COUNTIF(tbl_Partenaires[Type de partenaire],D23)</f>
        <v>0</v>
      </c>
      <c r="G23" s="68" t="s">
        <v>52</v>
      </c>
      <c r="H23" s="69">
        <f>COUNTIF(tbl_Partenaires[Domaine de collaboration principal],G23)</f>
        <v>0</v>
      </c>
    </row>
    <row r="24" spans="1:8" ht="24" customHeight="1">
      <c r="D24" s="68" t="s">
        <v>549</v>
      </c>
      <c r="E24" s="69">
        <f>COUNTIF(tbl_Partenaires[Type de partenaire],D24)</f>
        <v>0</v>
      </c>
      <c r="G24" s="68" t="s">
        <v>53</v>
      </c>
      <c r="H24" s="69">
        <f>COUNTIF(tbl_Partenaires[Domaine de collaboration principal],G24)</f>
        <v>0</v>
      </c>
    </row>
    <row r="25" spans="1:8" ht="24" customHeight="1">
      <c r="D25" s="68" t="s">
        <v>551</v>
      </c>
      <c r="E25" s="69">
        <f>COUNTIF(tbl_Partenaires[Type de partenaire],D25)</f>
        <v>0</v>
      </c>
      <c r="G25" s="68" t="s">
        <v>60</v>
      </c>
      <c r="H25" s="69">
        <f>COUNTIF(tbl_Partenaires[Domaine de collaboration principal],G25)</f>
        <v>0</v>
      </c>
    </row>
    <row r="26" spans="1:8" ht="24" customHeight="1">
      <c r="D26" s="68" t="s">
        <v>490</v>
      </c>
      <c r="E26" s="69">
        <f>COUNTIF(tbl_Partenaires[Type de partenaire],D26)</f>
        <v>0</v>
      </c>
      <c r="G26" s="68" t="s">
        <v>61</v>
      </c>
      <c r="H26" s="69">
        <f>COUNTIF(tbl_Partenaires[Domaine de collaboration principal],G26)</f>
        <v>0</v>
      </c>
    </row>
    <row r="27" spans="1:8" ht="24" customHeight="1">
      <c r="D27" s="68" t="s">
        <v>554</v>
      </c>
      <c r="E27" s="69">
        <f>COUNTIF(tbl_Partenaires[Type de partenaire],D27)</f>
        <v>0</v>
      </c>
      <c r="G27" s="68" t="s">
        <v>62</v>
      </c>
      <c r="H27" s="69">
        <f>COUNTIF(tbl_Partenaires[Domaine de collaboration principal],G27)</f>
        <v>0</v>
      </c>
    </row>
    <row r="28" spans="1:8" ht="15" customHeight="1">
      <c r="D28" s="68" t="s">
        <v>556</v>
      </c>
      <c r="E28" s="69">
        <f>COUNTIF(tbl_Partenaires[Type de partenaire],D28)</f>
        <v>0</v>
      </c>
      <c r="G28" s="68" t="s">
        <v>63</v>
      </c>
      <c r="H28" s="69">
        <f>COUNTIF(tbl_Partenaires[Domaine de collaboration principal],G28)</f>
        <v>0</v>
      </c>
    </row>
    <row r="29" spans="1:8" ht="24" customHeight="1">
      <c r="D29" s="68" t="s">
        <v>558</v>
      </c>
      <c r="E29" s="69">
        <f>COUNTIF(tbl_Partenaires[Type de partenaire],D29)</f>
        <v>0</v>
      </c>
      <c r="G29" s="68" t="s">
        <v>64</v>
      </c>
      <c r="H29" s="69">
        <f>COUNTIF(tbl_Partenaires[Domaine de collaboration principal],G29)</f>
        <v>0</v>
      </c>
    </row>
    <row r="30" spans="1:8" ht="24" customHeight="1">
      <c r="D30" s="68" t="s">
        <v>383</v>
      </c>
      <c r="E30" s="69">
        <f>COUNTIF(tbl_Partenaires[Type de partenaire],D30)</f>
        <v>0</v>
      </c>
      <c r="G30" s="68" t="s">
        <v>67</v>
      </c>
      <c r="H30" s="69">
        <f>COUNTIF(tbl_Partenaires[Domaine de collaboration principal],G30)</f>
        <v>0</v>
      </c>
    </row>
    <row r="31" spans="1:8" ht="15" customHeight="1">
      <c r="G31" s="68" t="s">
        <v>68</v>
      </c>
      <c r="H31" s="69">
        <f>COUNTIF(tbl_Partenaires[Domaine de collaboration principal],G31)</f>
        <v>0</v>
      </c>
    </row>
    <row r="32" spans="1:8" ht="24" customHeight="1">
      <c r="G32" s="68" t="s">
        <v>69</v>
      </c>
      <c r="H32" s="69">
        <f>COUNTIF(tbl_Partenaires[Domaine de collaboration principal],G32)</f>
        <v>0</v>
      </c>
    </row>
    <row r="33" spans="7:8" ht="24" customHeight="1">
      <c r="G33" s="68" t="s">
        <v>70</v>
      </c>
      <c r="H33" s="69">
        <f>COUNTIF(tbl_Partenaires[Domaine de collaboration principal],G33)</f>
        <v>0</v>
      </c>
    </row>
    <row r="34" spans="7:8" ht="24" customHeight="1">
      <c r="G34" s="68" t="s">
        <v>71</v>
      </c>
      <c r="H34" s="69">
        <f>COUNTIF(tbl_Partenaires[Domaine de collaboration principal],G34)</f>
        <v>0</v>
      </c>
    </row>
    <row r="35" spans="7:8" ht="15" customHeight="1">
      <c r="G35" s="68" t="s">
        <v>72</v>
      </c>
      <c r="H35" s="69">
        <f>COUNTIF(tbl_Partenaires[Domaine de collaboration principal],G35)</f>
        <v>0</v>
      </c>
    </row>
    <row r="36" spans="7:8" ht="24" customHeight="1">
      <c r="G36" s="68" t="s">
        <v>73</v>
      </c>
      <c r="H36" s="69">
        <f>COUNTIF(tbl_Partenaires[Domaine de collaboration principal],G36)</f>
        <v>0</v>
      </c>
    </row>
    <row r="37" spans="7:8" ht="24" customHeight="1">
      <c r="G37" s="68" t="s">
        <v>74</v>
      </c>
      <c r="H37" s="69">
        <f>COUNTIF(tbl_Partenaires[Domaine de collaboration principal],G37)</f>
        <v>0</v>
      </c>
    </row>
    <row r="38" spans="7:8" ht="24" customHeight="1">
      <c r="G38" s="68" t="s">
        <v>75</v>
      </c>
      <c r="H38" s="69">
        <f>COUNTIF(tbl_Partenaires[Domaine de collaboration principal],G38)</f>
        <v>0</v>
      </c>
    </row>
    <row r="39" spans="7:8" ht="24" customHeight="1">
      <c r="G39" s="68" t="s">
        <v>76</v>
      </c>
      <c r="H39" s="69">
        <f>COUNTIF(tbl_Partenaires[Domaine de collaboration principal],G39)</f>
        <v>0</v>
      </c>
    </row>
    <row r="40" spans="7:8" ht="15" customHeight="1">
      <c r="G40" s="68" t="s">
        <v>77</v>
      </c>
      <c r="H40" s="69">
        <f>COUNTIF(tbl_Partenaires[Domaine de collaboration principal],G40)</f>
        <v>0</v>
      </c>
    </row>
    <row r="41" spans="7:8" ht="24" customHeight="1">
      <c r="G41" s="68" t="s">
        <v>78</v>
      </c>
      <c r="H41" s="69">
        <f>COUNTIF(tbl_Partenaires[Domaine de collaboration principal],G41)</f>
        <v>0</v>
      </c>
    </row>
    <row r="42" spans="7:8" ht="24" customHeight="1">
      <c r="G42" s="68" t="s">
        <v>79</v>
      </c>
      <c r="H42" s="69">
        <f>COUNTIF(tbl_Partenaires[Domaine de collaboration principal],G42)</f>
        <v>0</v>
      </c>
    </row>
    <row r="43" spans="7:8" ht="15" customHeight="1">
      <c r="G43" s="68" t="s">
        <v>80</v>
      </c>
      <c r="H43" s="69">
        <f>COUNTIF(tbl_Partenaires[Domaine de collaboration principal],G43)</f>
        <v>0</v>
      </c>
    </row>
    <row r="44" spans="7:8" ht="24" customHeight="1">
      <c r="G44" s="68" t="s">
        <v>81</v>
      </c>
      <c r="H44" s="69">
        <f>COUNTIF(tbl_Partenaires[Domaine de collaboration principal],G44)</f>
        <v>0</v>
      </c>
    </row>
    <row r="45" spans="7:8" ht="24" customHeight="1">
      <c r="G45" s="68" t="s">
        <v>83</v>
      </c>
      <c r="H45" s="69">
        <f>COUNTIF(tbl_Partenaires[Domaine de collaboration principal],G45)</f>
        <v>0</v>
      </c>
    </row>
    <row r="46" spans="7:8" ht="36" customHeight="1">
      <c r="G46" s="68" t="s">
        <v>88</v>
      </c>
      <c r="H46" s="69">
        <f>COUNTIF(tbl_Partenaires[Domaine de collaboration principal],G46)</f>
        <v>0</v>
      </c>
    </row>
    <row r="47" spans="7:8" ht="24" customHeight="1">
      <c r="G47" s="68" t="s">
        <v>91</v>
      </c>
      <c r="H47" s="69">
        <f>COUNTIF(tbl_Partenaires[Domaine de collaboration principal],G47)</f>
        <v>0</v>
      </c>
    </row>
    <row r="48" spans="7:8" ht="24" customHeight="1">
      <c r="G48" s="68" t="s">
        <v>94</v>
      </c>
      <c r="H48" s="69">
        <f>COUNTIF(tbl_Partenaires[Domaine de collaboration principal],G48)</f>
        <v>0</v>
      </c>
    </row>
    <row r="49" spans="1:71" ht="24" customHeight="1">
      <c r="G49" s="68" t="s">
        <v>96</v>
      </c>
      <c r="H49" s="69">
        <f>COUNTIF(tbl_Partenaires[Domaine de collaboration principal],G49)</f>
        <v>0</v>
      </c>
    </row>
    <row r="50" spans="1:71" ht="24" customHeight="1">
      <c r="G50" s="68" t="s">
        <v>98</v>
      </c>
      <c r="H50" s="69">
        <f>COUNTIF(tbl_Partenaires[Domaine de collaboration principal],G50)</f>
        <v>0</v>
      </c>
    </row>
    <row r="51" spans="1:71" ht="15" customHeight="1">
      <c r="G51" s="68" t="s">
        <v>100</v>
      </c>
      <c r="H51" s="69">
        <f>COUNTIF(tbl_Partenaires[Domaine de collaboration principal],G51)</f>
        <v>0</v>
      </c>
    </row>
    <row r="54" spans="1:71" ht="15.75" customHeight="1">
      <c r="A54" s="296" t="s">
        <v>1874</v>
      </c>
      <c r="B54" s="262"/>
      <c r="C54" s="262"/>
      <c r="D54" s="262"/>
      <c r="E54" s="262"/>
      <c r="F54" s="262"/>
      <c r="G54" s="262"/>
      <c r="H54" s="262"/>
      <c r="I54" s="262"/>
      <c r="J54" s="262"/>
      <c r="K54" s="262"/>
      <c r="L54" s="262"/>
      <c r="M54" s="262"/>
      <c r="N54" s="262"/>
      <c r="O54" s="262"/>
      <c r="P54" s="262"/>
      <c r="Q54" s="262"/>
      <c r="R54" s="262"/>
      <c r="S54" s="262"/>
      <c r="T54" s="262"/>
      <c r="U54" s="262"/>
      <c r="V54" s="262"/>
      <c r="W54" s="262"/>
      <c r="X54" s="262"/>
      <c r="Y54" s="262"/>
      <c r="Z54" s="262"/>
      <c r="AA54" s="262"/>
      <c r="AB54" s="262"/>
      <c r="AC54" s="262"/>
      <c r="AD54" s="262"/>
      <c r="AE54" s="262"/>
      <c r="AF54" s="262"/>
      <c r="AG54" s="262"/>
      <c r="AH54" s="262"/>
      <c r="AI54" s="262"/>
      <c r="AJ54" s="262"/>
      <c r="AK54" s="262"/>
      <c r="AL54" s="262"/>
      <c r="AM54" s="262"/>
      <c r="AN54" s="262"/>
      <c r="AO54" s="262"/>
      <c r="AP54" s="262"/>
      <c r="AQ54" s="262"/>
      <c r="AR54" s="262"/>
      <c r="AS54" s="262"/>
      <c r="AT54" s="262"/>
      <c r="AU54" s="262"/>
      <c r="AV54" s="262"/>
      <c r="AW54" s="262"/>
      <c r="AX54" s="262"/>
      <c r="AY54" s="262"/>
      <c r="AZ54" s="262"/>
      <c r="BA54" s="262"/>
      <c r="BB54" s="262"/>
      <c r="BC54" s="262"/>
      <c r="BD54" s="262"/>
      <c r="BE54" s="262"/>
      <c r="BF54" s="262"/>
      <c r="BG54" s="262"/>
      <c r="BH54" s="262"/>
      <c r="BI54" s="262"/>
      <c r="BJ54" s="262"/>
      <c r="BK54" s="262"/>
      <c r="BL54" s="262"/>
      <c r="BM54" s="262"/>
      <c r="BN54" s="262"/>
      <c r="BO54" s="262"/>
      <c r="BP54" s="262"/>
      <c r="BQ54" s="262"/>
      <c r="BR54" s="262"/>
      <c r="BS54" s="262"/>
    </row>
    <row r="55" spans="1:71" ht="30" customHeight="1">
      <c r="A55" s="32" t="s">
        <v>1875</v>
      </c>
      <c r="B55" s="32" t="s">
        <v>1649</v>
      </c>
      <c r="C55" s="32" t="s">
        <v>1876</v>
      </c>
      <c r="D55" s="32" t="s">
        <v>1337</v>
      </c>
      <c r="E55" s="32" t="s">
        <v>1335</v>
      </c>
      <c r="F55" s="32" t="s">
        <v>1728</v>
      </c>
      <c r="G55" s="32" t="s">
        <v>1877</v>
      </c>
      <c r="H55" s="32" t="s">
        <v>1355</v>
      </c>
      <c r="I55" s="32" t="s">
        <v>1878</v>
      </c>
      <c r="J55" s="32" t="s">
        <v>1347</v>
      </c>
      <c r="K55" s="32" t="s">
        <v>1445</v>
      </c>
      <c r="L55" s="32" t="s">
        <v>252</v>
      </c>
      <c r="M55" s="32" t="s">
        <v>1879</v>
      </c>
      <c r="N55" s="32" t="s">
        <v>1880</v>
      </c>
      <c r="O55" s="32" t="s">
        <v>1881</v>
      </c>
      <c r="P55" s="32" t="s">
        <v>1882</v>
      </c>
      <c r="Q55" s="32" t="s">
        <v>1883</v>
      </c>
      <c r="R55" s="32" t="s">
        <v>1884</v>
      </c>
      <c r="S55" s="32" t="s">
        <v>1581</v>
      </c>
      <c r="T55" s="32" t="s">
        <v>1582</v>
      </c>
      <c r="U55" s="32" t="s">
        <v>1885</v>
      </c>
      <c r="V55" s="32" t="s">
        <v>1354</v>
      </c>
      <c r="W55" s="32" t="s">
        <v>1886</v>
      </c>
      <c r="X55" s="32" t="s">
        <v>1887</v>
      </c>
      <c r="Y55" s="32" t="s">
        <v>1888</v>
      </c>
      <c r="Z55" s="32" t="s">
        <v>1889</v>
      </c>
      <c r="AA55" s="32" t="s">
        <v>1890</v>
      </c>
      <c r="AB55" s="32" t="s">
        <v>1891</v>
      </c>
      <c r="AC55" s="32" t="s">
        <v>1892</v>
      </c>
      <c r="AD55" s="32" t="s">
        <v>1893</v>
      </c>
      <c r="AE55" s="32" t="s">
        <v>1894</v>
      </c>
      <c r="AF55" s="32" t="s">
        <v>1895</v>
      </c>
      <c r="AG55" s="32" t="s">
        <v>1896</v>
      </c>
      <c r="AH55" s="32" t="s">
        <v>1897</v>
      </c>
      <c r="AI55" s="32" t="s">
        <v>1898</v>
      </c>
      <c r="AJ55" s="32" t="s">
        <v>1899</v>
      </c>
      <c r="AK55" s="32" t="s">
        <v>1900</v>
      </c>
      <c r="AL55" s="32" t="s">
        <v>1901</v>
      </c>
      <c r="AM55" s="32" t="s">
        <v>1902</v>
      </c>
      <c r="AN55" s="32" t="s">
        <v>1867</v>
      </c>
      <c r="AO55" s="32" t="s">
        <v>1903</v>
      </c>
      <c r="AP55" s="32" t="s">
        <v>1904</v>
      </c>
      <c r="AQ55" s="32" t="s">
        <v>1905</v>
      </c>
      <c r="AR55" s="32" t="s">
        <v>1906</v>
      </c>
      <c r="AS55" s="32" t="s">
        <v>1907</v>
      </c>
      <c r="AT55" s="32" t="s">
        <v>1908</v>
      </c>
      <c r="AU55" s="32" t="s">
        <v>1909</v>
      </c>
      <c r="AV55" s="32" t="s">
        <v>1865</v>
      </c>
      <c r="AW55" s="32" t="s">
        <v>1910</v>
      </c>
      <c r="AX55" s="32" t="s">
        <v>1911</v>
      </c>
      <c r="AY55" s="32" t="s">
        <v>1912</v>
      </c>
      <c r="AZ55" s="32" t="s">
        <v>1913</v>
      </c>
      <c r="BA55" s="32" t="s">
        <v>1914</v>
      </c>
      <c r="BB55" s="32" t="s">
        <v>1915</v>
      </c>
      <c r="BC55" s="32" t="s">
        <v>1916</v>
      </c>
      <c r="BD55" s="32" t="s">
        <v>1917</v>
      </c>
      <c r="BE55" s="32" t="s">
        <v>1918</v>
      </c>
      <c r="BF55" s="32" t="s">
        <v>1919</v>
      </c>
      <c r="BG55" s="32" t="s">
        <v>1920</v>
      </c>
      <c r="BH55" s="32" t="s">
        <v>1921</v>
      </c>
      <c r="BI55" s="32" t="s">
        <v>1922</v>
      </c>
      <c r="BJ55" s="32" t="s">
        <v>1923</v>
      </c>
      <c r="BK55" s="32" t="s">
        <v>1448</v>
      </c>
      <c r="BL55" s="32" t="s">
        <v>1449</v>
      </c>
      <c r="BM55" s="32" t="s">
        <v>1450</v>
      </c>
      <c r="BN55" s="32" t="s">
        <v>1451</v>
      </c>
      <c r="BO55" s="32" t="s">
        <v>1924</v>
      </c>
      <c r="BP55" s="32" t="s">
        <v>1925</v>
      </c>
      <c r="BQ55" s="32" t="s">
        <v>1926</v>
      </c>
      <c r="BR55" s="32" t="s">
        <v>1927</v>
      </c>
      <c r="BS55" s="32" t="s">
        <v>1611</v>
      </c>
    </row>
    <row r="56" spans="1:71" ht="15" customHeight="1">
      <c r="A56" s="34" t="str">
        <f t="shared" ref="A56:A87" si="0">IF(C56="","","PART"&amp;TEXT(ROW()-55,"00000"))</f>
        <v/>
      </c>
      <c r="B56" s="57"/>
      <c r="C56" s="57"/>
      <c r="D56" s="57"/>
      <c r="E56" s="57"/>
      <c r="F56" s="57"/>
      <c r="G56" s="57"/>
      <c r="H56" s="57"/>
      <c r="I56" s="57"/>
      <c r="J56" s="70"/>
      <c r="K56" s="57"/>
      <c r="L56" s="57"/>
      <c r="M56" s="57"/>
      <c r="N56" s="34" t="str">
        <f>IFERROR(INDEX(PARAMETRES!$B$536:$B$586,MATCH(M56,PARAMETRES!$J$536:$J$586,0)),"")</f>
        <v/>
      </c>
      <c r="O56" s="34" t="str">
        <f>IFERROR(INDEX(PARAMETRES!$D$536:$D$586,MATCH(M56,PARAMETRES!$J$536:$J$586,0)),"")</f>
        <v/>
      </c>
      <c r="P56" s="34" t="str">
        <f>IFERROR(INDEX(PARAMETRES!$F$536:$F$586,MATCH(M56,PARAMETRES!$J$536:$J$586,0)),"")</f>
        <v/>
      </c>
      <c r="Q56" s="34" t="str">
        <f>IFERROR(INDEX(PARAMETRES!$H$536:$H$586,MATCH(M56,PARAMETRES!$J$536:$J$586,0)),"")</f>
        <v/>
      </c>
      <c r="R56" s="57"/>
      <c r="S56" s="57"/>
      <c r="T56" s="57"/>
      <c r="U56" s="57"/>
      <c r="V56" s="57"/>
      <c r="W56" s="57"/>
      <c r="X56" s="57"/>
      <c r="Y56" s="57"/>
      <c r="Z56" s="57"/>
      <c r="AA56" s="57"/>
      <c r="AB56" s="57"/>
      <c r="AC56" s="50"/>
      <c r="AD56" s="57"/>
      <c r="AE56" s="57"/>
      <c r="AF56" s="57"/>
      <c r="AG56" s="57"/>
      <c r="AH56" s="34" t="str">
        <f>IFERROR(INDEX(PARAMETRES!$B$536:$B$586,MATCH(AG56,PARAMETRES!$J$536:$J$586,0)),"")</f>
        <v/>
      </c>
      <c r="AI56" s="34" t="str">
        <f>IFERROR(INDEX(PARAMETRES!$D$536:$D$586,MATCH(AG56,PARAMETRES!$J$536:$J$586,0)),"")</f>
        <v/>
      </c>
      <c r="AJ56" s="34" t="str">
        <f>IFERROR(INDEX(PARAMETRES!$F$536:$F$586,MATCH(AG56,PARAMETRES!$J$536:$J$586,0)),"")</f>
        <v/>
      </c>
      <c r="AK56" s="34" t="str">
        <f>IFERROR(INDEX(PARAMETRES!$H$536:$H$586,MATCH(AG56,PARAMETRES!$J$536:$J$586,0)),"")</f>
        <v/>
      </c>
      <c r="AL56" s="50"/>
      <c r="AM56" s="50"/>
      <c r="AN56" s="57"/>
      <c r="AO56" s="57"/>
      <c r="AP56" s="51"/>
      <c r="AQ56" s="51"/>
      <c r="AR56" s="52" t="str">
        <f t="shared" ref="AR56:AR87" si="1">IF(OR(AP56="",AQ56=""),"",AP56-AQ56)</f>
        <v/>
      </c>
      <c r="AS56" s="57"/>
      <c r="AT56" s="34">
        <f>IF(A56="",0,COUNTIF(tbl_Partenaires_Projets[ID Partenaire],A56))</f>
        <v>0</v>
      </c>
      <c r="AU56" s="34">
        <f>IF(A56="",0,COUNTIF(tbl_Partenaires_Conventions[ID Partenaire],A56))</f>
        <v>0</v>
      </c>
      <c r="AV56" s="34">
        <f>IF(A56="",0,COUNTIFS(tbl_Partenaires_Conventions[ID Partenaire],A56,tbl_Partenaires_Conventions[Statut],"Active"))</f>
        <v>0</v>
      </c>
      <c r="AW56" s="34" t="str">
        <f ca="1">IF(A56="","",IF(COUNTIFS(tbl_Partenaires_Conventions[ID Partenaire],A56,tbl_Partenaires_Conventions[Statut],"Active")=0,"NON",IF(_xlfn.MINIFS(tbl_Partenaires_Conventions[Date fin],tbl_Partenaires_Conventions[ID Partenaire],A56,tbl_Partenaires_Conventions[Statut],"Active")-TODAY()&lt;=60,"OUI","NON")))</f>
        <v/>
      </c>
      <c r="AX56" s="34">
        <f>IF(A56="",0,COUNTIF(tbl_Partenaires_Documents[ID Partenaire],A56))</f>
        <v>0</v>
      </c>
      <c r="AY56" s="63" t="str">
        <f>IFERROR(AVERAGEIFS(tbl_Partenaires_Evaluations[Note globale],tbl_Partenaires_Evaluations[ID Partenaire],A56),"")</f>
        <v/>
      </c>
      <c r="AZ56" s="71" t="str">
        <f ca="1">IFERROR(_xlfn.MAXIFS(tbl_Partenaires_Evaluations[Date evaluation],tbl_Partenaires_Evaluations[ID Partenaire],A56),"")</f>
        <v/>
      </c>
      <c r="BA56" s="34">
        <f>IF(A56="",0,COUNTIF(tbl_Partenaires_Risques[ID Partenaire],A56))</f>
        <v>0</v>
      </c>
      <c r="BB56" s="34" t="str">
        <f>IF(A56="","",IF(COUNTIFS(tbl_Partenaires_Risques[ID Partenaire],A56,tbl_Partenaires_Risques[Niveau],"Eleve")+COUNTIFS(tbl_Partenaires_Risques[ID Partenaire],A56,tbl_Partenaires_Risques[Niveau],"Critique")&gt;0,"OUI","NON"))</f>
        <v/>
      </c>
      <c r="BC56" s="34">
        <f>IF(A56="",0,COUNTIF(tbl_Partenaires_Contacts[ID Partenaire],A56))</f>
        <v>0</v>
      </c>
      <c r="BD56" s="34">
        <f>IF(A56="",0,COUNTIFS(tbl_Partenaires_Opportunites[ID Partenaire],A56,tbl_Partenaires_Opportunites[Statut],"&lt;&gt;Cloturee"))</f>
        <v>0</v>
      </c>
      <c r="BE56" s="34">
        <f>IF(A56="",0,COUNTIF(tbl_Partenaires_Prospection[ID Partenaire],A56))</f>
        <v>0</v>
      </c>
      <c r="BF56" s="57"/>
      <c r="BG56" s="57"/>
      <c r="BH56" s="57"/>
      <c r="BI56" s="57"/>
      <c r="BJ56" s="57"/>
      <c r="BK56" s="57"/>
      <c r="BL56" s="57"/>
      <c r="BM56" s="57"/>
      <c r="BN56" s="57"/>
      <c r="BO56" s="57"/>
      <c r="BP56" s="57"/>
      <c r="BQ56" s="57"/>
      <c r="BR56" s="34" t="str">
        <f>IF(C56="","",IF(OR(COUNTIF(C56:C115,C56)&gt;1,AND(E56&lt;&gt;"",COUNTIF(E56:E115,E56)&gt;1),AND(S56&lt;&gt;"",COUNTIF(S56:S115,S56)&gt;1),AND(U56&lt;&gt;"",COUNTIF(U56:U115,U56)&gt;1)),"OUI","NON"))</f>
        <v/>
      </c>
      <c r="BS56" s="57"/>
    </row>
    <row r="57" spans="1:71" ht="15" customHeight="1">
      <c r="A57" s="34" t="str">
        <f t="shared" si="0"/>
        <v/>
      </c>
      <c r="B57" s="57"/>
      <c r="C57" s="57"/>
      <c r="D57" s="57"/>
      <c r="E57" s="57"/>
      <c r="F57" s="57"/>
      <c r="G57" s="57"/>
      <c r="H57" s="57"/>
      <c r="I57" s="57"/>
      <c r="J57" s="70"/>
      <c r="K57" s="57"/>
      <c r="L57" s="57"/>
      <c r="M57" s="57"/>
      <c r="N57" s="34" t="str">
        <f>IFERROR(INDEX(PARAMETRES!$B$536:$B$586,MATCH(M57,PARAMETRES!$J$536:$J$586,0)),"")</f>
        <v/>
      </c>
      <c r="O57" s="34" t="str">
        <f>IFERROR(INDEX(PARAMETRES!$D$536:$D$586,MATCH(M57,PARAMETRES!$J$536:$J$586,0)),"")</f>
        <v/>
      </c>
      <c r="P57" s="34" t="str">
        <f>IFERROR(INDEX(PARAMETRES!$F$536:$F$586,MATCH(M57,PARAMETRES!$J$536:$J$586,0)),"")</f>
        <v/>
      </c>
      <c r="Q57" s="34" t="str">
        <f>IFERROR(INDEX(PARAMETRES!$H$536:$H$586,MATCH(M57,PARAMETRES!$J$536:$J$586,0)),"")</f>
        <v/>
      </c>
      <c r="R57" s="57"/>
      <c r="S57" s="57"/>
      <c r="T57" s="57"/>
      <c r="U57" s="57"/>
      <c r="V57" s="57"/>
      <c r="W57" s="57"/>
      <c r="X57" s="57"/>
      <c r="Y57" s="57"/>
      <c r="Z57" s="57"/>
      <c r="AA57" s="57"/>
      <c r="AB57" s="57"/>
      <c r="AC57" s="50"/>
      <c r="AD57" s="57"/>
      <c r="AE57" s="57"/>
      <c r="AF57" s="57"/>
      <c r="AG57" s="57"/>
      <c r="AH57" s="34" t="str">
        <f>IFERROR(INDEX(PARAMETRES!$B$536:$B$586,MATCH(AG57,PARAMETRES!$J$536:$J$586,0)),"")</f>
        <v/>
      </c>
      <c r="AI57" s="34" t="str">
        <f>IFERROR(INDEX(PARAMETRES!$D$536:$D$586,MATCH(AG57,PARAMETRES!$J$536:$J$586,0)),"")</f>
        <v/>
      </c>
      <c r="AJ57" s="34" t="str">
        <f>IFERROR(INDEX(PARAMETRES!$F$536:$F$586,MATCH(AG57,PARAMETRES!$J$536:$J$586,0)),"")</f>
        <v/>
      </c>
      <c r="AK57" s="34" t="str">
        <f>IFERROR(INDEX(PARAMETRES!$H$536:$H$586,MATCH(AG57,PARAMETRES!$J$536:$J$586,0)),"")</f>
        <v/>
      </c>
      <c r="AL57" s="50"/>
      <c r="AM57" s="50"/>
      <c r="AN57" s="57"/>
      <c r="AO57" s="57"/>
      <c r="AP57" s="51"/>
      <c r="AQ57" s="51"/>
      <c r="AR57" s="52" t="str">
        <f t="shared" si="1"/>
        <v/>
      </c>
      <c r="AS57" s="57"/>
      <c r="AT57" s="34">
        <f>IF(A57="",0,COUNTIF(tbl_Partenaires_Projets[ID Partenaire],A57))</f>
        <v>0</v>
      </c>
      <c r="AU57" s="34">
        <f>IF(A57="",0,COUNTIF(tbl_Partenaires_Conventions[ID Partenaire],A57))</f>
        <v>0</v>
      </c>
      <c r="AV57" s="34">
        <f>IF(A57="",0,COUNTIFS(tbl_Partenaires_Conventions[ID Partenaire],A57,tbl_Partenaires_Conventions[Statut],"Active"))</f>
        <v>0</v>
      </c>
      <c r="AW57" s="34" t="str">
        <f ca="1">IF(A57="","",IF(COUNTIFS(tbl_Partenaires_Conventions[ID Partenaire],A57,tbl_Partenaires_Conventions[Statut],"Active")=0,"NON",IF(_xlfn.MINIFS(tbl_Partenaires_Conventions[Date fin],tbl_Partenaires_Conventions[ID Partenaire],A57,tbl_Partenaires_Conventions[Statut],"Active")-TODAY()&lt;=60,"OUI","NON")))</f>
        <v/>
      </c>
      <c r="AX57" s="34">
        <f>IF(A57="",0,COUNTIF(tbl_Partenaires_Documents[ID Partenaire],A57))</f>
        <v>0</v>
      </c>
      <c r="AY57" s="63" t="str">
        <f>IFERROR(AVERAGEIFS(tbl_Partenaires_Evaluations[Note globale],tbl_Partenaires_Evaluations[ID Partenaire],A57),"")</f>
        <v/>
      </c>
      <c r="AZ57" s="71" t="str">
        <f ca="1">IFERROR(_xlfn.MAXIFS(tbl_Partenaires_Evaluations[Date evaluation],tbl_Partenaires_Evaluations[ID Partenaire],A57),"")</f>
        <v/>
      </c>
      <c r="BA57" s="34">
        <f>IF(A57="",0,COUNTIF(tbl_Partenaires_Risques[ID Partenaire],A57))</f>
        <v>0</v>
      </c>
      <c r="BB57" s="34" t="str">
        <f>IF(A57="","",IF(COUNTIFS(tbl_Partenaires_Risques[ID Partenaire],A57,tbl_Partenaires_Risques[Niveau],"Eleve")+COUNTIFS(tbl_Partenaires_Risques[ID Partenaire],A57,tbl_Partenaires_Risques[Niveau],"Critique")&gt;0,"OUI","NON"))</f>
        <v/>
      </c>
      <c r="BC57" s="34">
        <f>IF(A57="",0,COUNTIF(tbl_Partenaires_Contacts[ID Partenaire],A57))</f>
        <v>0</v>
      </c>
      <c r="BD57" s="34">
        <f>IF(A57="",0,COUNTIFS(tbl_Partenaires_Opportunites[ID Partenaire],A57,tbl_Partenaires_Opportunites[Statut],"&lt;&gt;Cloturee"))</f>
        <v>0</v>
      </c>
      <c r="BE57" s="34">
        <f>IF(A57="",0,COUNTIF(tbl_Partenaires_Prospection[ID Partenaire],A57))</f>
        <v>0</v>
      </c>
      <c r="BF57" s="57"/>
      <c r="BG57" s="57"/>
      <c r="BH57" s="57"/>
      <c r="BI57" s="57"/>
      <c r="BJ57" s="57"/>
      <c r="BK57" s="57"/>
      <c r="BL57" s="57"/>
      <c r="BM57" s="57"/>
      <c r="BN57" s="57"/>
      <c r="BO57" s="57"/>
      <c r="BP57" s="57"/>
      <c r="BQ57" s="57"/>
      <c r="BR57" s="34" t="str">
        <f>IF(C57="","",IF(OR(COUNTIF(C56:C115,C57)&gt;1,AND(E57&lt;&gt;"",COUNTIF(E56:E115,E57)&gt;1),AND(S57&lt;&gt;"",COUNTIF(S56:S115,S57)&gt;1),AND(U57&lt;&gt;"",COUNTIF(U56:U115,U57)&gt;1)),"OUI","NON"))</f>
        <v/>
      </c>
      <c r="BS57" s="57"/>
    </row>
    <row r="58" spans="1:71" ht="15" customHeight="1">
      <c r="A58" s="34" t="str">
        <f t="shared" si="0"/>
        <v/>
      </c>
      <c r="B58" s="57"/>
      <c r="C58" s="57"/>
      <c r="D58" s="57"/>
      <c r="E58" s="57"/>
      <c r="F58" s="57"/>
      <c r="G58" s="57"/>
      <c r="H58" s="57"/>
      <c r="I58" s="57"/>
      <c r="J58" s="70"/>
      <c r="K58" s="57"/>
      <c r="L58" s="57"/>
      <c r="M58" s="57"/>
      <c r="N58" s="34" t="str">
        <f>IFERROR(INDEX(PARAMETRES!$B$536:$B$586,MATCH(M58,PARAMETRES!$J$536:$J$586,0)),"")</f>
        <v/>
      </c>
      <c r="O58" s="34" t="str">
        <f>IFERROR(INDEX(PARAMETRES!$D$536:$D$586,MATCH(M58,PARAMETRES!$J$536:$J$586,0)),"")</f>
        <v/>
      </c>
      <c r="P58" s="34" t="str">
        <f>IFERROR(INDEX(PARAMETRES!$F$536:$F$586,MATCH(M58,PARAMETRES!$J$536:$J$586,0)),"")</f>
        <v/>
      </c>
      <c r="Q58" s="34" t="str">
        <f>IFERROR(INDEX(PARAMETRES!$H$536:$H$586,MATCH(M58,PARAMETRES!$J$536:$J$586,0)),"")</f>
        <v/>
      </c>
      <c r="R58" s="57"/>
      <c r="S58" s="57"/>
      <c r="T58" s="57"/>
      <c r="U58" s="57"/>
      <c r="V58" s="57"/>
      <c r="W58" s="57"/>
      <c r="X58" s="57"/>
      <c r="Y58" s="57"/>
      <c r="Z58" s="57"/>
      <c r="AA58" s="57"/>
      <c r="AB58" s="57"/>
      <c r="AC58" s="50"/>
      <c r="AD58" s="57"/>
      <c r="AE58" s="57"/>
      <c r="AF58" s="57"/>
      <c r="AG58" s="57"/>
      <c r="AH58" s="34" t="str">
        <f>IFERROR(INDEX(PARAMETRES!$B$536:$B$586,MATCH(AG58,PARAMETRES!$J$536:$J$586,0)),"")</f>
        <v/>
      </c>
      <c r="AI58" s="34" t="str">
        <f>IFERROR(INDEX(PARAMETRES!$D$536:$D$586,MATCH(AG58,PARAMETRES!$J$536:$J$586,0)),"")</f>
        <v/>
      </c>
      <c r="AJ58" s="34" t="str">
        <f>IFERROR(INDEX(PARAMETRES!$F$536:$F$586,MATCH(AG58,PARAMETRES!$J$536:$J$586,0)),"")</f>
        <v/>
      </c>
      <c r="AK58" s="34" t="str">
        <f>IFERROR(INDEX(PARAMETRES!$H$536:$H$586,MATCH(AG58,PARAMETRES!$J$536:$J$586,0)),"")</f>
        <v/>
      </c>
      <c r="AL58" s="50"/>
      <c r="AM58" s="50"/>
      <c r="AN58" s="57"/>
      <c r="AO58" s="57"/>
      <c r="AP58" s="51"/>
      <c r="AQ58" s="51"/>
      <c r="AR58" s="52" t="str">
        <f t="shared" si="1"/>
        <v/>
      </c>
      <c r="AS58" s="57"/>
      <c r="AT58" s="34">
        <f>IF(A58="",0,COUNTIF(tbl_Partenaires_Projets[ID Partenaire],A58))</f>
        <v>0</v>
      </c>
      <c r="AU58" s="34">
        <f>IF(A58="",0,COUNTIF(tbl_Partenaires_Conventions[ID Partenaire],A58))</f>
        <v>0</v>
      </c>
      <c r="AV58" s="34">
        <f>IF(A58="",0,COUNTIFS(tbl_Partenaires_Conventions[ID Partenaire],A58,tbl_Partenaires_Conventions[Statut],"Active"))</f>
        <v>0</v>
      </c>
      <c r="AW58" s="34" t="str">
        <f ca="1">IF(A58="","",IF(COUNTIFS(tbl_Partenaires_Conventions[ID Partenaire],A58,tbl_Partenaires_Conventions[Statut],"Active")=0,"NON",IF(_xlfn.MINIFS(tbl_Partenaires_Conventions[Date fin],tbl_Partenaires_Conventions[ID Partenaire],A58,tbl_Partenaires_Conventions[Statut],"Active")-TODAY()&lt;=60,"OUI","NON")))</f>
        <v/>
      </c>
      <c r="AX58" s="34">
        <f>IF(A58="",0,COUNTIF(tbl_Partenaires_Documents[ID Partenaire],A58))</f>
        <v>0</v>
      </c>
      <c r="AY58" s="63" t="str">
        <f>IFERROR(AVERAGEIFS(tbl_Partenaires_Evaluations[Note globale],tbl_Partenaires_Evaluations[ID Partenaire],A58),"")</f>
        <v/>
      </c>
      <c r="AZ58" s="71" t="str">
        <f ca="1">IFERROR(_xlfn.MAXIFS(tbl_Partenaires_Evaluations[Date evaluation],tbl_Partenaires_Evaluations[ID Partenaire],A58),"")</f>
        <v/>
      </c>
      <c r="BA58" s="34">
        <f>IF(A58="",0,COUNTIF(tbl_Partenaires_Risques[ID Partenaire],A58))</f>
        <v>0</v>
      </c>
      <c r="BB58" s="34" t="str">
        <f>IF(A58="","",IF(COUNTIFS(tbl_Partenaires_Risques[ID Partenaire],A58,tbl_Partenaires_Risques[Niveau],"Eleve")+COUNTIFS(tbl_Partenaires_Risques[ID Partenaire],A58,tbl_Partenaires_Risques[Niveau],"Critique")&gt;0,"OUI","NON"))</f>
        <v/>
      </c>
      <c r="BC58" s="34">
        <f>IF(A58="",0,COUNTIF(tbl_Partenaires_Contacts[ID Partenaire],A58))</f>
        <v>0</v>
      </c>
      <c r="BD58" s="34">
        <f>IF(A58="",0,COUNTIFS(tbl_Partenaires_Opportunites[ID Partenaire],A58,tbl_Partenaires_Opportunites[Statut],"&lt;&gt;Cloturee"))</f>
        <v>0</v>
      </c>
      <c r="BE58" s="34">
        <f>IF(A58="",0,COUNTIF(tbl_Partenaires_Prospection[ID Partenaire],A58))</f>
        <v>0</v>
      </c>
      <c r="BF58" s="57"/>
      <c r="BG58" s="57"/>
      <c r="BH58" s="57"/>
      <c r="BI58" s="57"/>
      <c r="BJ58" s="57"/>
      <c r="BK58" s="57"/>
      <c r="BL58" s="57"/>
      <c r="BM58" s="57"/>
      <c r="BN58" s="57"/>
      <c r="BO58" s="57"/>
      <c r="BP58" s="57"/>
      <c r="BQ58" s="57"/>
      <c r="BR58" s="34" t="str">
        <f>IF(C58="","",IF(OR(COUNTIF(C56:C115,C58)&gt;1,AND(E58&lt;&gt;"",COUNTIF(E56:E115,E58)&gt;1),AND(S58&lt;&gt;"",COUNTIF(S56:S115,S58)&gt;1),AND(U58&lt;&gt;"",COUNTIF(U56:U115,U58)&gt;1)),"OUI","NON"))</f>
        <v/>
      </c>
      <c r="BS58" s="57"/>
    </row>
    <row r="59" spans="1:71" ht="15" customHeight="1">
      <c r="A59" s="34" t="str">
        <f t="shared" si="0"/>
        <v/>
      </c>
      <c r="B59" s="57"/>
      <c r="C59" s="57"/>
      <c r="D59" s="57"/>
      <c r="E59" s="57"/>
      <c r="F59" s="57"/>
      <c r="G59" s="57"/>
      <c r="H59" s="57"/>
      <c r="I59" s="57"/>
      <c r="J59" s="70"/>
      <c r="K59" s="57"/>
      <c r="L59" s="57"/>
      <c r="M59" s="57"/>
      <c r="N59" s="34" t="str">
        <f>IFERROR(INDEX(PARAMETRES!$B$536:$B$586,MATCH(M59,PARAMETRES!$J$536:$J$586,0)),"")</f>
        <v/>
      </c>
      <c r="O59" s="34" t="str">
        <f>IFERROR(INDEX(PARAMETRES!$D$536:$D$586,MATCH(M59,PARAMETRES!$J$536:$J$586,0)),"")</f>
        <v/>
      </c>
      <c r="P59" s="34" t="str">
        <f>IFERROR(INDEX(PARAMETRES!$F$536:$F$586,MATCH(M59,PARAMETRES!$J$536:$J$586,0)),"")</f>
        <v/>
      </c>
      <c r="Q59" s="34" t="str">
        <f>IFERROR(INDEX(PARAMETRES!$H$536:$H$586,MATCH(M59,PARAMETRES!$J$536:$J$586,0)),"")</f>
        <v/>
      </c>
      <c r="R59" s="57"/>
      <c r="S59" s="57"/>
      <c r="T59" s="57"/>
      <c r="U59" s="57"/>
      <c r="V59" s="57"/>
      <c r="W59" s="57"/>
      <c r="X59" s="57"/>
      <c r="Y59" s="57"/>
      <c r="Z59" s="57"/>
      <c r="AA59" s="57"/>
      <c r="AB59" s="57"/>
      <c r="AC59" s="50"/>
      <c r="AD59" s="57"/>
      <c r="AE59" s="57"/>
      <c r="AF59" s="57"/>
      <c r="AG59" s="57"/>
      <c r="AH59" s="34" t="str">
        <f>IFERROR(INDEX(PARAMETRES!$B$536:$B$586,MATCH(AG59,PARAMETRES!$J$536:$J$586,0)),"")</f>
        <v/>
      </c>
      <c r="AI59" s="34" t="str">
        <f>IFERROR(INDEX(PARAMETRES!$D$536:$D$586,MATCH(AG59,PARAMETRES!$J$536:$J$586,0)),"")</f>
        <v/>
      </c>
      <c r="AJ59" s="34" t="str">
        <f>IFERROR(INDEX(PARAMETRES!$F$536:$F$586,MATCH(AG59,PARAMETRES!$J$536:$J$586,0)),"")</f>
        <v/>
      </c>
      <c r="AK59" s="34" t="str">
        <f>IFERROR(INDEX(PARAMETRES!$H$536:$H$586,MATCH(AG59,PARAMETRES!$J$536:$J$586,0)),"")</f>
        <v/>
      </c>
      <c r="AL59" s="50"/>
      <c r="AM59" s="50"/>
      <c r="AN59" s="57"/>
      <c r="AO59" s="57"/>
      <c r="AP59" s="51"/>
      <c r="AQ59" s="51"/>
      <c r="AR59" s="52" t="str">
        <f t="shared" si="1"/>
        <v/>
      </c>
      <c r="AS59" s="57"/>
      <c r="AT59" s="34">
        <f>IF(A59="",0,COUNTIF(tbl_Partenaires_Projets[ID Partenaire],A59))</f>
        <v>0</v>
      </c>
      <c r="AU59" s="34">
        <f>IF(A59="",0,COUNTIF(tbl_Partenaires_Conventions[ID Partenaire],A59))</f>
        <v>0</v>
      </c>
      <c r="AV59" s="34">
        <f>IF(A59="",0,COUNTIFS(tbl_Partenaires_Conventions[ID Partenaire],A59,tbl_Partenaires_Conventions[Statut],"Active"))</f>
        <v>0</v>
      </c>
      <c r="AW59" s="34" t="str">
        <f ca="1">IF(A59="","",IF(COUNTIFS(tbl_Partenaires_Conventions[ID Partenaire],A59,tbl_Partenaires_Conventions[Statut],"Active")=0,"NON",IF(_xlfn.MINIFS(tbl_Partenaires_Conventions[Date fin],tbl_Partenaires_Conventions[ID Partenaire],A59,tbl_Partenaires_Conventions[Statut],"Active")-TODAY()&lt;=60,"OUI","NON")))</f>
        <v/>
      </c>
      <c r="AX59" s="34">
        <f>IF(A59="",0,COUNTIF(tbl_Partenaires_Documents[ID Partenaire],A59))</f>
        <v>0</v>
      </c>
      <c r="AY59" s="63" t="str">
        <f>IFERROR(AVERAGEIFS(tbl_Partenaires_Evaluations[Note globale],tbl_Partenaires_Evaluations[ID Partenaire],A59),"")</f>
        <v/>
      </c>
      <c r="AZ59" s="71" t="str">
        <f ca="1">IFERROR(_xlfn.MAXIFS(tbl_Partenaires_Evaluations[Date evaluation],tbl_Partenaires_Evaluations[ID Partenaire],A59),"")</f>
        <v/>
      </c>
      <c r="BA59" s="34">
        <f>IF(A59="",0,COUNTIF(tbl_Partenaires_Risques[ID Partenaire],A59))</f>
        <v>0</v>
      </c>
      <c r="BB59" s="34" t="str">
        <f>IF(A59="","",IF(COUNTIFS(tbl_Partenaires_Risques[ID Partenaire],A59,tbl_Partenaires_Risques[Niveau],"Eleve")+COUNTIFS(tbl_Partenaires_Risques[ID Partenaire],A59,tbl_Partenaires_Risques[Niveau],"Critique")&gt;0,"OUI","NON"))</f>
        <v/>
      </c>
      <c r="BC59" s="34">
        <f>IF(A59="",0,COUNTIF(tbl_Partenaires_Contacts[ID Partenaire],A59))</f>
        <v>0</v>
      </c>
      <c r="BD59" s="34">
        <f>IF(A59="",0,COUNTIFS(tbl_Partenaires_Opportunites[ID Partenaire],A59,tbl_Partenaires_Opportunites[Statut],"&lt;&gt;Cloturee"))</f>
        <v>0</v>
      </c>
      <c r="BE59" s="34">
        <f>IF(A59="",0,COUNTIF(tbl_Partenaires_Prospection[ID Partenaire],A59))</f>
        <v>0</v>
      </c>
      <c r="BF59" s="57"/>
      <c r="BG59" s="57"/>
      <c r="BH59" s="57"/>
      <c r="BI59" s="57"/>
      <c r="BJ59" s="57"/>
      <c r="BK59" s="57"/>
      <c r="BL59" s="57"/>
      <c r="BM59" s="57"/>
      <c r="BN59" s="57"/>
      <c r="BO59" s="57"/>
      <c r="BP59" s="57"/>
      <c r="BQ59" s="57"/>
      <c r="BR59" s="34" t="str">
        <f>IF(C59="","",IF(OR(COUNTIF(C56:C115,C59)&gt;1,AND(E59&lt;&gt;"",COUNTIF(E56:E115,E59)&gt;1),AND(S59&lt;&gt;"",COUNTIF(S56:S115,S59)&gt;1),AND(U59&lt;&gt;"",COUNTIF(U56:U115,U59)&gt;1)),"OUI","NON"))</f>
        <v/>
      </c>
      <c r="BS59" s="57"/>
    </row>
    <row r="60" spans="1:71" ht="15" customHeight="1">
      <c r="A60" s="34" t="str">
        <f t="shared" si="0"/>
        <v/>
      </c>
      <c r="B60" s="57"/>
      <c r="C60" s="57"/>
      <c r="D60" s="57"/>
      <c r="E60" s="57"/>
      <c r="F60" s="57"/>
      <c r="G60" s="57"/>
      <c r="H60" s="57"/>
      <c r="I60" s="57"/>
      <c r="J60" s="70"/>
      <c r="K60" s="57"/>
      <c r="L60" s="57"/>
      <c r="M60" s="57"/>
      <c r="N60" s="34" t="str">
        <f>IFERROR(INDEX(PARAMETRES!$B$536:$B$586,MATCH(M60,PARAMETRES!$J$536:$J$586,0)),"")</f>
        <v/>
      </c>
      <c r="O60" s="34" t="str">
        <f>IFERROR(INDEX(PARAMETRES!$D$536:$D$586,MATCH(M60,PARAMETRES!$J$536:$J$586,0)),"")</f>
        <v/>
      </c>
      <c r="P60" s="34" t="str">
        <f>IFERROR(INDEX(PARAMETRES!$F$536:$F$586,MATCH(M60,PARAMETRES!$J$536:$J$586,0)),"")</f>
        <v/>
      </c>
      <c r="Q60" s="34" t="str">
        <f>IFERROR(INDEX(PARAMETRES!$H$536:$H$586,MATCH(M60,PARAMETRES!$J$536:$J$586,0)),"")</f>
        <v/>
      </c>
      <c r="R60" s="57"/>
      <c r="S60" s="57"/>
      <c r="T60" s="57"/>
      <c r="U60" s="57"/>
      <c r="V60" s="57"/>
      <c r="W60" s="57"/>
      <c r="X60" s="57"/>
      <c r="Y60" s="57"/>
      <c r="Z60" s="57"/>
      <c r="AA60" s="57"/>
      <c r="AB60" s="57"/>
      <c r="AC60" s="50"/>
      <c r="AD60" s="57"/>
      <c r="AE60" s="57"/>
      <c r="AF60" s="57"/>
      <c r="AG60" s="57"/>
      <c r="AH60" s="34" t="str">
        <f>IFERROR(INDEX(PARAMETRES!$B$536:$B$586,MATCH(AG60,PARAMETRES!$J$536:$J$586,0)),"")</f>
        <v/>
      </c>
      <c r="AI60" s="34" t="str">
        <f>IFERROR(INDEX(PARAMETRES!$D$536:$D$586,MATCH(AG60,PARAMETRES!$J$536:$J$586,0)),"")</f>
        <v/>
      </c>
      <c r="AJ60" s="34" t="str">
        <f>IFERROR(INDEX(PARAMETRES!$F$536:$F$586,MATCH(AG60,PARAMETRES!$J$536:$J$586,0)),"")</f>
        <v/>
      </c>
      <c r="AK60" s="34" t="str">
        <f>IFERROR(INDEX(PARAMETRES!$H$536:$H$586,MATCH(AG60,PARAMETRES!$J$536:$J$586,0)),"")</f>
        <v/>
      </c>
      <c r="AL60" s="50"/>
      <c r="AM60" s="50"/>
      <c r="AN60" s="57"/>
      <c r="AO60" s="57"/>
      <c r="AP60" s="51"/>
      <c r="AQ60" s="51"/>
      <c r="AR60" s="52" t="str">
        <f t="shared" si="1"/>
        <v/>
      </c>
      <c r="AS60" s="57"/>
      <c r="AT60" s="34">
        <f>IF(A60="",0,COUNTIF(tbl_Partenaires_Projets[ID Partenaire],A60))</f>
        <v>0</v>
      </c>
      <c r="AU60" s="34">
        <f>IF(A60="",0,COUNTIF(tbl_Partenaires_Conventions[ID Partenaire],A60))</f>
        <v>0</v>
      </c>
      <c r="AV60" s="34">
        <f>IF(A60="",0,COUNTIFS(tbl_Partenaires_Conventions[ID Partenaire],A60,tbl_Partenaires_Conventions[Statut],"Active"))</f>
        <v>0</v>
      </c>
      <c r="AW60" s="34" t="str">
        <f ca="1">IF(A60="","",IF(COUNTIFS(tbl_Partenaires_Conventions[ID Partenaire],A60,tbl_Partenaires_Conventions[Statut],"Active")=0,"NON",IF(_xlfn.MINIFS(tbl_Partenaires_Conventions[Date fin],tbl_Partenaires_Conventions[ID Partenaire],A60,tbl_Partenaires_Conventions[Statut],"Active")-TODAY()&lt;=60,"OUI","NON")))</f>
        <v/>
      </c>
      <c r="AX60" s="34">
        <f>IF(A60="",0,COUNTIF(tbl_Partenaires_Documents[ID Partenaire],A60))</f>
        <v>0</v>
      </c>
      <c r="AY60" s="63" t="str">
        <f>IFERROR(AVERAGEIFS(tbl_Partenaires_Evaluations[Note globale],tbl_Partenaires_Evaluations[ID Partenaire],A60),"")</f>
        <v/>
      </c>
      <c r="AZ60" s="71" t="str">
        <f ca="1">IFERROR(_xlfn.MAXIFS(tbl_Partenaires_Evaluations[Date evaluation],tbl_Partenaires_Evaluations[ID Partenaire],A60),"")</f>
        <v/>
      </c>
      <c r="BA60" s="34">
        <f>IF(A60="",0,COUNTIF(tbl_Partenaires_Risques[ID Partenaire],A60))</f>
        <v>0</v>
      </c>
      <c r="BB60" s="34" t="str">
        <f>IF(A60="","",IF(COUNTIFS(tbl_Partenaires_Risques[ID Partenaire],A60,tbl_Partenaires_Risques[Niveau],"Eleve")+COUNTIFS(tbl_Partenaires_Risques[ID Partenaire],A60,tbl_Partenaires_Risques[Niveau],"Critique")&gt;0,"OUI","NON"))</f>
        <v/>
      </c>
      <c r="BC60" s="34">
        <f>IF(A60="",0,COUNTIF(tbl_Partenaires_Contacts[ID Partenaire],A60))</f>
        <v>0</v>
      </c>
      <c r="BD60" s="34">
        <f>IF(A60="",0,COUNTIFS(tbl_Partenaires_Opportunites[ID Partenaire],A60,tbl_Partenaires_Opportunites[Statut],"&lt;&gt;Cloturee"))</f>
        <v>0</v>
      </c>
      <c r="BE60" s="34">
        <f>IF(A60="",0,COUNTIF(tbl_Partenaires_Prospection[ID Partenaire],A60))</f>
        <v>0</v>
      </c>
      <c r="BF60" s="57"/>
      <c r="BG60" s="57"/>
      <c r="BH60" s="57"/>
      <c r="BI60" s="57"/>
      <c r="BJ60" s="57"/>
      <c r="BK60" s="57"/>
      <c r="BL60" s="57"/>
      <c r="BM60" s="57"/>
      <c r="BN60" s="57"/>
      <c r="BO60" s="57"/>
      <c r="BP60" s="57"/>
      <c r="BQ60" s="57"/>
      <c r="BR60" s="34" t="str">
        <f>IF(C60="","",IF(OR(COUNTIF(C56:C115,C60)&gt;1,AND(E60&lt;&gt;"",COUNTIF(E56:E115,E60)&gt;1),AND(S60&lt;&gt;"",COUNTIF(S56:S115,S60)&gt;1),AND(U60&lt;&gt;"",COUNTIF(U56:U115,U60)&gt;1)),"OUI","NON"))</f>
        <v/>
      </c>
      <c r="BS60" s="57"/>
    </row>
    <row r="61" spans="1:71" ht="15" customHeight="1">
      <c r="A61" s="34" t="str">
        <f t="shared" si="0"/>
        <v/>
      </c>
      <c r="B61" s="57"/>
      <c r="C61" s="57"/>
      <c r="D61" s="57"/>
      <c r="E61" s="57"/>
      <c r="F61" s="57"/>
      <c r="G61" s="57"/>
      <c r="H61" s="57"/>
      <c r="I61" s="57"/>
      <c r="J61" s="70"/>
      <c r="K61" s="57"/>
      <c r="L61" s="57"/>
      <c r="M61" s="57"/>
      <c r="N61" s="34" t="str">
        <f>IFERROR(INDEX(PARAMETRES!$B$536:$B$586,MATCH(M61,PARAMETRES!$J$536:$J$586,0)),"")</f>
        <v/>
      </c>
      <c r="O61" s="34" t="str">
        <f>IFERROR(INDEX(PARAMETRES!$D$536:$D$586,MATCH(M61,PARAMETRES!$J$536:$J$586,0)),"")</f>
        <v/>
      </c>
      <c r="P61" s="34" t="str">
        <f>IFERROR(INDEX(PARAMETRES!$F$536:$F$586,MATCH(M61,PARAMETRES!$J$536:$J$586,0)),"")</f>
        <v/>
      </c>
      <c r="Q61" s="34" t="str">
        <f>IFERROR(INDEX(PARAMETRES!$H$536:$H$586,MATCH(M61,PARAMETRES!$J$536:$J$586,0)),"")</f>
        <v/>
      </c>
      <c r="R61" s="57"/>
      <c r="S61" s="57"/>
      <c r="T61" s="57"/>
      <c r="U61" s="57"/>
      <c r="V61" s="57"/>
      <c r="W61" s="57"/>
      <c r="X61" s="57"/>
      <c r="Y61" s="57"/>
      <c r="Z61" s="57"/>
      <c r="AA61" s="57"/>
      <c r="AB61" s="57"/>
      <c r="AC61" s="50"/>
      <c r="AD61" s="57"/>
      <c r="AE61" s="57"/>
      <c r="AF61" s="57"/>
      <c r="AG61" s="57"/>
      <c r="AH61" s="34" t="str">
        <f>IFERROR(INDEX(PARAMETRES!$B$536:$B$586,MATCH(AG61,PARAMETRES!$J$536:$J$586,0)),"")</f>
        <v/>
      </c>
      <c r="AI61" s="34" t="str">
        <f>IFERROR(INDEX(PARAMETRES!$D$536:$D$586,MATCH(AG61,PARAMETRES!$J$536:$J$586,0)),"")</f>
        <v/>
      </c>
      <c r="AJ61" s="34" t="str">
        <f>IFERROR(INDEX(PARAMETRES!$F$536:$F$586,MATCH(AG61,PARAMETRES!$J$536:$J$586,0)),"")</f>
        <v/>
      </c>
      <c r="AK61" s="34" t="str">
        <f>IFERROR(INDEX(PARAMETRES!$H$536:$H$586,MATCH(AG61,PARAMETRES!$J$536:$J$586,0)),"")</f>
        <v/>
      </c>
      <c r="AL61" s="50"/>
      <c r="AM61" s="50"/>
      <c r="AN61" s="57"/>
      <c r="AO61" s="57"/>
      <c r="AP61" s="51"/>
      <c r="AQ61" s="51"/>
      <c r="AR61" s="52" t="str">
        <f t="shared" si="1"/>
        <v/>
      </c>
      <c r="AS61" s="57"/>
      <c r="AT61" s="34">
        <f>IF(A61="",0,COUNTIF(tbl_Partenaires_Projets[ID Partenaire],A61))</f>
        <v>0</v>
      </c>
      <c r="AU61" s="34">
        <f>IF(A61="",0,COUNTIF(tbl_Partenaires_Conventions[ID Partenaire],A61))</f>
        <v>0</v>
      </c>
      <c r="AV61" s="34">
        <f>IF(A61="",0,COUNTIFS(tbl_Partenaires_Conventions[ID Partenaire],A61,tbl_Partenaires_Conventions[Statut],"Active"))</f>
        <v>0</v>
      </c>
      <c r="AW61" s="34" t="str">
        <f ca="1">IF(A61="","",IF(COUNTIFS(tbl_Partenaires_Conventions[ID Partenaire],A61,tbl_Partenaires_Conventions[Statut],"Active")=0,"NON",IF(_xlfn.MINIFS(tbl_Partenaires_Conventions[Date fin],tbl_Partenaires_Conventions[ID Partenaire],A61,tbl_Partenaires_Conventions[Statut],"Active")-TODAY()&lt;=60,"OUI","NON")))</f>
        <v/>
      </c>
      <c r="AX61" s="34">
        <f>IF(A61="",0,COUNTIF(tbl_Partenaires_Documents[ID Partenaire],A61))</f>
        <v>0</v>
      </c>
      <c r="AY61" s="63" t="str">
        <f>IFERROR(AVERAGEIFS(tbl_Partenaires_Evaluations[Note globale],tbl_Partenaires_Evaluations[ID Partenaire],A61),"")</f>
        <v/>
      </c>
      <c r="AZ61" s="71" t="str">
        <f ca="1">IFERROR(_xlfn.MAXIFS(tbl_Partenaires_Evaluations[Date evaluation],tbl_Partenaires_Evaluations[ID Partenaire],A61),"")</f>
        <v/>
      </c>
      <c r="BA61" s="34">
        <f>IF(A61="",0,COUNTIF(tbl_Partenaires_Risques[ID Partenaire],A61))</f>
        <v>0</v>
      </c>
      <c r="BB61" s="34" t="str">
        <f>IF(A61="","",IF(COUNTIFS(tbl_Partenaires_Risques[ID Partenaire],A61,tbl_Partenaires_Risques[Niveau],"Eleve")+COUNTIFS(tbl_Partenaires_Risques[ID Partenaire],A61,tbl_Partenaires_Risques[Niveau],"Critique")&gt;0,"OUI","NON"))</f>
        <v/>
      </c>
      <c r="BC61" s="34">
        <f>IF(A61="",0,COUNTIF(tbl_Partenaires_Contacts[ID Partenaire],A61))</f>
        <v>0</v>
      </c>
      <c r="BD61" s="34">
        <f>IF(A61="",0,COUNTIFS(tbl_Partenaires_Opportunites[ID Partenaire],A61,tbl_Partenaires_Opportunites[Statut],"&lt;&gt;Cloturee"))</f>
        <v>0</v>
      </c>
      <c r="BE61" s="34">
        <f>IF(A61="",0,COUNTIF(tbl_Partenaires_Prospection[ID Partenaire],A61))</f>
        <v>0</v>
      </c>
      <c r="BF61" s="57"/>
      <c r="BG61" s="57"/>
      <c r="BH61" s="57"/>
      <c r="BI61" s="57"/>
      <c r="BJ61" s="57"/>
      <c r="BK61" s="57"/>
      <c r="BL61" s="57"/>
      <c r="BM61" s="57"/>
      <c r="BN61" s="57"/>
      <c r="BO61" s="57"/>
      <c r="BP61" s="57"/>
      <c r="BQ61" s="57"/>
      <c r="BR61" s="34" t="str">
        <f>IF(C61="","",IF(OR(COUNTIF(C56:C115,C61)&gt;1,AND(E61&lt;&gt;"",COUNTIF(E56:E115,E61)&gt;1),AND(S61&lt;&gt;"",COUNTIF(S56:S115,S61)&gt;1),AND(U61&lt;&gt;"",COUNTIF(U56:U115,U61)&gt;1)),"OUI","NON"))</f>
        <v/>
      </c>
      <c r="BS61" s="57"/>
    </row>
    <row r="62" spans="1:71" ht="15" customHeight="1">
      <c r="A62" s="34" t="str">
        <f t="shared" si="0"/>
        <v/>
      </c>
      <c r="B62" s="57"/>
      <c r="C62" s="57"/>
      <c r="D62" s="57"/>
      <c r="E62" s="57"/>
      <c r="F62" s="57"/>
      <c r="G62" s="57"/>
      <c r="H62" s="57"/>
      <c r="I62" s="57"/>
      <c r="J62" s="70"/>
      <c r="K62" s="57"/>
      <c r="L62" s="57"/>
      <c r="M62" s="57"/>
      <c r="N62" s="34" t="str">
        <f>IFERROR(INDEX(PARAMETRES!$B$536:$B$586,MATCH(M62,PARAMETRES!$J$536:$J$586,0)),"")</f>
        <v/>
      </c>
      <c r="O62" s="34" t="str">
        <f>IFERROR(INDEX(PARAMETRES!$D$536:$D$586,MATCH(M62,PARAMETRES!$J$536:$J$586,0)),"")</f>
        <v/>
      </c>
      <c r="P62" s="34" t="str">
        <f>IFERROR(INDEX(PARAMETRES!$F$536:$F$586,MATCH(M62,PARAMETRES!$J$536:$J$586,0)),"")</f>
        <v/>
      </c>
      <c r="Q62" s="34" t="str">
        <f>IFERROR(INDEX(PARAMETRES!$H$536:$H$586,MATCH(M62,PARAMETRES!$J$536:$J$586,0)),"")</f>
        <v/>
      </c>
      <c r="R62" s="57"/>
      <c r="S62" s="57"/>
      <c r="T62" s="57"/>
      <c r="U62" s="57"/>
      <c r="V62" s="57"/>
      <c r="W62" s="57"/>
      <c r="X62" s="57"/>
      <c r="Y62" s="57"/>
      <c r="Z62" s="57"/>
      <c r="AA62" s="57"/>
      <c r="AB62" s="57"/>
      <c r="AC62" s="50"/>
      <c r="AD62" s="57"/>
      <c r="AE62" s="57"/>
      <c r="AF62" s="57"/>
      <c r="AG62" s="57"/>
      <c r="AH62" s="34" t="str">
        <f>IFERROR(INDEX(PARAMETRES!$B$536:$B$586,MATCH(AG62,PARAMETRES!$J$536:$J$586,0)),"")</f>
        <v/>
      </c>
      <c r="AI62" s="34" t="str">
        <f>IFERROR(INDEX(PARAMETRES!$D$536:$D$586,MATCH(AG62,PARAMETRES!$J$536:$J$586,0)),"")</f>
        <v/>
      </c>
      <c r="AJ62" s="34" t="str">
        <f>IFERROR(INDEX(PARAMETRES!$F$536:$F$586,MATCH(AG62,PARAMETRES!$J$536:$J$586,0)),"")</f>
        <v/>
      </c>
      <c r="AK62" s="34" t="str">
        <f>IFERROR(INDEX(PARAMETRES!$H$536:$H$586,MATCH(AG62,PARAMETRES!$J$536:$J$586,0)),"")</f>
        <v/>
      </c>
      <c r="AL62" s="50"/>
      <c r="AM62" s="50"/>
      <c r="AN62" s="57"/>
      <c r="AO62" s="57"/>
      <c r="AP62" s="51"/>
      <c r="AQ62" s="51"/>
      <c r="AR62" s="52" t="str">
        <f t="shared" si="1"/>
        <v/>
      </c>
      <c r="AS62" s="57"/>
      <c r="AT62" s="34">
        <f>IF(A62="",0,COUNTIF(tbl_Partenaires_Projets[ID Partenaire],A62))</f>
        <v>0</v>
      </c>
      <c r="AU62" s="34">
        <f>IF(A62="",0,COUNTIF(tbl_Partenaires_Conventions[ID Partenaire],A62))</f>
        <v>0</v>
      </c>
      <c r="AV62" s="34">
        <f>IF(A62="",0,COUNTIFS(tbl_Partenaires_Conventions[ID Partenaire],A62,tbl_Partenaires_Conventions[Statut],"Active"))</f>
        <v>0</v>
      </c>
      <c r="AW62" s="34" t="str">
        <f ca="1">IF(A62="","",IF(COUNTIFS(tbl_Partenaires_Conventions[ID Partenaire],A62,tbl_Partenaires_Conventions[Statut],"Active")=0,"NON",IF(_xlfn.MINIFS(tbl_Partenaires_Conventions[Date fin],tbl_Partenaires_Conventions[ID Partenaire],A62,tbl_Partenaires_Conventions[Statut],"Active")-TODAY()&lt;=60,"OUI","NON")))</f>
        <v/>
      </c>
      <c r="AX62" s="34">
        <f>IF(A62="",0,COUNTIF(tbl_Partenaires_Documents[ID Partenaire],A62))</f>
        <v>0</v>
      </c>
      <c r="AY62" s="63" t="str">
        <f>IFERROR(AVERAGEIFS(tbl_Partenaires_Evaluations[Note globale],tbl_Partenaires_Evaluations[ID Partenaire],A62),"")</f>
        <v/>
      </c>
      <c r="AZ62" s="71" t="str">
        <f ca="1">IFERROR(_xlfn.MAXIFS(tbl_Partenaires_Evaluations[Date evaluation],tbl_Partenaires_Evaluations[ID Partenaire],A62),"")</f>
        <v/>
      </c>
      <c r="BA62" s="34">
        <f>IF(A62="",0,COUNTIF(tbl_Partenaires_Risques[ID Partenaire],A62))</f>
        <v>0</v>
      </c>
      <c r="BB62" s="34" t="str">
        <f>IF(A62="","",IF(COUNTIFS(tbl_Partenaires_Risques[ID Partenaire],A62,tbl_Partenaires_Risques[Niveau],"Eleve")+COUNTIFS(tbl_Partenaires_Risques[ID Partenaire],A62,tbl_Partenaires_Risques[Niveau],"Critique")&gt;0,"OUI","NON"))</f>
        <v/>
      </c>
      <c r="BC62" s="34">
        <f>IF(A62="",0,COUNTIF(tbl_Partenaires_Contacts[ID Partenaire],A62))</f>
        <v>0</v>
      </c>
      <c r="BD62" s="34">
        <f>IF(A62="",0,COUNTIFS(tbl_Partenaires_Opportunites[ID Partenaire],A62,tbl_Partenaires_Opportunites[Statut],"&lt;&gt;Cloturee"))</f>
        <v>0</v>
      </c>
      <c r="BE62" s="34">
        <f>IF(A62="",0,COUNTIF(tbl_Partenaires_Prospection[ID Partenaire],A62))</f>
        <v>0</v>
      </c>
      <c r="BF62" s="57"/>
      <c r="BG62" s="57"/>
      <c r="BH62" s="57"/>
      <c r="BI62" s="57"/>
      <c r="BJ62" s="57"/>
      <c r="BK62" s="57"/>
      <c r="BL62" s="57"/>
      <c r="BM62" s="57"/>
      <c r="BN62" s="57"/>
      <c r="BO62" s="57"/>
      <c r="BP62" s="57"/>
      <c r="BQ62" s="57"/>
      <c r="BR62" s="34" t="str">
        <f>IF(C62="","",IF(OR(COUNTIF(C56:C115,C62)&gt;1,AND(E62&lt;&gt;"",COUNTIF(E56:E115,E62)&gt;1),AND(S62&lt;&gt;"",COUNTIF(S56:S115,S62)&gt;1),AND(U62&lt;&gt;"",COUNTIF(U56:U115,U62)&gt;1)),"OUI","NON"))</f>
        <v/>
      </c>
      <c r="BS62" s="57"/>
    </row>
    <row r="63" spans="1:71" ht="15" customHeight="1">
      <c r="A63" s="34" t="str">
        <f t="shared" si="0"/>
        <v/>
      </c>
      <c r="B63" s="57"/>
      <c r="C63" s="57"/>
      <c r="D63" s="57"/>
      <c r="E63" s="57"/>
      <c r="F63" s="57"/>
      <c r="G63" s="57"/>
      <c r="H63" s="57"/>
      <c r="I63" s="57"/>
      <c r="J63" s="70"/>
      <c r="K63" s="57"/>
      <c r="L63" s="57"/>
      <c r="M63" s="57"/>
      <c r="N63" s="34" t="str">
        <f>IFERROR(INDEX(PARAMETRES!$B$536:$B$586,MATCH(M63,PARAMETRES!$J$536:$J$586,0)),"")</f>
        <v/>
      </c>
      <c r="O63" s="34" t="str">
        <f>IFERROR(INDEX(PARAMETRES!$D$536:$D$586,MATCH(M63,PARAMETRES!$J$536:$J$586,0)),"")</f>
        <v/>
      </c>
      <c r="P63" s="34" t="str">
        <f>IFERROR(INDEX(PARAMETRES!$F$536:$F$586,MATCH(M63,PARAMETRES!$J$536:$J$586,0)),"")</f>
        <v/>
      </c>
      <c r="Q63" s="34" t="str">
        <f>IFERROR(INDEX(PARAMETRES!$H$536:$H$586,MATCH(M63,PARAMETRES!$J$536:$J$586,0)),"")</f>
        <v/>
      </c>
      <c r="R63" s="57"/>
      <c r="S63" s="57"/>
      <c r="T63" s="57"/>
      <c r="U63" s="57"/>
      <c r="V63" s="57"/>
      <c r="W63" s="57"/>
      <c r="X63" s="57"/>
      <c r="Y63" s="57"/>
      <c r="Z63" s="57"/>
      <c r="AA63" s="57"/>
      <c r="AB63" s="57"/>
      <c r="AC63" s="50"/>
      <c r="AD63" s="57"/>
      <c r="AE63" s="57"/>
      <c r="AF63" s="57"/>
      <c r="AG63" s="57"/>
      <c r="AH63" s="34" t="str">
        <f>IFERROR(INDEX(PARAMETRES!$B$536:$B$586,MATCH(AG63,PARAMETRES!$J$536:$J$586,0)),"")</f>
        <v/>
      </c>
      <c r="AI63" s="34" t="str">
        <f>IFERROR(INDEX(PARAMETRES!$D$536:$D$586,MATCH(AG63,PARAMETRES!$J$536:$J$586,0)),"")</f>
        <v/>
      </c>
      <c r="AJ63" s="34" t="str">
        <f>IFERROR(INDEX(PARAMETRES!$F$536:$F$586,MATCH(AG63,PARAMETRES!$J$536:$J$586,0)),"")</f>
        <v/>
      </c>
      <c r="AK63" s="34" t="str">
        <f>IFERROR(INDEX(PARAMETRES!$H$536:$H$586,MATCH(AG63,PARAMETRES!$J$536:$J$586,0)),"")</f>
        <v/>
      </c>
      <c r="AL63" s="50"/>
      <c r="AM63" s="50"/>
      <c r="AN63" s="57"/>
      <c r="AO63" s="57"/>
      <c r="AP63" s="51"/>
      <c r="AQ63" s="51"/>
      <c r="AR63" s="52" t="str">
        <f t="shared" si="1"/>
        <v/>
      </c>
      <c r="AS63" s="57"/>
      <c r="AT63" s="34">
        <f>IF(A63="",0,COUNTIF(tbl_Partenaires_Projets[ID Partenaire],A63))</f>
        <v>0</v>
      </c>
      <c r="AU63" s="34">
        <f>IF(A63="",0,COUNTIF(tbl_Partenaires_Conventions[ID Partenaire],A63))</f>
        <v>0</v>
      </c>
      <c r="AV63" s="34">
        <f>IF(A63="",0,COUNTIFS(tbl_Partenaires_Conventions[ID Partenaire],A63,tbl_Partenaires_Conventions[Statut],"Active"))</f>
        <v>0</v>
      </c>
      <c r="AW63" s="34" t="str">
        <f ca="1">IF(A63="","",IF(COUNTIFS(tbl_Partenaires_Conventions[ID Partenaire],A63,tbl_Partenaires_Conventions[Statut],"Active")=0,"NON",IF(_xlfn.MINIFS(tbl_Partenaires_Conventions[Date fin],tbl_Partenaires_Conventions[ID Partenaire],A63,tbl_Partenaires_Conventions[Statut],"Active")-TODAY()&lt;=60,"OUI","NON")))</f>
        <v/>
      </c>
      <c r="AX63" s="34">
        <f>IF(A63="",0,COUNTIF(tbl_Partenaires_Documents[ID Partenaire],A63))</f>
        <v>0</v>
      </c>
      <c r="AY63" s="63" t="str">
        <f>IFERROR(AVERAGEIFS(tbl_Partenaires_Evaluations[Note globale],tbl_Partenaires_Evaluations[ID Partenaire],A63),"")</f>
        <v/>
      </c>
      <c r="AZ63" s="71" t="str">
        <f ca="1">IFERROR(_xlfn.MAXIFS(tbl_Partenaires_Evaluations[Date evaluation],tbl_Partenaires_Evaluations[ID Partenaire],A63),"")</f>
        <v/>
      </c>
      <c r="BA63" s="34">
        <f>IF(A63="",0,COUNTIF(tbl_Partenaires_Risques[ID Partenaire],A63))</f>
        <v>0</v>
      </c>
      <c r="BB63" s="34" t="str">
        <f>IF(A63="","",IF(COUNTIFS(tbl_Partenaires_Risques[ID Partenaire],A63,tbl_Partenaires_Risques[Niveau],"Eleve")+COUNTIFS(tbl_Partenaires_Risques[ID Partenaire],A63,tbl_Partenaires_Risques[Niveau],"Critique")&gt;0,"OUI","NON"))</f>
        <v/>
      </c>
      <c r="BC63" s="34">
        <f>IF(A63="",0,COUNTIF(tbl_Partenaires_Contacts[ID Partenaire],A63))</f>
        <v>0</v>
      </c>
      <c r="BD63" s="34">
        <f>IF(A63="",0,COUNTIFS(tbl_Partenaires_Opportunites[ID Partenaire],A63,tbl_Partenaires_Opportunites[Statut],"&lt;&gt;Cloturee"))</f>
        <v>0</v>
      </c>
      <c r="BE63" s="34">
        <f>IF(A63="",0,COUNTIF(tbl_Partenaires_Prospection[ID Partenaire],A63))</f>
        <v>0</v>
      </c>
      <c r="BF63" s="57"/>
      <c r="BG63" s="57"/>
      <c r="BH63" s="57"/>
      <c r="BI63" s="57"/>
      <c r="BJ63" s="57"/>
      <c r="BK63" s="57"/>
      <c r="BL63" s="57"/>
      <c r="BM63" s="57"/>
      <c r="BN63" s="57"/>
      <c r="BO63" s="57"/>
      <c r="BP63" s="57"/>
      <c r="BQ63" s="57"/>
      <c r="BR63" s="34" t="str">
        <f>IF(C63="","",IF(OR(COUNTIF(C56:C115,C63)&gt;1,AND(E63&lt;&gt;"",COUNTIF(E56:E115,E63)&gt;1),AND(S63&lt;&gt;"",COUNTIF(S56:S115,S63)&gt;1),AND(U63&lt;&gt;"",COUNTIF(U56:U115,U63)&gt;1)),"OUI","NON"))</f>
        <v/>
      </c>
      <c r="BS63" s="57"/>
    </row>
    <row r="64" spans="1:71" ht="15" customHeight="1">
      <c r="A64" s="34" t="str">
        <f t="shared" si="0"/>
        <v/>
      </c>
      <c r="B64" s="57"/>
      <c r="C64" s="57"/>
      <c r="D64" s="57"/>
      <c r="E64" s="57"/>
      <c r="F64" s="57"/>
      <c r="G64" s="57"/>
      <c r="H64" s="57"/>
      <c r="I64" s="57"/>
      <c r="J64" s="70"/>
      <c r="K64" s="57"/>
      <c r="L64" s="57"/>
      <c r="M64" s="57"/>
      <c r="N64" s="34" t="str">
        <f>IFERROR(INDEX(PARAMETRES!$B$536:$B$586,MATCH(M64,PARAMETRES!$J$536:$J$586,0)),"")</f>
        <v/>
      </c>
      <c r="O64" s="34" t="str">
        <f>IFERROR(INDEX(PARAMETRES!$D$536:$D$586,MATCH(M64,PARAMETRES!$J$536:$J$586,0)),"")</f>
        <v/>
      </c>
      <c r="P64" s="34" t="str">
        <f>IFERROR(INDEX(PARAMETRES!$F$536:$F$586,MATCH(M64,PARAMETRES!$J$536:$J$586,0)),"")</f>
        <v/>
      </c>
      <c r="Q64" s="34" t="str">
        <f>IFERROR(INDEX(PARAMETRES!$H$536:$H$586,MATCH(M64,PARAMETRES!$J$536:$J$586,0)),"")</f>
        <v/>
      </c>
      <c r="R64" s="57"/>
      <c r="S64" s="57"/>
      <c r="T64" s="57"/>
      <c r="U64" s="57"/>
      <c r="V64" s="57"/>
      <c r="W64" s="57"/>
      <c r="X64" s="57"/>
      <c r="Y64" s="57"/>
      <c r="Z64" s="57"/>
      <c r="AA64" s="57"/>
      <c r="AB64" s="57"/>
      <c r="AC64" s="50"/>
      <c r="AD64" s="57"/>
      <c r="AE64" s="57"/>
      <c r="AF64" s="57"/>
      <c r="AG64" s="57"/>
      <c r="AH64" s="34" t="str">
        <f>IFERROR(INDEX(PARAMETRES!$B$536:$B$586,MATCH(AG64,PARAMETRES!$J$536:$J$586,0)),"")</f>
        <v/>
      </c>
      <c r="AI64" s="34" t="str">
        <f>IFERROR(INDEX(PARAMETRES!$D$536:$D$586,MATCH(AG64,PARAMETRES!$J$536:$J$586,0)),"")</f>
        <v/>
      </c>
      <c r="AJ64" s="34" t="str">
        <f>IFERROR(INDEX(PARAMETRES!$F$536:$F$586,MATCH(AG64,PARAMETRES!$J$536:$J$586,0)),"")</f>
        <v/>
      </c>
      <c r="AK64" s="34" t="str">
        <f>IFERROR(INDEX(PARAMETRES!$H$536:$H$586,MATCH(AG64,PARAMETRES!$J$536:$J$586,0)),"")</f>
        <v/>
      </c>
      <c r="AL64" s="50"/>
      <c r="AM64" s="50"/>
      <c r="AN64" s="57"/>
      <c r="AO64" s="57"/>
      <c r="AP64" s="51"/>
      <c r="AQ64" s="51"/>
      <c r="AR64" s="52" t="str">
        <f t="shared" si="1"/>
        <v/>
      </c>
      <c r="AS64" s="57"/>
      <c r="AT64" s="34">
        <f>IF(A64="",0,COUNTIF(tbl_Partenaires_Projets[ID Partenaire],A64))</f>
        <v>0</v>
      </c>
      <c r="AU64" s="34">
        <f>IF(A64="",0,COUNTIF(tbl_Partenaires_Conventions[ID Partenaire],A64))</f>
        <v>0</v>
      </c>
      <c r="AV64" s="34">
        <f>IF(A64="",0,COUNTIFS(tbl_Partenaires_Conventions[ID Partenaire],A64,tbl_Partenaires_Conventions[Statut],"Active"))</f>
        <v>0</v>
      </c>
      <c r="AW64" s="34" t="str">
        <f ca="1">IF(A64="","",IF(COUNTIFS(tbl_Partenaires_Conventions[ID Partenaire],A64,tbl_Partenaires_Conventions[Statut],"Active")=0,"NON",IF(_xlfn.MINIFS(tbl_Partenaires_Conventions[Date fin],tbl_Partenaires_Conventions[ID Partenaire],A64,tbl_Partenaires_Conventions[Statut],"Active")-TODAY()&lt;=60,"OUI","NON")))</f>
        <v/>
      </c>
      <c r="AX64" s="34">
        <f>IF(A64="",0,COUNTIF(tbl_Partenaires_Documents[ID Partenaire],A64))</f>
        <v>0</v>
      </c>
      <c r="AY64" s="63" t="str">
        <f>IFERROR(AVERAGEIFS(tbl_Partenaires_Evaluations[Note globale],tbl_Partenaires_Evaluations[ID Partenaire],A64),"")</f>
        <v/>
      </c>
      <c r="AZ64" s="71" t="str">
        <f ca="1">IFERROR(_xlfn.MAXIFS(tbl_Partenaires_Evaluations[Date evaluation],tbl_Partenaires_Evaluations[ID Partenaire],A64),"")</f>
        <v/>
      </c>
      <c r="BA64" s="34">
        <f>IF(A64="",0,COUNTIF(tbl_Partenaires_Risques[ID Partenaire],A64))</f>
        <v>0</v>
      </c>
      <c r="BB64" s="34" t="str">
        <f>IF(A64="","",IF(COUNTIFS(tbl_Partenaires_Risques[ID Partenaire],A64,tbl_Partenaires_Risques[Niveau],"Eleve")+COUNTIFS(tbl_Partenaires_Risques[ID Partenaire],A64,tbl_Partenaires_Risques[Niveau],"Critique")&gt;0,"OUI","NON"))</f>
        <v/>
      </c>
      <c r="BC64" s="34">
        <f>IF(A64="",0,COUNTIF(tbl_Partenaires_Contacts[ID Partenaire],A64))</f>
        <v>0</v>
      </c>
      <c r="BD64" s="34">
        <f>IF(A64="",0,COUNTIFS(tbl_Partenaires_Opportunites[ID Partenaire],A64,tbl_Partenaires_Opportunites[Statut],"&lt;&gt;Cloturee"))</f>
        <v>0</v>
      </c>
      <c r="BE64" s="34">
        <f>IF(A64="",0,COUNTIF(tbl_Partenaires_Prospection[ID Partenaire],A64))</f>
        <v>0</v>
      </c>
      <c r="BF64" s="57"/>
      <c r="BG64" s="57"/>
      <c r="BH64" s="57"/>
      <c r="BI64" s="57"/>
      <c r="BJ64" s="57"/>
      <c r="BK64" s="57"/>
      <c r="BL64" s="57"/>
      <c r="BM64" s="57"/>
      <c r="BN64" s="57"/>
      <c r="BO64" s="57"/>
      <c r="BP64" s="57"/>
      <c r="BQ64" s="57"/>
      <c r="BR64" s="34" t="str">
        <f>IF(C64="","",IF(OR(COUNTIF(C56:C115,C64)&gt;1,AND(E64&lt;&gt;"",COUNTIF(E56:E115,E64)&gt;1),AND(S64&lt;&gt;"",COUNTIF(S56:S115,S64)&gt;1),AND(U64&lt;&gt;"",COUNTIF(U56:U115,U64)&gt;1)),"OUI","NON"))</f>
        <v/>
      </c>
      <c r="BS64" s="57"/>
    </row>
    <row r="65" spans="1:71" ht="15" customHeight="1">
      <c r="A65" s="34" t="str">
        <f t="shared" si="0"/>
        <v/>
      </c>
      <c r="B65" s="57"/>
      <c r="C65" s="57"/>
      <c r="D65" s="57"/>
      <c r="E65" s="57"/>
      <c r="F65" s="57"/>
      <c r="G65" s="57"/>
      <c r="H65" s="57"/>
      <c r="I65" s="57"/>
      <c r="J65" s="70"/>
      <c r="K65" s="57"/>
      <c r="L65" s="57"/>
      <c r="M65" s="57"/>
      <c r="N65" s="34" t="str">
        <f>IFERROR(INDEX(PARAMETRES!$B$536:$B$586,MATCH(M65,PARAMETRES!$J$536:$J$586,0)),"")</f>
        <v/>
      </c>
      <c r="O65" s="34" t="str">
        <f>IFERROR(INDEX(PARAMETRES!$D$536:$D$586,MATCH(M65,PARAMETRES!$J$536:$J$586,0)),"")</f>
        <v/>
      </c>
      <c r="P65" s="34" t="str">
        <f>IFERROR(INDEX(PARAMETRES!$F$536:$F$586,MATCH(M65,PARAMETRES!$J$536:$J$586,0)),"")</f>
        <v/>
      </c>
      <c r="Q65" s="34" t="str">
        <f>IFERROR(INDEX(PARAMETRES!$H$536:$H$586,MATCH(M65,PARAMETRES!$J$536:$J$586,0)),"")</f>
        <v/>
      </c>
      <c r="R65" s="57"/>
      <c r="S65" s="57"/>
      <c r="T65" s="57"/>
      <c r="U65" s="57"/>
      <c r="V65" s="57"/>
      <c r="W65" s="57"/>
      <c r="X65" s="57"/>
      <c r="Y65" s="57"/>
      <c r="Z65" s="57"/>
      <c r="AA65" s="57"/>
      <c r="AB65" s="57"/>
      <c r="AC65" s="50"/>
      <c r="AD65" s="57"/>
      <c r="AE65" s="57"/>
      <c r="AF65" s="57"/>
      <c r="AG65" s="57"/>
      <c r="AH65" s="34" t="str">
        <f>IFERROR(INDEX(PARAMETRES!$B$536:$B$586,MATCH(AG65,PARAMETRES!$J$536:$J$586,0)),"")</f>
        <v/>
      </c>
      <c r="AI65" s="34" t="str">
        <f>IFERROR(INDEX(PARAMETRES!$D$536:$D$586,MATCH(AG65,PARAMETRES!$J$536:$J$586,0)),"")</f>
        <v/>
      </c>
      <c r="AJ65" s="34" t="str">
        <f>IFERROR(INDEX(PARAMETRES!$F$536:$F$586,MATCH(AG65,PARAMETRES!$J$536:$J$586,0)),"")</f>
        <v/>
      </c>
      <c r="AK65" s="34" t="str">
        <f>IFERROR(INDEX(PARAMETRES!$H$536:$H$586,MATCH(AG65,PARAMETRES!$J$536:$J$586,0)),"")</f>
        <v/>
      </c>
      <c r="AL65" s="50"/>
      <c r="AM65" s="50"/>
      <c r="AN65" s="57"/>
      <c r="AO65" s="57"/>
      <c r="AP65" s="51"/>
      <c r="AQ65" s="51"/>
      <c r="AR65" s="52" t="str">
        <f t="shared" si="1"/>
        <v/>
      </c>
      <c r="AS65" s="57"/>
      <c r="AT65" s="34">
        <f>IF(A65="",0,COUNTIF(tbl_Partenaires_Projets[ID Partenaire],A65))</f>
        <v>0</v>
      </c>
      <c r="AU65" s="34">
        <f>IF(A65="",0,COUNTIF(tbl_Partenaires_Conventions[ID Partenaire],A65))</f>
        <v>0</v>
      </c>
      <c r="AV65" s="34">
        <f>IF(A65="",0,COUNTIFS(tbl_Partenaires_Conventions[ID Partenaire],A65,tbl_Partenaires_Conventions[Statut],"Active"))</f>
        <v>0</v>
      </c>
      <c r="AW65" s="34" t="str">
        <f ca="1">IF(A65="","",IF(COUNTIFS(tbl_Partenaires_Conventions[ID Partenaire],A65,tbl_Partenaires_Conventions[Statut],"Active")=0,"NON",IF(_xlfn.MINIFS(tbl_Partenaires_Conventions[Date fin],tbl_Partenaires_Conventions[ID Partenaire],A65,tbl_Partenaires_Conventions[Statut],"Active")-TODAY()&lt;=60,"OUI","NON")))</f>
        <v/>
      </c>
      <c r="AX65" s="34">
        <f>IF(A65="",0,COUNTIF(tbl_Partenaires_Documents[ID Partenaire],A65))</f>
        <v>0</v>
      </c>
      <c r="AY65" s="63" t="str">
        <f>IFERROR(AVERAGEIFS(tbl_Partenaires_Evaluations[Note globale],tbl_Partenaires_Evaluations[ID Partenaire],A65),"")</f>
        <v/>
      </c>
      <c r="AZ65" s="71" t="str">
        <f ca="1">IFERROR(_xlfn.MAXIFS(tbl_Partenaires_Evaluations[Date evaluation],tbl_Partenaires_Evaluations[ID Partenaire],A65),"")</f>
        <v/>
      </c>
      <c r="BA65" s="34">
        <f>IF(A65="",0,COUNTIF(tbl_Partenaires_Risques[ID Partenaire],A65))</f>
        <v>0</v>
      </c>
      <c r="BB65" s="34" t="str">
        <f>IF(A65="","",IF(COUNTIFS(tbl_Partenaires_Risques[ID Partenaire],A65,tbl_Partenaires_Risques[Niveau],"Eleve")+COUNTIFS(tbl_Partenaires_Risques[ID Partenaire],A65,tbl_Partenaires_Risques[Niveau],"Critique")&gt;0,"OUI","NON"))</f>
        <v/>
      </c>
      <c r="BC65" s="34">
        <f>IF(A65="",0,COUNTIF(tbl_Partenaires_Contacts[ID Partenaire],A65))</f>
        <v>0</v>
      </c>
      <c r="BD65" s="34">
        <f>IF(A65="",0,COUNTIFS(tbl_Partenaires_Opportunites[ID Partenaire],A65,tbl_Partenaires_Opportunites[Statut],"&lt;&gt;Cloturee"))</f>
        <v>0</v>
      </c>
      <c r="BE65" s="34">
        <f>IF(A65="",0,COUNTIF(tbl_Partenaires_Prospection[ID Partenaire],A65))</f>
        <v>0</v>
      </c>
      <c r="BF65" s="57"/>
      <c r="BG65" s="57"/>
      <c r="BH65" s="57"/>
      <c r="BI65" s="57"/>
      <c r="BJ65" s="57"/>
      <c r="BK65" s="57"/>
      <c r="BL65" s="57"/>
      <c r="BM65" s="57"/>
      <c r="BN65" s="57"/>
      <c r="BO65" s="57"/>
      <c r="BP65" s="57"/>
      <c r="BQ65" s="57"/>
      <c r="BR65" s="34" t="str">
        <f>IF(C65="","",IF(OR(COUNTIF(C56:C115,C65)&gt;1,AND(E65&lt;&gt;"",COUNTIF(E56:E115,E65)&gt;1),AND(S65&lt;&gt;"",COUNTIF(S56:S115,S65)&gt;1),AND(U65&lt;&gt;"",COUNTIF(U56:U115,U65)&gt;1)),"OUI","NON"))</f>
        <v/>
      </c>
      <c r="BS65" s="57"/>
    </row>
    <row r="66" spans="1:71" ht="15" customHeight="1">
      <c r="A66" s="34" t="str">
        <f t="shared" si="0"/>
        <v/>
      </c>
      <c r="B66" s="57"/>
      <c r="C66" s="57"/>
      <c r="D66" s="57"/>
      <c r="E66" s="57"/>
      <c r="F66" s="57"/>
      <c r="G66" s="57"/>
      <c r="H66" s="57"/>
      <c r="I66" s="57"/>
      <c r="J66" s="70"/>
      <c r="K66" s="57"/>
      <c r="L66" s="57"/>
      <c r="M66" s="57"/>
      <c r="N66" s="34" t="str">
        <f>IFERROR(INDEX(PARAMETRES!$B$536:$B$586,MATCH(M66,PARAMETRES!$J$536:$J$586,0)),"")</f>
        <v/>
      </c>
      <c r="O66" s="34" t="str">
        <f>IFERROR(INDEX(PARAMETRES!$D$536:$D$586,MATCH(M66,PARAMETRES!$J$536:$J$586,0)),"")</f>
        <v/>
      </c>
      <c r="P66" s="34" t="str">
        <f>IFERROR(INDEX(PARAMETRES!$F$536:$F$586,MATCH(M66,PARAMETRES!$J$536:$J$586,0)),"")</f>
        <v/>
      </c>
      <c r="Q66" s="34" t="str">
        <f>IFERROR(INDEX(PARAMETRES!$H$536:$H$586,MATCH(M66,PARAMETRES!$J$536:$J$586,0)),"")</f>
        <v/>
      </c>
      <c r="R66" s="57"/>
      <c r="S66" s="57"/>
      <c r="T66" s="57"/>
      <c r="U66" s="57"/>
      <c r="V66" s="57"/>
      <c r="W66" s="57"/>
      <c r="X66" s="57"/>
      <c r="Y66" s="57"/>
      <c r="Z66" s="57"/>
      <c r="AA66" s="57"/>
      <c r="AB66" s="57"/>
      <c r="AC66" s="50"/>
      <c r="AD66" s="57"/>
      <c r="AE66" s="57"/>
      <c r="AF66" s="57"/>
      <c r="AG66" s="57"/>
      <c r="AH66" s="34" t="str">
        <f>IFERROR(INDEX(PARAMETRES!$B$536:$B$586,MATCH(AG66,PARAMETRES!$J$536:$J$586,0)),"")</f>
        <v/>
      </c>
      <c r="AI66" s="34" t="str">
        <f>IFERROR(INDEX(PARAMETRES!$D$536:$D$586,MATCH(AG66,PARAMETRES!$J$536:$J$586,0)),"")</f>
        <v/>
      </c>
      <c r="AJ66" s="34" t="str">
        <f>IFERROR(INDEX(PARAMETRES!$F$536:$F$586,MATCH(AG66,PARAMETRES!$J$536:$J$586,0)),"")</f>
        <v/>
      </c>
      <c r="AK66" s="34" t="str">
        <f>IFERROR(INDEX(PARAMETRES!$H$536:$H$586,MATCH(AG66,PARAMETRES!$J$536:$J$586,0)),"")</f>
        <v/>
      </c>
      <c r="AL66" s="50"/>
      <c r="AM66" s="50"/>
      <c r="AN66" s="57"/>
      <c r="AO66" s="57"/>
      <c r="AP66" s="51"/>
      <c r="AQ66" s="51"/>
      <c r="AR66" s="52" t="str">
        <f t="shared" si="1"/>
        <v/>
      </c>
      <c r="AS66" s="57"/>
      <c r="AT66" s="34">
        <f>IF(A66="",0,COUNTIF(tbl_Partenaires_Projets[ID Partenaire],A66))</f>
        <v>0</v>
      </c>
      <c r="AU66" s="34">
        <f>IF(A66="",0,COUNTIF(tbl_Partenaires_Conventions[ID Partenaire],A66))</f>
        <v>0</v>
      </c>
      <c r="AV66" s="34">
        <f>IF(A66="",0,COUNTIFS(tbl_Partenaires_Conventions[ID Partenaire],A66,tbl_Partenaires_Conventions[Statut],"Active"))</f>
        <v>0</v>
      </c>
      <c r="AW66" s="34" t="str">
        <f ca="1">IF(A66="","",IF(COUNTIFS(tbl_Partenaires_Conventions[ID Partenaire],A66,tbl_Partenaires_Conventions[Statut],"Active")=0,"NON",IF(_xlfn.MINIFS(tbl_Partenaires_Conventions[Date fin],tbl_Partenaires_Conventions[ID Partenaire],A66,tbl_Partenaires_Conventions[Statut],"Active")-TODAY()&lt;=60,"OUI","NON")))</f>
        <v/>
      </c>
      <c r="AX66" s="34">
        <f>IF(A66="",0,COUNTIF(tbl_Partenaires_Documents[ID Partenaire],A66))</f>
        <v>0</v>
      </c>
      <c r="AY66" s="63" t="str">
        <f>IFERROR(AVERAGEIFS(tbl_Partenaires_Evaluations[Note globale],tbl_Partenaires_Evaluations[ID Partenaire],A66),"")</f>
        <v/>
      </c>
      <c r="AZ66" s="71" t="str">
        <f ca="1">IFERROR(_xlfn.MAXIFS(tbl_Partenaires_Evaluations[Date evaluation],tbl_Partenaires_Evaluations[ID Partenaire],A66),"")</f>
        <v/>
      </c>
      <c r="BA66" s="34">
        <f>IF(A66="",0,COUNTIF(tbl_Partenaires_Risques[ID Partenaire],A66))</f>
        <v>0</v>
      </c>
      <c r="BB66" s="34" t="str">
        <f>IF(A66="","",IF(COUNTIFS(tbl_Partenaires_Risques[ID Partenaire],A66,tbl_Partenaires_Risques[Niveau],"Eleve")+COUNTIFS(tbl_Partenaires_Risques[ID Partenaire],A66,tbl_Partenaires_Risques[Niveau],"Critique")&gt;0,"OUI","NON"))</f>
        <v/>
      </c>
      <c r="BC66" s="34">
        <f>IF(A66="",0,COUNTIF(tbl_Partenaires_Contacts[ID Partenaire],A66))</f>
        <v>0</v>
      </c>
      <c r="BD66" s="34">
        <f>IF(A66="",0,COUNTIFS(tbl_Partenaires_Opportunites[ID Partenaire],A66,tbl_Partenaires_Opportunites[Statut],"&lt;&gt;Cloturee"))</f>
        <v>0</v>
      </c>
      <c r="BE66" s="34">
        <f>IF(A66="",0,COUNTIF(tbl_Partenaires_Prospection[ID Partenaire],A66))</f>
        <v>0</v>
      </c>
      <c r="BF66" s="57"/>
      <c r="BG66" s="57"/>
      <c r="BH66" s="57"/>
      <c r="BI66" s="57"/>
      <c r="BJ66" s="57"/>
      <c r="BK66" s="57"/>
      <c r="BL66" s="57"/>
      <c r="BM66" s="57"/>
      <c r="BN66" s="57"/>
      <c r="BO66" s="57"/>
      <c r="BP66" s="57"/>
      <c r="BQ66" s="57"/>
      <c r="BR66" s="34" t="str">
        <f>IF(C66="","",IF(OR(COUNTIF(C56:C115,C66)&gt;1,AND(E66&lt;&gt;"",COUNTIF(E56:E115,E66)&gt;1),AND(S66&lt;&gt;"",COUNTIF(S56:S115,S66)&gt;1),AND(U66&lt;&gt;"",COUNTIF(U56:U115,U66)&gt;1)),"OUI","NON"))</f>
        <v/>
      </c>
      <c r="BS66" s="57"/>
    </row>
    <row r="67" spans="1:71" ht="15" customHeight="1">
      <c r="A67" s="34" t="str">
        <f t="shared" si="0"/>
        <v/>
      </c>
      <c r="B67" s="57"/>
      <c r="C67" s="57"/>
      <c r="D67" s="57"/>
      <c r="E67" s="57"/>
      <c r="F67" s="57"/>
      <c r="G67" s="57"/>
      <c r="H67" s="57"/>
      <c r="I67" s="57"/>
      <c r="J67" s="70"/>
      <c r="K67" s="57"/>
      <c r="L67" s="57"/>
      <c r="M67" s="57"/>
      <c r="N67" s="34" t="str">
        <f>IFERROR(INDEX(PARAMETRES!$B$536:$B$586,MATCH(M67,PARAMETRES!$J$536:$J$586,0)),"")</f>
        <v/>
      </c>
      <c r="O67" s="34" t="str">
        <f>IFERROR(INDEX(PARAMETRES!$D$536:$D$586,MATCH(M67,PARAMETRES!$J$536:$J$586,0)),"")</f>
        <v/>
      </c>
      <c r="P67" s="34" t="str">
        <f>IFERROR(INDEX(PARAMETRES!$F$536:$F$586,MATCH(M67,PARAMETRES!$J$536:$J$586,0)),"")</f>
        <v/>
      </c>
      <c r="Q67" s="34" t="str">
        <f>IFERROR(INDEX(PARAMETRES!$H$536:$H$586,MATCH(M67,PARAMETRES!$J$536:$J$586,0)),"")</f>
        <v/>
      </c>
      <c r="R67" s="57"/>
      <c r="S67" s="57"/>
      <c r="T67" s="57"/>
      <c r="U67" s="57"/>
      <c r="V67" s="57"/>
      <c r="W67" s="57"/>
      <c r="X67" s="57"/>
      <c r="Y67" s="57"/>
      <c r="Z67" s="57"/>
      <c r="AA67" s="57"/>
      <c r="AB67" s="57"/>
      <c r="AC67" s="50"/>
      <c r="AD67" s="57"/>
      <c r="AE67" s="57"/>
      <c r="AF67" s="57"/>
      <c r="AG67" s="57"/>
      <c r="AH67" s="34" t="str">
        <f>IFERROR(INDEX(PARAMETRES!$B$536:$B$586,MATCH(AG67,PARAMETRES!$J$536:$J$586,0)),"")</f>
        <v/>
      </c>
      <c r="AI67" s="34" t="str">
        <f>IFERROR(INDEX(PARAMETRES!$D$536:$D$586,MATCH(AG67,PARAMETRES!$J$536:$J$586,0)),"")</f>
        <v/>
      </c>
      <c r="AJ67" s="34" t="str">
        <f>IFERROR(INDEX(PARAMETRES!$F$536:$F$586,MATCH(AG67,PARAMETRES!$J$536:$J$586,0)),"")</f>
        <v/>
      </c>
      <c r="AK67" s="34" t="str">
        <f>IFERROR(INDEX(PARAMETRES!$H$536:$H$586,MATCH(AG67,PARAMETRES!$J$536:$J$586,0)),"")</f>
        <v/>
      </c>
      <c r="AL67" s="50"/>
      <c r="AM67" s="50"/>
      <c r="AN67" s="57"/>
      <c r="AO67" s="57"/>
      <c r="AP67" s="51"/>
      <c r="AQ67" s="51"/>
      <c r="AR67" s="52" t="str">
        <f t="shared" si="1"/>
        <v/>
      </c>
      <c r="AS67" s="57"/>
      <c r="AT67" s="34">
        <f>IF(A67="",0,COUNTIF(tbl_Partenaires_Projets[ID Partenaire],A67))</f>
        <v>0</v>
      </c>
      <c r="AU67" s="34">
        <f>IF(A67="",0,COUNTIF(tbl_Partenaires_Conventions[ID Partenaire],A67))</f>
        <v>0</v>
      </c>
      <c r="AV67" s="34">
        <f>IF(A67="",0,COUNTIFS(tbl_Partenaires_Conventions[ID Partenaire],A67,tbl_Partenaires_Conventions[Statut],"Active"))</f>
        <v>0</v>
      </c>
      <c r="AW67" s="34" t="str">
        <f ca="1">IF(A67="","",IF(COUNTIFS(tbl_Partenaires_Conventions[ID Partenaire],A67,tbl_Partenaires_Conventions[Statut],"Active")=0,"NON",IF(_xlfn.MINIFS(tbl_Partenaires_Conventions[Date fin],tbl_Partenaires_Conventions[ID Partenaire],A67,tbl_Partenaires_Conventions[Statut],"Active")-TODAY()&lt;=60,"OUI","NON")))</f>
        <v/>
      </c>
      <c r="AX67" s="34">
        <f>IF(A67="",0,COUNTIF(tbl_Partenaires_Documents[ID Partenaire],A67))</f>
        <v>0</v>
      </c>
      <c r="AY67" s="63" t="str">
        <f>IFERROR(AVERAGEIFS(tbl_Partenaires_Evaluations[Note globale],tbl_Partenaires_Evaluations[ID Partenaire],A67),"")</f>
        <v/>
      </c>
      <c r="AZ67" s="71" t="str">
        <f ca="1">IFERROR(_xlfn.MAXIFS(tbl_Partenaires_Evaluations[Date evaluation],tbl_Partenaires_Evaluations[ID Partenaire],A67),"")</f>
        <v/>
      </c>
      <c r="BA67" s="34">
        <f>IF(A67="",0,COUNTIF(tbl_Partenaires_Risques[ID Partenaire],A67))</f>
        <v>0</v>
      </c>
      <c r="BB67" s="34" t="str">
        <f>IF(A67="","",IF(COUNTIFS(tbl_Partenaires_Risques[ID Partenaire],A67,tbl_Partenaires_Risques[Niveau],"Eleve")+COUNTIFS(tbl_Partenaires_Risques[ID Partenaire],A67,tbl_Partenaires_Risques[Niveau],"Critique")&gt;0,"OUI","NON"))</f>
        <v/>
      </c>
      <c r="BC67" s="34">
        <f>IF(A67="",0,COUNTIF(tbl_Partenaires_Contacts[ID Partenaire],A67))</f>
        <v>0</v>
      </c>
      <c r="BD67" s="34">
        <f>IF(A67="",0,COUNTIFS(tbl_Partenaires_Opportunites[ID Partenaire],A67,tbl_Partenaires_Opportunites[Statut],"&lt;&gt;Cloturee"))</f>
        <v>0</v>
      </c>
      <c r="BE67" s="34">
        <f>IF(A67="",0,COUNTIF(tbl_Partenaires_Prospection[ID Partenaire],A67))</f>
        <v>0</v>
      </c>
      <c r="BF67" s="57"/>
      <c r="BG67" s="57"/>
      <c r="BH67" s="57"/>
      <c r="BI67" s="57"/>
      <c r="BJ67" s="57"/>
      <c r="BK67" s="57"/>
      <c r="BL67" s="57"/>
      <c r="BM67" s="57"/>
      <c r="BN67" s="57"/>
      <c r="BO67" s="57"/>
      <c r="BP67" s="57"/>
      <c r="BQ67" s="57"/>
      <c r="BR67" s="34" t="str">
        <f>IF(C67="","",IF(OR(COUNTIF(C56:C115,C67)&gt;1,AND(E67&lt;&gt;"",COUNTIF(E56:E115,E67)&gt;1),AND(S67&lt;&gt;"",COUNTIF(S56:S115,S67)&gt;1),AND(U67&lt;&gt;"",COUNTIF(U56:U115,U67)&gt;1)),"OUI","NON"))</f>
        <v/>
      </c>
      <c r="BS67" s="57"/>
    </row>
    <row r="68" spans="1:71" ht="15" customHeight="1">
      <c r="A68" s="34" t="str">
        <f t="shared" si="0"/>
        <v/>
      </c>
      <c r="B68" s="57"/>
      <c r="C68" s="57"/>
      <c r="D68" s="57"/>
      <c r="E68" s="57"/>
      <c r="F68" s="57"/>
      <c r="G68" s="57"/>
      <c r="H68" s="57"/>
      <c r="I68" s="57"/>
      <c r="J68" s="70"/>
      <c r="K68" s="57"/>
      <c r="L68" s="57"/>
      <c r="M68" s="57"/>
      <c r="N68" s="34" t="str">
        <f>IFERROR(INDEX(PARAMETRES!$B$536:$B$586,MATCH(M68,PARAMETRES!$J$536:$J$586,0)),"")</f>
        <v/>
      </c>
      <c r="O68" s="34" t="str">
        <f>IFERROR(INDEX(PARAMETRES!$D$536:$D$586,MATCH(M68,PARAMETRES!$J$536:$J$586,0)),"")</f>
        <v/>
      </c>
      <c r="P68" s="34" t="str">
        <f>IFERROR(INDEX(PARAMETRES!$F$536:$F$586,MATCH(M68,PARAMETRES!$J$536:$J$586,0)),"")</f>
        <v/>
      </c>
      <c r="Q68" s="34" t="str">
        <f>IFERROR(INDEX(PARAMETRES!$H$536:$H$586,MATCH(M68,PARAMETRES!$J$536:$J$586,0)),"")</f>
        <v/>
      </c>
      <c r="R68" s="57"/>
      <c r="S68" s="57"/>
      <c r="T68" s="57"/>
      <c r="U68" s="57"/>
      <c r="V68" s="57"/>
      <c r="W68" s="57"/>
      <c r="X68" s="57"/>
      <c r="Y68" s="57"/>
      <c r="Z68" s="57"/>
      <c r="AA68" s="57"/>
      <c r="AB68" s="57"/>
      <c r="AC68" s="50"/>
      <c r="AD68" s="57"/>
      <c r="AE68" s="57"/>
      <c r="AF68" s="57"/>
      <c r="AG68" s="57"/>
      <c r="AH68" s="34" t="str">
        <f>IFERROR(INDEX(PARAMETRES!$B$536:$B$586,MATCH(AG68,PARAMETRES!$J$536:$J$586,0)),"")</f>
        <v/>
      </c>
      <c r="AI68" s="34" t="str">
        <f>IFERROR(INDEX(PARAMETRES!$D$536:$D$586,MATCH(AG68,PARAMETRES!$J$536:$J$586,0)),"")</f>
        <v/>
      </c>
      <c r="AJ68" s="34" t="str">
        <f>IFERROR(INDEX(PARAMETRES!$F$536:$F$586,MATCH(AG68,PARAMETRES!$J$536:$J$586,0)),"")</f>
        <v/>
      </c>
      <c r="AK68" s="34" t="str">
        <f>IFERROR(INDEX(PARAMETRES!$H$536:$H$586,MATCH(AG68,PARAMETRES!$J$536:$J$586,0)),"")</f>
        <v/>
      </c>
      <c r="AL68" s="50"/>
      <c r="AM68" s="50"/>
      <c r="AN68" s="57"/>
      <c r="AO68" s="57"/>
      <c r="AP68" s="51"/>
      <c r="AQ68" s="51"/>
      <c r="AR68" s="52" t="str">
        <f t="shared" si="1"/>
        <v/>
      </c>
      <c r="AS68" s="57"/>
      <c r="AT68" s="34">
        <f>IF(A68="",0,COUNTIF(tbl_Partenaires_Projets[ID Partenaire],A68))</f>
        <v>0</v>
      </c>
      <c r="AU68" s="34">
        <f>IF(A68="",0,COUNTIF(tbl_Partenaires_Conventions[ID Partenaire],A68))</f>
        <v>0</v>
      </c>
      <c r="AV68" s="34">
        <f>IF(A68="",0,COUNTIFS(tbl_Partenaires_Conventions[ID Partenaire],A68,tbl_Partenaires_Conventions[Statut],"Active"))</f>
        <v>0</v>
      </c>
      <c r="AW68" s="34" t="str">
        <f ca="1">IF(A68="","",IF(COUNTIFS(tbl_Partenaires_Conventions[ID Partenaire],A68,tbl_Partenaires_Conventions[Statut],"Active")=0,"NON",IF(_xlfn.MINIFS(tbl_Partenaires_Conventions[Date fin],tbl_Partenaires_Conventions[ID Partenaire],A68,tbl_Partenaires_Conventions[Statut],"Active")-TODAY()&lt;=60,"OUI","NON")))</f>
        <v/>
      </c>
      <c r="AX68" s="34">
        <f>IF(A68="",0,COUNTIF(tbl_Partenaires_Documents[ID Partenaire],A68))</f>
        <v>0</v>
      </c>
      <c r="AY68" s="63" t="str">
        <f>IFERROR(AVERAGEIFS(tbl_Partenaires_Evaluations[Note globale],tbl_Partenaires_Evaluations[ID Partenaire],A68),"")</f>
        <v/>
      </c>
      <c r="AZ68" s="71" t="str">
        <f ca="1">IFERROR(_xlfn.MAXIFS(tbl_Partenaires_Evaluations[Date evaluation],tbl_Partenaires_Evaluations[ID Partenaire],A68),"")</f>
        <v/>
      </c>
      <c r="BA68" s="34">
        <f>IF(A68="",0,COUNTIF(tbl_Partenaires_Risques[ID Partenaire],A68))</f>
        <v>0</v>
      </c>
      <c r="BB68" s="34" t="str">
        <f>IF(A68="","",IF(COUNTIFS(tbl_Partenaires_Risques[ID Partenaire],A68,tbl_Partenaires_Risques[Niveau],"Eleve")+COUNTIFS(tbl_Partenaires_Risques[ID Partenaire],A68,tbl_Partenaires_Risques[Niveau],"Critique")&gt;0,"OUI","NON"))</f>
        <v/>
      </c>
      <c r="BC68" s="34">
        <f>IF(A68="",0,COUNTIF(tbl_Partenaires_Contacts[ID Partenaire],A68))</f>
        <v>0</v>
      </c>
      <c r="BD68" s="34">
        <f>IF(A68="",0,COUNTIFS(tbl_Partenaires_Opportunites[ID Partenaire],A68,tbl_Partenaires_Opportunites[Statut],"&lt;&gt;Cloturee"))</f>
        <v>0</v>
      </c>
      <c r="BE68" s="34">
        <f>IF(A68="",0,COUNTIF(tbl_Partenaires_Prospection[ID Partenaire],A68))</f>
        <v>0</v>
      </c>
      <c r="BF68" s="57"/>
      <c r="BG68" s="57"/>
      <c r="BH68" s="57"/>
      <c r="BI68" s="57"/>
      <c r="BJ68" s="57"/>
      <c r="BK68" s="57"/>
      <c r="BL68" s="57"/>
      <c r="BM68" s="57"/>
      <c r="BN68" s="57"/>
      <c r="BO68" s="57"/>
      <c r="BP68" s="57"/>
      <c r="BQ68" s="57"/>
      <c r="BR68" s="34" t="str">
        <f>IF(C68="","",IF(OR(COUNTIF(C56:C115,C68)&gt;1,AND(E68&lt;&gt;"",COUNTIF(E56:E115,E68)&gt;1),AND(S68&lt;&gt;"",COUNTIF(S56:S115,S68)&gt;1),AND(U68&lt;&gt;"",COUNTIF(U56:U115,U68)&gt;1)),"OUI","NON"))</f>
        <v/>
      </c>
      <c r="BS68" s="57"/>
    </row>
    <row r="69" spans="1:71" ht="15" customHeight="1">
      <c r="A69" s="34" t="str">
        <f t="shared" si="0"/>
        <v/>
      </c>
      <c r="B69" s="57"/>
      <c r="C69" s="57"/>
      <c r="D69" s="57"/>
      <c r="E69" s="57"/>
      <c r="F69" s="57"/>
      <c r="G69" s="57"/>
      <c r="H69" s="57"/>
      <c r="I69" s="57"/>
      <c r="J69" s="70"/>
      <c r="K69" s="57"/>
      <c r="L69" s="57"/>
      <c r="M69" s="57"/>
      <c r="N69" s="34" t="str">
        <f>IFERROR(INDEX(PARAMETRES!$B$536:$B$586,MATCH(M69,PARAMETRES!$J$536:$J$586,0)),"")</f>
        <v/>
      </c>
      <c r="O69" s="34" t="str">
        <f>IFERROR(INDEX(PARAMETRES!$D$536:$D$586,MATCH(M69,PARAMETRES!$J$536:$J$586,0)),"")</f>
        <v/>
      </c>
      <c r="P69" s="34" t="str">
        <f>IFERROR(INDEX(PARAMETRES!$F$536:$F$586,MATCH(M69,PARAMETRES!$J$536:$J$586,0)),"")</f>
        <v/>
      </c>
      <c r="Q69" s="34" t="str">
        <f>IFERROR(INDEX(PARAMETRES!$H$536:$H$586,MATCH(M69,PARAMETRES!$J$536:$J$586,0)),"")</f>
        <v/>
      </c>
      <c r="R69" s="57"/>
      <c r="S69" s="57"/>
      <c r="T69" s="57"/>
      <c r="U69" s="57"/>
      <c r="V69" s="57"/>
      <c r="W69" s="57"/>
      <c r="X69" s="57"/>
      <c r="Y69" s="57"/>
      <c r="Z69" s="57"/>
      <c r="AA69" s="57"/>
      <c r="AB69" s="57"/>
      <c r="AC69" s="50"/>
      <c r="AD69" s="57"/>
      <c r="AE69" s="57"/>
      <c r="AF69" s="57"/>
      <c r="AG69" s="57"/>
      <c r="AH69" s="34" t="str">
        <f>IFERROR(INDEX(PARAMETRES!$B$536:$B$586,MATCH(AG69,PARAMETRES!$J$536:$J$586,0)),"")</f>
        <v/>
      </c>
      <c r="AI69" s="34" t="str">
        <f>IFERROR(INDEX(PARAMETRES!$D$536:$D$586,MATCH(AG69,PARAMETRES!$J$536:$J$586,0)),"")</f>
        <v/>
      </c>
      <c r="AJ69" s="34" t="str">
        <f>IFERROR(INDEX(PARAMETRES!$F$536:$F$586,MATCH(AG69,PARAMETRES!$J$536:$J$586,0)),"")</f>
        <v/>
      </c>
      <c r="AK69" s="34" t="str">
        <f>IFERROR(INDEX(PARAMETRES!$H$536:$H$586,MATCH(AG69,PARAMETRES!$J$536:$J$586,0)),"")</f>
        <v/>
      </c>
      <c r="AL69" s="50"/>
      <c r="AM69" s="50"/>
      <c r="AN69" s="57"/>
      <c r="AO69" s="57"/>
      <c r="AP69" s="51"/>
      <c r="AQ69" s="51"/>
      <c r="AR69" s="52" t="str">
        <f t="shared" si="1"/>
        <v/>
      </c>
      <c r="AS69" s="57"/>
      <c r="AT69" s="34">
        <f>IF(A69="",0,COUNTIF(tbl_Partenaires_Projets[ID Partenaire],A69))</f>
        <v>0</v>
      </c>
      <c r="AU69" s="34">
        <f>IF(A69="",0,COUNTIF(tbl_Partenaires_Conventions[ID Partenaire],A69))</f>
        <v>0</v>
      </c>
      <c r="AV69" s="34">
        <f>IF(A69="",0,COUNTIFS(tbl_Partenaires_Conventions[ID Partenaire],A69,tbl_Partenaires_Conventions[Statut],"Active"))</f>
        <v>0</v>
      </c>
      <c r="AW69" s="34" t="str">
        <f ca="1">IF(A69="","",IF(COUNTIFS(tbl_Partenaires_Conventions[ID Partenaire],A69,tbl_Partenaires_Conventions[Statut],"Active")=0,"NON",IF(_xlfn.MINIFS(tbl_Partenaires_Conventions[Date fin],tbl_Partenaires_Conventions[ID Partenaire],A69,tbl_Partenaires_Conventions[Statut],"Active")-TODAY()&lt;=60,"OUI","NON")))</f>
        <v/>
      </c>
      <c r="AX69" s="34">
        <f>IF(A69="",0,COUNTIF(tbl_Partenaires_Documents[ID Partenaire],A69))</f>
        <v>0</v>
      </c>
      <c r="AY69" s="63" t="str">
        <f>IFERROR(AVERAGEIFS(tbl_Partenaires_Evaluations[Note globale],tbl_Partenaires_Evaluations[ID Partenaire],A69),"")</f>
        <v/>
      </c>
      <c r="AZ69" s="71" t="str">
        <f ca="1">IFERROR(_xlfn.MAXIFS(tbl_Partenaires_Evaluations[Date evaluation],tbl_Partenaires_Evaluations[ID Partenaire],A69),"")</f>
        <v/>
      </c>
      <c r="BA69" s="34">
        <f>IF(A69="",0,COUNTIF(tbl_Partenaires_Risques[ID Partenaire],A69))</f>
        <v>0</v>
      </c>
      <c r="BB69" s="34" t="str">
        <f>IF(A69="","",IF(COUNTIFS(tbl_Partenaires_Risques[ID Partenaire],A69,tbl_Partenaires_Risques[Niveau],"Eleve")+COUNTIFS(tbl_Partenaires_Risques[ID Partenaire],A69,tbl_Partenaires_Risques[Niveau],"Critique")&gt;0,"OUI","NON"))</f>
        <v/>
      </c>
      <c r="BC69" s="34">
        <f>IF(A69="",0,COUNTIF(tbl_Partenaires_Contacts[ID Partenaire],A69))</f>
        <v>0</v>
      </c>
      <c r="BD69" s="34">
        <f>IF(A69="",0,COUNTIFS(tbl_Partenaires_Opportunites[ID Partenaire],A69,tbl_Partenaires_Opportunites[Statut],"&lt;&gt;Cloturee"))</f>
        <v>0</v>
      </c>
      <c r="BE69" s="34">
        <f>IF(A69="",0,COUNTIF(tbl_Partenaires_Prospection[ID Partenaire],A69))</f>
        <v>0</v>
      </c>
      <c r="BF69" s="57"/>
      <c r="BG69" s="57"/>
      <c r="BH69" s="57"/>
      <c r="BI69" s="57"/>
      <c r="BJ69" s="57"/>
      <c r="BK69" s="57"/>
      <c r="BL69" s="57"/>
      <c r="BM69" s="57"/>
      <c r="BN69" s="57"/>
      <c r="BO69" s="57"/>
      <c r="BP69" s="57"/>
      <c r="BQ69" s="57"/>
      <c r="BR69" s="34" t="str">
        <f>IF(C69="","",IF(OR(COUNTIF(C56:C115,C69)&gt;1,AND(E69&lt;&gt;"",COUNTIF(E56:E115,E69)&gt;1),AND(S69&lt;&gt;"",COUNTIF(S56:S115,S69)&gt;1),AND(U69&lt;&gt;"",COUNTIF(U56:U115,U69)&gt;1)),"OUI","NON"))</f>
        <v/>
      </c>
      <c r="BS69" s="57"/>
    </row>
    <row r="70" spans="1:71" ht="15" customHeight="1">
      <c r="A70" s="34" t="str">
        <f t="shared" si="0"/>
        <v/>
      </c>
      <c r="B70" s="57"/>
      <c r="C70" s="57"/>
      <c r="D70" s="57"/>
      <c r="E70" s="57"/>
      <c r="F70" s="57"/>
      <c r="G70" s="57"/>
      <c r="H70" s="57"/>
      <c r="I70" s="57"/>
      <c r="J70" s="70"/>
      <c r="K70" s="57"/>
      <c r="L70" s="57"/>
      <c r="M70" s="57"/>
      <c r="N70" s="34" t="str">
        <f>IFERROR(INDEX(PARAMETRES!$B$536:$B$586,MATCH(M70,PARAMETRES!$J$536:$J$586,0)),"")</f>
        <v/>
      </c>
      <c r="O70" s="34" t="str">
        <f>IFERROR(INDEX(PARAMETRES!$D$536:$D$586,MATCH(M70,PARAMETRES!$J$536:$J$586,0)),"")</f>
        <v/>
      </c>
      <c r="P70" s="34" t="str">
        <f>IFERROR(INDEX(PARAMETRES!$F$536:$F$586,MATCH(M70,PARAMETRES!$J$536:$J$586,0)),"")</f>
        <v/>
      </c>
      <c r="Q70" s="34" t="str">
        <f>IFERROR(INDEX(PARAMETRES!$H$536:$H$586,MATCH(M70,PARAMETRES!$J$536:$J$586,0)),"")</f>
        <v/>
      </c>
      <c r="R70" s="57"/>
      <c r="S70" s="57"/>
      <c r="T70" s="57"/>
      <c r="U70" s="57"/>
      <c r="V70" s="57"/>
      <c r="W70" s="57"/>
      <c r="X70" s="57"/>
      <c r="Y70" s="57"/>
      <c r="Z70" s="57"/>
      <c r="AA70" s="57"/>
      <c r="AB70" s="57"/>
      <c r="AC70" s="50"/>
      <c r="AD70" s="57"/>
      <c r="AE70" s="57"/>
      <c r="AF70" s="57"/>
      <c r="AG70" s="57"/>
      <c r="AH70" s="34" t="str">
        <f>IFERROR(INDEX(PARAMETRES!$B$536:$B$586,MATCH(AG70,PARAMETRES!$J$536:$J$586,0)),"")</f>
        <v/>
      </c>
      <c r="AI70" s="34" t="str">
        <f>IFERROR(INDEX(PARAMETRES!$D$536:$D$586,MATCH(AG70,PARAMETRES!$J$536:$J$586,0)),"")</f>
        <v/>
      </c>
      <c r="AJ70" s="34" t="str">
        <f>IFERROR(INDEX(PARAMETRES!$F$536:$F$586,MATCH(AG70,PARAMETRES!$J$536:$J$586,0)),"")</f>
        <v/>
      </c>
      <c r="AK70" s="34" t="str">
        <f>IFERROR(INDEX(PARAMETRES!$H$536:$H$586,MATCH(AG70,PARAMETRES!$J$536:$J$586,0)),"")</f>
        <v/>
      </c>
      <c r="AL70" s="50"/>
      <c r="AM70" s="50"/>
      <c r="AN70" s="57"/>
      <c r="AO70" s="57"/>
      <c r="AP70" s="51"/>
      <c r="AQ70" s="51"/>
      <c r="AR70" s="52" t="str">
        <f t="shared" si="1"/>
        <v/>
      </c>
      <c r="AS70" s="57"/>
      <c r="AT70" s="34">
        <f>IF(A70="",0,COUNTIF(tbl_Partenaires_Projets[ID Partenaire],A70))</f>
        <v>0</v>
      </c>
      <c r="AU70" s="34">
        <f>IF(A70="",0,COUNTIF(tbl_Partenaires_Conventions[ID Partenaire],A70))</f>
        <v>0</v>
      </c>
      <c r="AV70" s="34">
        <f>IF(A70="",0,COUNTIFS(tbl_Partenaires_Conventions[ID Partenaire],A70,tbl_Partenaires_Conventions[Statut],"Active"))</f>
        <v>0</v>
      </c>
      <c r="AW70" s="34" t="str">
        <f ca="1">IF(A70="","",IF(COUNTIFS(tbl_Partenaires_Conventions[ID Partenaire],A70,tbl_Partenaires_Conventions[Statut],"Active")=0,"NON",IF(_xlfn.MINIFS(tbl_Partenaires_Conventions[Date fin],tbl_Partenaires_Conventions[ID Partenaire],A70,tbl_Partenaires_Conventions[Statut],"Active")-TODAY()&lt;=60,"OUI","NON")))</f>
        <v/>
      </c>
      <c r="AX70" s="34">
        <f>IF(A70="",0,COUNTIF(tbl_Partenaires_Documents[ID Partenaire],A70))</f>
        <v>0</v>
      </c>
      <c r="AY70" s="63" t="str">
        <f>IFERROR(AVERAGEIFS(tbl_Partenaires_Evaluations[Note globale],tbl_Partenaires_Evaluations[ID Partenaire],A70),"")</f>
        <v/>
      </c>
      <c r="AZ70" s="71" t="str">
        <f ca="1">IFERROR(_xlfn.MAXIFS(tbl_Partenaires_Evaluations[Date evaluation],tbl_Partenaires_Evaluations[ID Partenaire],A70),"")</f>
        <v/>
      </c>
      <c r="BA70" s="34">
        <f>IF(A70="",0,COUNTIF(tbl_Partenaires_Risques[ID Partenaire],A70))</f>
        <v>0</v>
      </c>
      <c r="BB70" s="34" t="str">
        <f>IF(A70="","",IF(COUNTIFS(tbl_Partenaires_Risques[ID Partenaire],A70,tbl_Partenaires_Risques[Niveau],"Eleve")+COUNTIFS(tbl_Partenaires_Risques[ID Partenaire],A70,tbl_Partenaires_Risques[Niveau],"Critique")&gt;0,"OUI","NON"))</f>
        <v/>
      </c>
      <c r="BC70" s="34">
        <f>IF(A70="",0,COUNTIF(tbl_Partenaires_Contacts[ID Partenaire],A70))</f>
        <v>0</v>
      </c>
      <c r="BD70" s="34">
        <f>IF(A70="",0,COUNTIFS(tbl_Partenaires_Opportunites[ID Partenaire],A70,tbl_Partenaires_Opportunites[Statut],"&lt;&gt;Cloturee"))</f>
        <v>0</v>
      </c>
      <c r="BE70" s="34">
        <f>IF(A70="",0,COUNTIF(tbl_Partenaires_Prospection[ID Partenaire],A70))</f>
        <v>0</v>
      </c>
      <c r="BF70" s="57"/>
      <c r="BG70" s="57"/>
      <c r="BH70" s="57"/>
      <c r="BI70" s="57"/>
      <c r="BJ70" s="57"/>
      <c r="BK70" s="57"/>
      <c r="BL70" s="57"/>
      <c r="BM70" s="57"/>
      <c r="BN70" s="57"/>
      <c r="BO70" s="57"/>
      <c r="BP70" s="57"/>
      <c r="BQ70" s="57"/>
      <c r="BR70" s="34" t="str">
        <f>IF(C70="","",IF(OR(COUNTIF(C56:C115,C70)&gt;1,AND(E70&lt;&gt;"",COUNTIF(E56:E115,E70)&gt;1),AND(S70&lt;&gt;"",COUNTIF(S56:S115,S70)&gt;1),AND(U70&lt;&gt;"",COUNTIF(U56:U115,U70)&gt;1)),"OUI","NON"))</f>
        <v/>
      </c>
      <c r="BS70" s="57"/>
    </row>
    <row r="71" spans="1:71" ht="15" customHeight="1">
      <c r="A71" s="34" t="str">
        <f t="shared" si="0"/>
        <v/>
      </c>
      <c r="B71" s="57"/>
      <c r="C71" s="57"/>
      <c r="D71" s="57"/>
      <c r="E71" s="57"/>
      <c r="F71" s="57"/>
      <c r="G71" s="57"/>
      <c r="H71" s="57"/>
      <c r="I71" s="57"/>
      <c r="J71" s="70"/>
      <c r="K71" s="57"/>
      <c r="L71" s="57"/>
      <c r="M71" s="57"/>
      <c r="N71" s="34" t="str">
        <f>IFERROR(INDEX(PARAMETRES!$B$536:$B$586,MATCH(M71,PARAMETRES!$J$536:$J$586,0)),"")</f>
        <v/>
      </c>
      <c r="O71" s="34" t="str">
        <f>IFERROR(INDEX(PARAMETRES!$D$536:$D$586,MATCH(M71,PARAMETRES!$J$536:$J$586,0)),"")</f>
        <v/>
      </c>
      <c r="P71" s="34" t="str">
        <f>IFERROR(INDEX(PARAMETRES!$F$536:$F$586,MATCH(M71,PARAMETRES!$J$536:$J$586,0)),"")</f>
        <v/>
      </c>
      <c r="Q71" s="34" t="str">
        <f>IFERROR(INDEX(PARAMETRES!$H$536:$H$586,MATCH(M71,PARAMETRES!$J$536:$J$586,0)),"")</f>
        <v/>
      </c>
      <c r="R71" s="57"/>
      <c r="S71" s="57"/>
      <c r="T71" s="57"/>
      <c r="U71" s="57"/>
      <c r="V71" s="57"/>
      <c r="W71" s="57"/>
      <c r="X71" s="57"/>
      <c r="Y71" s="57"/>
      <c r="Z71" s="57"/>
      <c r="AA71" s="57"/>
      <c r="AB71" s="57"/>
      <c r="AC71" s="50"/>
      <c r="AD71" s="57"/>
      <c r="AE71" s="57"/>
      <c r="AF71" s="57"/>
      <c r="AG71" s="57"/>
      <c r="AH71" s="34" t="str">
        <f>IFERROR(INDEX(PARAMETRES!$B$536:$B$586,MATCH(AG71,PARAMETRES!$J$536:$J$586,0)),"")</f>
        <v/>
      </c>
      <c r="AI71" s="34" t="str">
        <f>IFERROR(INDEX(PARAMETRES!$D$536:$D$586,MATCH(AG71,PARAMETRES!$J$536:$J$586,0)),"")</f>
        <v/>
      </c>
      <c r="AJ71" s="34" t="str">
        <f>IFERROR(INDEX(PARAMETRES!$F$536:$F$586,MATCH(AG71,PARAMETRES!$J$536:$J$586,0)),"")</f>
        <v/>
      </c>
      <c r="AK71" s="34" t="str">
        <f>IFERROR(INDEX(PARAMETRES!$H$536:$H$586,MATCH(AG71,PARAMETRES!$J$536:$J$586,0)),"")</f>
        <v/>
      </c>
      <c r="AL71" s="50"/>
      <c r="AM71" s="50"/>
      <c r="AN71" s="57"/>
      <c r="AO71" s="57"/>
      <c r="AP71" s="51"/>
      <c r="AQ71" s="51"/>
      <c r="AR71" s="52" t="str">
        <f t="shared" si="1"/>
        <v/>
      </c>
      <c r="AS71" s="57"/>
      <c r="AT71" s="34">
        <f>IF(A71="",0,COUNTIF(tbl_Partenaires_Projets[ID Partenaire],A71))</f>
        <v>0</v>
      </c>
      <c r="AU71" s="34">
        <f>IF(A71="",0,COUNTIF(tbl_Partenaires_Conventions[ID Partenaire],A71))</f>
        <v>0</v>
      </c>
      <c r="AV71" s="34">
        <f>IF(A71="",0,COUNTIFS(tbl_Partenaires_Conventions[ID Partenaire],A71,tbl_Partenaires_Conventions[Statut],"Active"))</f>
        <v>0</v>
      </c>
      <c r="AW71" s="34" t="str">
        <f ca="1">IF(A71="","",IF(COUNTIFS(tbl_Partenaires_Conventions[ID Partenaire],A71,tbl_Partenaires_Conventions[Statut],"Active")=0,"NON",IF(_xlfn.MINIFS(tbl_Partenaires_Conventions[Date fin],tbl_Partenaires_Conventions[ID Partenaire],A71,tbl_Partenaires_Conventions[Statut],"Active")-TODAY()&lt;=60,"OUI","NON")))</f>
        <v/>
      </c>
      <c r="AX71" s="34">
        <f>IF(A71="",0,COUNTIF(tbl_Partenaires_Documents[ID Partenaire],A71))</f>
        <v>0</v>
      </c>
      <c r="AY71" s="63" t="str">
        <f>IFERROR(AVERAGEIFS(tbl_Partenaires_Evaluations[Note globale],tbl_Partenaires_Evaluations[ID Partenaire],A71),"")</f>
        <v/>
      </c>
      <c r="AZ71" s="71" t="str">
        <f ca="1">IFERROR(_xlfn.MAXIFS(tbl_Partenaires_Evaluations[Date evaluation],tbl_Partenaires_Evaluations[ID Partenaire],A71),"")</f>
        <v/>
      </c>
      <c r="BA71" s="34">
        <f>IF(A71="",0,COUNTIF(tbl_Partenaires_Risques[ID Partenaire],A71))</f>
        <v>0</v>
      </c>
      <c r="BB71" s="34" t="str">
        <f>IF(A71="","",IF(COUNTIFS(tbl_Partenaires_Risques[ID Partenaire],A71,tbl_Partenaires_Risques[Niveau],"Eleve")+COUNTIFS(tbl_Partenaires_Risques[ID Partenaire],A71,tbl_Partenaires_Risques[Niveau],"Critique")&gt;0,"OUI","NON"))</f>
        <v/>
      </c>
      <c r="BC71" s="34">
        <f>IF(A71="",0,COUNTIF(tbl_Partenaires_Contacts[ID Partenaire],A71))</f>
        <v>0</v>
      </c>
      <c r="BD71" s="34">
        <f>IF(A71="",0,COUNTIFS(tbl_Partenaires_Opportunites[ID Partenaire],A71,tbl_Partenaires_Opportunites[Statut],"&lt;&gt;Cloturee"))</f>
        <v>0</v>
      </c>
      <c r="BE71" s="34">
        <f>IF(A71="",0,COUNTIF(tbl_Partenaires_Prospection[ID Partenaire],A71))</f>
        <v>0</v>
      </c>
      <c r="BF71" s="57"/>
      <c r="BG71" s="57"/>
      <c r="BH71" s="57"/>
      <c r="BI71" s="57"/>
      <c r="BJ71" s="57"/>
      <c r="BK71" s="57"/>
      <c r="BL71" s="57"/>
      <c r="BM71" s="57"/>
      <c r="BN71" s="57"/>
      <c r="BO71" s="57"/>
      <c r="BP71" s="57"/>
      <c r="BQ71" s="57"/>
      <c r="BR71" s="34" t="str">
        <f>IF(C71="","",IF(OR(COUNTIF(C56:C115,C71)&gt;1,AND(E71&lt;&gt;"",COUNTIF(E56:E115,E71)&gt;1),AND(S71&lt;&gt;"",COUNTIF(S56:S115,S71)&gt;1),AND(U71&lt;&gt;"",COUNTIF(U56:U115,U71)&gt;1)),"OUI","NON"))</f>
        <v/>
      </c>
      <c r="BS71" s="57"/>
    </row>
    <row r="72" spans="1:71" ht="15" customHeight="1">
      <c r="A72" s="34" t="str">
        <f t="shared" si="0"/>
        <v/>
      </c>
      <c r="B72" s="57"/>
      <c r="C72" s="57"/>
      <c r="D72" s="57"/>
      <c r="E72" s="57"/>
      <c r="F72" s="57"/>
      <c r="G72" s="57"/>
      <c r="H72" s="57"/>
      <c r="I72" s="57"/>
      <c r="J72" s="70"/>
      <c r="K72" s="57"/>
      <c r="L72" s="57"/>
      <c r="M72" s="57"/>
      <c r="N72" s="34" t="str">
        <f>IFERROR(INDEX(PARAMETRES!$B$536:$B$586,MATCH(M72,PARAMETRES!$J$536:$J$586,0)),"")</f>
        <v/>
      </c>
      <c r="O72" s="34" t="str">
        <f>IFERROR(INDEX(PARAMETRES!$D$536:$D$586,MATCH(M72,PARAMETRES!$J$536:$J$586,0)),"")</f>
        <v/>
      </c>
      <c r="P72" s="34" t="str">
        <f>IFERROR(INDEX(PARAMETRES!$F$536:$F$586,MATCH(M72,PARAMETRES!$J$536:$J$586,0)),"")</f>
        <v/>
      </c>
      <c r="Q72" s="34" t="str">
        <f>IFERROR(INDEX(PARAMETRES!$H$536:$H$586,MATCH(M72,PARAMETRES!$J$536:$J$586,0)),"")</f>
        <v/>
      </c>
      <c r="R72" s="57"/>
      <c r="S72" s="57"/>
      <c r="T72" s="57"/>
      <c r="U72" s="57"/>
      <c r="V72" s="57"/>
      <c r="W72" s="57"/>
      <c r="X72" s="57"/>
      <c r="Y72" s="57"/>
      <c r="Z72" s="57"/>
      <c r="AA72" s="57"/>
      <c r="AB72" s="57"/>
      <c r="AC72" s="50"/>
      <c r="AD72" s="57"/>
      <c r="AE72" s="57"/>
      <c r="AF72" s="57"/>
      <c r="AG72" s="57"/>
      <c r="AH72" s="34" t="str">
        <f>IFERROR(INDEX(PARAMETRES!$B$536:$B$586,MATCH(AG72,PARAMETRES!$J$536:$J$586,0)),"")</f>
        <v/>
      </c>
      <c r="AI72" s="34" t="str">
        <f>IFERROR(INDEX(PARAMETRES!$D$536:$D$586,MATCH(AG72,PARAMETRES!$J$536:$J$586,0)),"")</f>
        <v/>
      </c>
      <c r="AJ72" s="34" t="str">
        <f>IFERROR(INDEX(PARAMETRES!$F$536:$F$586,MATCH(AG72,PARAMETRES!$J$536:$J$586,0)),"")</f>
        <v/>
      </c>
      <c r="AK72" s="34" t="str">
        <f>IFERROR(INDEX(PARAMETRES!$H$536:$H$586,MATCH(AG72,PARAMETRES!$J$536:$J$586,0)),"")</f>
        <v/>
      </c>
      <c r="AL72" s="50"/>
      <c r="AM72" s="50"/>
      <c r="AN72" s="57"/>
      <c r="AO72" s="57"/>
      <c r="AP72" s="51"/>
      <c r="AQ72" s="51"/>
      <c r="AR72" s="52" t="str">
        <f t="shared" si="1"/>
        <v/>
      </c>
      <c r="AS72" s="57"/>
      <c r="AT72" s="34">
        <f>IF(A72="",0,COUNTIF(tbl_Partenaires_Projets[ID Partenaire],A72))</f>
        <v>0</v>
      </c>
      <c r="AU72" s="34">
        <f>IF(A72="",0,COUNTIF(tbl_Partenaires_Conventions[ID Partenaire],A72))</f>
        <v>0</v>
      </c>
      <c r="AV72" s="34">
        <f>IF(A72="",0,COUNTIFS(tbl_Partenaires_Conventions[ID Partenaire],A72,tbl_Partenaires_Conventions[Statut],"Active"))</f>
        <v>0</v>
      </c>
      <c r="AW72" s="34" t="str">
        <f ca="1">IF(A72="","",IF(COUNTIFS(tbl_Partenaires_Conventions[ID Partenaire],A72,tbl_Partenaires_Conventions[Statut],"Active")=0,"NON",IF(_xlfn.MINIFS(tbl_Partenaires_Conventions[Date fin],tbl_Partenaires_Conventions[ID Partenaire],A72,tbl_Partenaires_Conventions[Statut],"Active")-TODAY()&lt;=60,"OUI","NON")))</f>
        <v/>
      </c>
      <c r="AX72" s="34">
        <f>IF(A72="",0,COUNTIF(tbl_Partenaires_Documents[ID Partenaire],A72))</f>
        <v>0</v>
      </c>
      <c r="AY72" s="63" t="str">
        <f>IFERROR(AVERAGEIFS(tbl_Partenaires_Evaluations[Note globale],tbl_Partenaires_Evaluations[ID Partenaire],A72),"")</f>
        <v/>
      </c>
      <c r="AZ72" s="71" t="str">
        <f ca="1">IFERROR(_xlfn.MAXIFS(tbl_Partenaires_Evaluations[Date evaluation],tbl_Partenaires_Evaluations[ID Partenaire],A72),"")</f>
        <v/>
      </c>
      <c r="BA72" s="34">
        <f>IF(A72="",0,COUNTIF(tbl_Partenaires_Risques[ID Partenaire],A72))</f>
        <v>0</v>
      </c>
      <c r="BB72" s="34" t="str">
        <f>IF(A72="","",IF(COUNTIFS(tbl_Partenaires_Risques[ID Partenaire],A72,tbl_Partenaires_Risques[Niveau],"Eleve")+COUNTIFS(tbl_Partenaires_Risques[ID Partenaire],A72,tbl_Partenaires_Risques[Niveau],"Critique")&gt;0,"OUI","NON"))</f>
        <v/>
      </c>
      <c r="BC72" s="34">
        <f>IF(A72="",0,COUNTIF(tbl_Partenaires_Contacts[ID Partenaire],A72))</f>
        <v>0</v>
      </c>
      <c r="BD72" s="34">
        <f>IF(A72="",0,COUNTIFS(tbl_Partenaires_Opportunites[ID Partenaire],A72,tbl_Partenaires_Opportunites[Statut],"&lt;&gt;Cloturee"))</f>
        <v>0</v>
      </c>
      <c r="BE72" s="34">
        <f>IF(A72="",0,COUNTIF(tbl_Partenaires_Prospection[ID Partenaire],A72))</f>
        <v>0</v>
      </c>
      <c r="BF72" s="57"/>
      <c r="BG72" s="57"/>
      <c r="BH72" s="57"/>
      <c r="BI72" s="57"/>
      <c r="BJ72" s="57"/>
      <c r="BK72" s="57"/>
      <c r="BL72" s="57"/>
      <c r="BM72" s="57"/>
      <c r="BN72" s="57"/>
      <c r="BO72" s="57"/>
      <c r="BP72" s="57"/>
      <c r="BQ72" s="57"/>
      <c r="BR72" s="34" t="str">
        <f>IF(C72="","",IF(OR(COUNTIF(C56:C115,C72)&gt;1,AND(E72&lt;&gt;"",COUNTIF(E56:E115,E72)&gt;1),AND(S72&lt;&gt;"",COUNTIF(S56:S115,S72)&gt;1),AND(U72&lt;&gt;"",COUNTIF(U56:U115,U72)&gt;1)),"OUI","NON"))</f>
        <v/>
      </c>
      <c r="BS72" s="57"/>
    </row>
    <row r="73" spans="1:71" ht="15" customHeight="1">
      <c r="A73" s="34" t="str">
        <f t="shared" si="0"/>
        <v/>
      </c>
      <c r="B73" s="57"/>
      <c r="C73" s="57"/>
      <c r="D73" s="57"/>
      <c r="E73" s="57"/>
      <c r="F73" s="57"/>
      <c r="G73" s="57"/>
      <c r="H73" s="57"/>
      <c r="I73" s="57"/>
      <c r="J73" s="70"/>
      <c r="K73" s="57"/>
      <c r="L73" s="57"/>
      <c r="M73" s="57"/>
      <c r="N73" s="34" t="str">
        <f>IFERROR(INDEX(PARAMETRES!$B$536:$B$586,MATCH(M73,PARAMETRES!$J$536:$J$586,0)),"")</f>
        <v/>
      </c>
      <c r="O73" s="34" t="str">
        <f>IFERROR(INDEX(PARAMETRES!$D$536:$D$586,MATCH(M73,PARAMETRES!$J$536:$J$586,0)),"")</f>
        <v/>
      </c>
      <c r="P73" s="34" t="str">
        <f>IFERROR(INDEX(PARAMETRES!$F$536:$F$586,MATCH(M73,PARAMETRES!$J$536:$J$586,0)),"")</f>
        <v/>
      </c>
      <c r="Q73" s="34" t="str">
        <f>IFERROR(INDEX(PARAMETRES!$H$536:$H$586,MATCH(M73,PARAMETRES!$J$536:$J$586,0)),"")</f>
        <v/>
      </c>
      <c r="R73" s="57"/>
      <c r="S73" s="57"/>
      <c r="T73" s="57"/>
      <c r="U73" s="57"/>
      <c r="V73" s="57"/>
      <c r="W73" s="57"/>
      <c r="X73" s="57"/>
      <c r="Y73" s="57"/>
      <c r="Z73" s="57"/>
      <c r="AA73" s="57"/>
      <c r="AB73" s="57"/>
      <c r="AC73" s="50"/>
      <c r="AD73" s="57"/>
      <c r="AE73" s="57"/>
      <c r="AF73" s="57"/>
      <c r="AG73" s="57"/>
      <c r="AH73" s="34" t="str">
        <f>IFERROR(INDEX(PARAMETRES!$B$536:$B$586,MATCH(AG73,PARAMETRES!$J$536:$J$586,0)),"")</f>
        <v/>
      </c>
      <c r="AI73" s="34" t="str">
        <f>IFERROR(INDEX(PARAMETRES!$D$536:$D$586,MATCH(AG73,PARAMETRES!$J$536:$J$586,0)),"")</f>
        <v/>
      </c>
      <c r="AJ73" s="34" t="str">
        <f>IFERROR(INDEX(PARAMETRES!$F$536:$F$586,MATCH(AG73,PARAMETRES!$J$536:$J$586,0)),"")</f>
        <v/>
      </c>
      <c r="AK73" s="34" t="str">
        <f>IFERROR(INDEX(PARAMETRES!$H$536:$H$586,MATCH(AG73,PARAMETRES!$J$536:$J$586,0)),"")</f>
        <v/>
      </c>
      <c r="AL73" s="50"/>
      <c r="AM73" s="50"/>
      <c r="AN73" s="57"/>
      <c r="AO73" s="57"/>
      <c r="AP73" s="51"/>
      <c r="AQ73" s="51"/>
      <c r="AR73" s="52" t="str">
        <f t="shared" si="1"/>
        <v/>
      </c>
      <c r="AS73" s="57"/>
      <c r="AT73" s="34">
        <f>IF(A73="",0,COUNTIF(tbl_Partenaires_Projets[ID Partenaire],A73))</f>
        <v>0</v>
      </c>
      <c r="AU73" s="34">
        <f>IF(A73="",0,COUNTIF(tbl_Partenaires_Conventions[ID Partenaire],A73))</f>
        <v>0</v>
      </c>
      <c r="AV73" s="34">
        <f>IF(A73="",0,COUNTIFS(tbl_Partenaires_Conventions[ID Partenaire],A73,tbl_Partenaires_Conventions[Statut],"Active"))</f>
        <v>0</v>
      </c>
      <c r="AW73" s="34" t="str">
        <f ca="1">IF(A73="","",IF(COUNTIFS(tbl_Partenaires_Conventions[ID Partenaire],A73,tbl_Partenaires_Conventions[Statut],"Active")=0,"NON",IF(_xlfn.MINIFS(tbl_Partenaires_Conventions[Date fin],tbl_Partenaires_Conventions[ID Partenaire],A73,tbl_Partenaires_Conventions[Statut],"Active")-TODAY()&lt;=60,"OUI","NON")))</f>
        <v/>
      </c>
      <c r="AX73" s="34">
        <f>IF(A73="",0,COUNTIF(tbl_Partenaires_Documents[ID Partenaire],A73))</f>
        <v>0</v>
      </c>
      <c r="AY73" s="63" t="str">
        <f>IFERROR(AVERAGEIFS(tbl_Partenaires_Evaluations[Note globale],tbl_Partenaires_Evaluations[ID Partenaire],A73),"")</f>
        <v/>
      </c>
      <c r="AZ73" s="71" t="str">
        <f ca="1">IFERROR(_xlfn.MAXIFS(tbl_Partenaires_Evaluations[Date evaluation],tbl_Partenaires_Evaluations[ID Partenaire],A73),"")</f>
        <v/>
      </c>
      <c r="BA73" s="34">
        <f>IF(A73="",0,COUNTIF(tbl_Partenaires_Risques[ID Partenaire],A73))</f>
        <v>0</v>
      </c>
      <c r="BB73" s="34" t="str">
        <f>IF(A73="","",IF(COUNTIFS(tbl_Partenaires_Risques[ID Partenaire],A73,tbl_Partenaires_Risques[Niveau],"Eleve")+COUNTIFS(tbl_Partenaires_Risques[ID Partenaire],A73,tbl_Partenaires_Risques[Niveau],"Critique")&gt;0,"OUI","NON"))</f>
        <v/>
      </c>
      <c r="BC73" s="34">
        <f>IF(A73="",0,COUNTIF(tbl_Partenaires_Contacts[ID Partenaire],A73))</f>
        <v>0</v>
      </c>
      <c r="BD73" s="34">
        <f>IF(A73="",0,COUNTIFS(tbl_Partenaires_Opportunites[ID Partenaire],A73,tbl_Partenaires_Opportunites[Statut],"&lt;&gt;Cloturee"))</f>
        <v>0</v>
      </c>
      <c r="BE73" s="34">
        <f>IF(A73="",0,COUNTIF(tbl_Partenaires_Prospection[ID Partenaire],A73))</f>
        <v>0</v>
      </c>
      <c r="BF73" s="57"/>
      <c r="BG73" s="57"/>
      <c r="BH73" s="57"/>
      <c r="BI73" s="57"/>
      <c r="BJ73" s="57"/>
      <c r="BK73" s="57"/>
      <c r="BL73" s="57"/>
      <c r="BM73" s="57"/>
      <c r="BN73" s="57"/>
      <c r="BO73" s="57"/>
      <c r="BP73" s="57"/>
      <c r="BQ73" s="57"/>
      <c r="BR73" s="34" t="str">
        <f>IF(C73="","",IF(OR(COUNTIF(C56:C115,C73)&gt;1,AND(E73&lt;&gt;"",COUNTIF(E56:E115,E73)&gt;1),AND(S73&lt;&gt;"",COUNTIF(S56:S115,S73)&gt;1),AND(U73&lt;&gt;"",COUNTIF(U56:U115,U73)&gt;1)),"OUI","NON"))</f>
        <v/>
      </c>
      <c r="BS73" s="57"/>
    </row>
    <row r="74" spans="1:71" ht="15" customHeight="1">
      <c r="A74" s="34" t="str">
        <f t="shared" si="0"/>
        <v/>
      </c>
      <c r="B74" s="57"/>
      <c r="C74" s="57"/>
      <c r="D74" s="57"/>
      <c r="E74" s="57"/>
      <c r="F74" s="57"/>
      <c r="G74" s="57"/>
      <c r="H74" s="57"/>
      <c r="I74" s="57"/>
      <c r="J74" s="70"/>
      <c r="K74" s="57"/>
      <c r="L74" s="57"/>
      <c r="M74" s="57"/>
      <c r="N74" s="34" t="str">
        <f>IFERROR(INDEX(PARAMETRES!$B$536:$B$586,MATCH(M74,PARAMETRES!$J$536:$J$586,0)),"")</f>
        <v/>
      </c>
      <c r="O74" s="34" t="str">
        <f>IFERROR(INDEX(PARAMETRES!$D$536:$D$586,MATCH(M74,PARAMETRES!$J$536:$J$586,0)),"")</f>
        <v/>
      </c>
      <c r="P74" s="34" t="str">
        <f>IFERROR(INDEX(PARAMETRES!$F$536:$F$586,MATCH(M74,PARAMETRES!$J$536:$J$586,0)),"")</f>
        <v/>
      </c>
      <c r="Q74" s="34" t="str">
        <f>IFERROR(INDEX(PARAMETRES!$H$536:$H$586,MATCH(M74,PARAMETRES!$J$536:$J$586,0)),"")</f>
        <v/>
      </c>
      <c r="R74" s="57"/>
      <c r="S74" s="57"/>
      <c r="T74" s="57"/>
      <c r="U74" s="57"/>
      <c r="V74" s="57"/>
      <c r="W74" s="57"/>
      <c r="X74" s="57"/>
      <c r="Y74" s="57"/>
      <c r="Z74" s="57"/>
      <c r="AA74" s="57"/>
      <c r="AB74" s="57"/>
      <c r="AC74" s="50"/>
      <c r="AD74" s="57"/>
      <c r="AE74" s="57"/>
      <c r="AF74" s="57"/>
      <c r="AG74" s="57"/>
      <c r="AH74" s="34" t="str">
        <f>IFERROR(INDEX(PARAMETRES!$B$536:$B$586,MATCH(AG74,PARAMETRES!$J$536:$J$586,0)),"")</f>
        <v/>
      </c>
      <c r="AI74" s="34" t="str">
        <f>IFERROR(INDEX(PARAMETRES!$D$536:$D$586,MATCH(AG74,PARAMETRES!$J$536:$J$586,0)),"")</f>
        <v/>
      </c>
      <c r="AJ74" s="34" t="str">
        <f>IFERROR(INDEX(PARAMETRES!$F$536:$F$586,MATCH(AG74,PARAMETRES!$J$536:$J$586,0)),"")</f>
        <v/>
      </c>
      <c r="AK74" s="34" t="str">
        <f>IFERROR(INDEX(PARAMETRES!$H$536:$H$586,MATCH(AG74,PARAMETRES!$J$536:$J$586,0)),"")</f>
        <v/>
      </c>
      <c r="AL74" s="50"/>
      <c r="AM74" s="50"/>
      <c r="AN74" s="57"/>
      <c r="AO74" s="57"/>
      <c r="AP74" s="51"/>
      <c r="AQ74" s="51"/>
      <c r="AR74" s="52" t="str">
        <f t="shared" si="1"/>
        <v/>
      </c>
      <c r="AS74" s="57"/>
      <c r="AT74" s="34">
        <f>IF(A74="",0,COUNTIF(tbl_Partenaires_Projets[ID Partenaire],A74))</f>
        <v>0</v>
      </c>
      <c r="AU74" s="34">
        <f>IF(A74="",0,COUNTIF(tbl_Partenaires_Conventions[ID Partenaire],A74))</f>
        <v>0</v>
      </c>
      <c r="AV74" s="34">
        <f>IF(A74="",0,COUNTIFS(tbl_Partenaires_Conventions[ID Partenaire],A74,tbl_Partenaires_Conventions[Statut],"Active"))</f>
        <v>0</v>
      </c>
      <c r="AW74" s="34" t="str">
        <f ca="1">IF(A74="","",IF(COUNTIFS(tbl_Partenaires_Conventions[ID Partenaire],A74,tbl_Partenaires_Conventions[Statut],"Active")=0,"NON",IF(_xlfn.MINIFS(tbl_Partenaires_Conventions[Date fin],tbl_Partenaires_Conventions[ID Partenaire],A74,tbl_Partenaires_Conventions[Statut],"Active")-TODAY()&lt;=60,"OUI","NON")))</f>
        <v/>
      </c>
      <c r="AX74" s="34">
        <f>IF(A74="",0,COUNTIF(tbl_Partenaires_Documents[ID Partenaire],A74))</f>
        <v>0</v>
      </c>
      <c r="AY74" s="63" t="str">
        <f>IFERROR(AVERAGEIFS(tbl_Partenaires_Evaluations[Note globale],tbl_Partenaires_Evaluations[ID Partenaire],A74),"")</f>
        <v/>
      </c>
      <c r="AZ74" s="71" t="str">
        <f ca="1">IFERROR(_xlfn.MAXIFS(tbl_Partenaires_Evaluations[Date evaluation],tbl_Partenaires_Evaluations[ID Partenaire],A74),"")</f>
        <v/>
      </c>
      <c r="BA74" s="34">
        <f>IF(A74="",0,COUNTIF(tbl_Partenaires_Risques[ID Partenaire],A74))</f>
        <v>0</v>
      </c>
      <c r="BB74" s="34" t="str">
        <f>IF(A74="","",IF(COUNTIFS(tbl_Partenaires_Risques[ID Partenaire],A74,tbl_Partenaires_Risques[Niveau],"Eleve")+COUNTIFS(tbl_Partenaires_Risques[ID Partenaire],A74,tbl_Partenaires_Risques[Niveau],"Critique")&gt;0,"OUI","NON"))</f>
        <v/>
      </c>
      <c r="BC74" s="34">
        <f>IF(A74="",0,COUNTIF(tbl_Partenaires_Contacts[ID Partenaire],A74))</f>
        <v>0</v>
      </c>
      <c r="BD74" s="34">
        <f>IF(A74="",0,COUNTIFS(tbl_Partenaires_Opportunites[ID Partenaire],A74,tbl_Partenaires_Opportunites[Statut],"&lt;&gt;Cloturee"))</f>
        <v>0</v>
      </c>
      <c r="BE74" s="34">
        <f>IF(A74="",0,COUNTIF(tbl_Partenaires_Prospection[ID Partenaire],A74))</f>
        <v>0</v>
      </c>
      <c r="BF74" s="57"/>
      <c r="BG74" s="57"/>
      <c r="BH74" s="57"/>
      <c r="BI74" s="57"/>
      <c r="BJ74" s="57"/>
      <c r="BK74" s="57"/>
      <c r="BL74" s="57"/>
      <c r="BM74" s="57"/>
      <c r="BN74" s="57"/>
      <c r="BO74" s="57"/>
      <c r="BP74" s="57"/>
      <c r="BQ74" s="57"/>
      <c r="BR74" s="34" t="str">
        <f>IF(C74="","",IF(OR(COUNTIF(C56:C115,C74)&gt;1,AND(E74&lt;&gt;"",COUNTIF(E56:E115,E74)&gt;1),AND(S74&lt;&gt;"",COUNTIF(S56:S115,S74)&gt;1),AND(U74&lt;&gt;"",COUNTIF(U56:U115,U74)&gt;1)),"OUI","NON"))</f>
        <v/>
      </c>
      <c r="BS74" s="57"/>
    </row>
    <row r="75" spans="1:71" ht="15" customHeight="1">
      <c r="A75" s="34" t="str">
        <f t="shared" si="0"/>
        <v/>
      </c>
      <c r="B75" s="57"/>
      <c r="C75" s="57"/>
      <c r="D75" s="57"/>
      <c r="E75" s="57"/>
      <c r="F75" s="57"/>
      <c r="G75" s="57"/>
      <c r="H75" s="57"/>
      <c r="I75" s="57"/>
      <c r="J75" s="70"/>
      <c r="K75" s="57"/>
      <c r="L75" s="57"/>
      <c r="M75" s="57"/>
      <c r="N75" s="34" t="str">
        <f>IFERROR(INDEX(PARAMETRES!$B$536:$B$586,MATCH(M75,PARAMETRES!$J$536:$J$586,0)),"")</f>
        <v/>
      </c>
      <c r="O75" s="34" t="str">
        <f>IFERROR(INDEX(PARAMETRES!$D$536:$D$586,MATCH(M75,PARAMETRES!$J$536:$J$586,0)),"")</f>
        <v/>
      </c>
      <c r="P75" s="34" t="str">
        <f>IFERROR(INDEX(PARAMETRES!$F$536:$F$586,MATCH(M75,PARAMETRES!$J$536:$J$586,0)),"")</f>
        <v/>
      </c>
      <c r="Q75" s="34" t="str">
        <f>IFERROR(INDEX(PARAMETRES!$H$536:$H$586,MATCH(M75,PARAMETRES!$J$536:$J$586,0)),"")</f>
        <v/>
      </c>
      <c r="R75" s="57"/>
      <c r="S75" s="57"/>
      <c r="T75" s="57"/>
      <c r="U75" s="57"/>
      <c r="V75" s="57"/>
      <c r="W75" s="57"/>
      <c r="X75" s="57"/>
      <c r="Y75" s="57"/>
      <c r="Z75" s="57"/>
      <c r="AA75" s="57"/>
      <c r="AB75" s="57"/>
      <c r="AC75" s="50"/>
      <c r="AD75" s="57"/>
      <c r="AE75" s="57"/>
      <c r="AF75" s="57"/>
      <c r="AG75" s="57"/>
      <c r="AH75" s="34" t="str">
        <f>IFERROR(INDEX(PARAMETRES!$B$536:$B$586,MATCH(AG75,PARAMETRES!$J$536:$J$586,0)),"")</f>
        <v/>
      </c>
      <c r="AI75" s="34" t="str">
        <f>IFERROR(INDEX(PARAMETRES!$D$536:$D$586,MATCH(AG75,PARAMETRES!$J$536:$J$586,0)),"")</f>
        <v/>
      </c>
      <c r="AJ75" s="34" t="str">
        <f>IFERROR(INDEX(PARAMETRES!$F$536:$F$586,MATCH(AG75,PARAMETRES!$J$536:$J$586,0)),"")</f>
        <v/>
      </c>
      <c r="AK75" s="34" t="str">
        <f>IFERROR(INDEX(PARAMETRES!$H$536:$H$586,MATCH(AG75,PARAMETRES!$J$536:$J$586,0)),"")</f>
        <v/>
      </c>
      <c r="AL75" s="50"/>
      <c r="AM75" s="50"/>
      <c r="AN75" s="57"/>
      <c r="AO75" s="57"/>
      <c r="AP75" s="51"/>
      <c r="AQ75" s="51"/>
      <c r="AR75" s="52" t="str">
        <f t="shared" si="1"/>
        <v/>
      </c>
      <c r="AS75" s="57"/>
      <c r="AT75" s="34">
        <f>IF(A75="",0,COUNTIF(tbl_Partenaires_Projets[ID Partenaire],A75))</f>
        <v>0</v>
      </c>
      <c r="AU75" s="34">
        <f>IF(A75="",0,COUNTIF(tbl_Partenaires_Conventions[ID Partenaire],A75))</f>
        <v>0</v>
      </c>
      <c r="AV75" s="34">
        <f>IF(A75="",0,COUNTIFS(tbl_Partenaires_Conventions[ID Partenaire],A75,tbl_Partenaires_Conventions[Statut],"Active"))</f>
        <v>0</v>
      </c>
      <c r="AW75" s="34" t="str">
        <f ca="1">IF(A75="","",IF(COUNTIFS(tbl_Partenaires_Conventions[ID Partenaire],A75,tbl_Partenaires_Conventions[Statut],"Active")=0,"NON",IF(_xlfn.MINIFS(tbl_Partenaires_Conventions[Date fin],tbl_Partenaires_Conventions[ID Partenaire],A75,tbl_Partenaires_Conventions[Statut],"Active")-TODAY()&lt;=60,"OUI","NON")))</f>
        <v/>
      </c>
      <c r="AX75" s="34">
        <f>IF(A75="",0,COUNTIF(tbl_Partenaires_Documents[ID Partenaire],A75))</f>
        <v>0</v>
      </c>
      <c r="AY75" s="63" t="str">
        <f>IFERROR(AVERAGEIFS(tbl_Partenaires_Evaluations[Note globale],tbl_Partenaires_Evaluations[ID Partenaire],A75),"")</f>
        <v/>
      </c>
      <c r="AZ75" s="71" t="str">
        <f ca="1">IFERROR(_xlfn.MAXIFS(tbl_Partenaires_Evaluations[Date evaluation],tbl_Partenaires_Evaluations[ID Partenaire],A75),"")</f>
        <v/>
      </c>
      <c r="BA75" s="34">
        <f>IF(A75="",0,COUNTIF(tbl_Partenaires_Risques[ID Partenaire],A75))</f>
        <v>0</v>
      </c>
      <c r="BB75" s="34" t="str">
        <f>IF(A75="","",IF(COUNTIFS(tbl_Partenaires_Risques[ID Partenaire],A75,tbl_Partenaires_Risques[Niveau],"Eleve")+COUNTIFS(tbl_Partenaires_Risques[ID Partenaire],A75,tbl_Partenaires_Risques[Niveau],"Critique")&gt;0,"OUI","NON"))</f>
        <v/>
      </c>
      <c r="BC75" s="34">
        <f>IF(A75="",0,COUNTIF(tbl_Partenaires_Contacts[ID Partenaire],A75))</f>
        <v>0</v>
      </c>
      <c r="BD75" s="34">
        <f>IF(A75="",0,COUNTIFS(tbl_Partenaires_Opportunites[ID Partenaire],A75,tbl_Partenaires_Opportunites[Statut],"&lt;&gt;Cloturee"))</f>
        <v>0</v>
      </c>
      <c r="BE75" s="34">
        <f>IF(A75="",0,COUNTIF(tbl_Partenaires_Prospection[ID Partenaire],A75))</f>
        <v>0</v>
      </c>
      <c r="BF75" s="57"/>
      <c r="BG75" s="57"/>
      <c r="BH75" s="57"/>
      <c r="BI75" s="57"/>
      <c r="BJ75" s="57"/>
      <c r="BK75" s="57"/>
      <c r="BL75" s="57"/>
      <c r="BM75" s="57"/>
      <c r="BN75" s="57"/>
      <c r="BO75" s="57"/>
      <c r="BP75" s="57"/>
      <c r="BQ75" s="57"/>
      <c r="BR75" s="34" t="str">
        <f>IF(C75="","",IF(OR(COUNTIF(C56:C115,C75)&gt;1,AND(E75&lt;&gt;"",COUNTIF(E56:E115,E75)&gt;1),AND(S75&lt;&gt;"",COUNTIF(S56:S115,S75)&gt;1),AND(U75&lt;&gt;"",COUNTIF(U56:U115,U75)&gt;1)),"OUI","NON"))</f>
        <v/>
      </c>
      <c r="BS75" s="57"/>
    </row>
    <row r="76" spans="1:71" ht="15" customHeight="1">
      <c r="A76" s="34" t="str">
        <f t="shared" si="0"/>
        <v/>
      </c>
      <c r="B76" s="57"/>
      <c r="C76" s="57"/>
      <c r="D76" s="57"/>
      <c r="E76" s="57"/>
      <c r="F76" s="57"/>
      <c r="G76" s="57"/>
      <c r="H76" s="57"/>
      <c r="I76" s="57"/>
      <c r="J76" s="70"/>
      <c r="K76" s="57"/>
      <c r="L76" s="57"/>
      <c r="M76" s="57"/>
      <c r="N76" s="34" t="str">
        <f>IFERROR(INDEX(PARAMETRES!$B$536:$B$586,MATCH(M76,PARAMETRES!$J$536:$J$586,0)),"")</f>
        <v/>
      </c>
      <c r="O76" s="34" t="str">
        <f>IFERROR(INDEX(PARAMETRES!$D$536:$D$586,MATCH(M76,PARAMETRES!$J$536:$J$586,0)),"")</f>
        <v/>
      </c>
      <c r="P76" s="34" t="str">
        <f>IFERROR(INDEX(PARAMETRES!$F$536:$F$586,MATCH(M76,PARAMETRES!$J$536:$J$586,0)),"")</f>
        <v/>
      </c>
      <c r="Q76" s="34" t="str">
        <f>IFERROR(INDEX(PARAMETRES!$H$536:$H$586,MATCH(M76,PARAMETRES!$J$536:$J$586,0)),"")</f>
        <v/>
      </c>
      <c r="R76" s="57"/>
      <c r="S76" s="57"/>
      <c r="T76" s="57"/>
      <c r="U76" s="57"/>
      <c r="V76" s="57"/>
      <c r="W76" s="57"/>
      <c r="X76" s="57"/>
      <c r="Y76" s="57"/>
      <c r="Z76" s="57"/>
      <c r="AA76" s="57"/>
      <c r="AB76" s="57"/>
      <c r="AC76" s="50"/>
      <c r="AD76" s="57"/>
      <c r="AE76" s="57"/>
      <c r="AF76" s="57"/>
      <c r="AG76" s="57"/>
      <c r="AH76" s="34" t="str">
        <f>IFERROR(INDEX(PARAMETRES!$B$536:$B$586,MATCH(AG76,PARAMETRES!$J$536:$J$586,0)),"")</f>
        <v/>
      </c>
      <c r="AI76" s="34" t="str">
        <f>IFERROR(INDEX(PARAMETRES!$D$536:$D$586,MATCH(AG76,PARAMETRES!$J$536:$J$586,0)),"")</f>
        <v/>
      </c>
      <c r="AJ76" s="34" t="str">
        <f>IFERROR(INDEX(PARAMETRES!$F$536:$F$586,MATCH(AG76,PARAMETRES!$J$536:$J$586,0)),"")</f>
        <v/>
      </c>
      <c r="AK76" s="34" t="str">
        <f>IFERROR(INDEX(PARAMETRES!$H$536:$H$586,MATCH(AG76,PARAMETRES!$J$536:$J$586,0)),"")</f>
        <v/>
      </c>
      <c r="AL76" s="50"/>
      <c r="AM76" s="50"/>
      <c r="AN76" s="57"/>
      <c r="AO76" s="57"/>
      <c r="AP76" s="51"/>
      <c r="AQ76" s="51"/>
      <c r="AR76" s="52" t="str">
        <f t="shared" si="1"/>
        <v/>
      </c>
      <c r="AS76" s="57"/>
      <c r="AT76" s="34">
        <f>IF(A76="",0,COUNTIF(tbl_Partenaires_Projets[ID Partenaire],A76))</f>
        <v>0</v>
      </c>
      <c r="AU76" s="34">
        <f>IF(A76="",0,COUNTIF(tbl_Partenaires_Conventions[ID Partenaire],A76))</f>
        <v>0</v>
      </c>
      <c r="AV76" s="34">
        <f>IF(A76="",0,COUNTIFS(tbl_Partenaires_Conventions[ID Partenaire],A76,tbl_Partenaires_Conventions[Statut],"Active"))</f>
        <v>0</v>
      </c>
      <c r="AW76" s="34" t="str">
        <f ca="1">IF(A76="","",IF(COUNTIFS(tbl_Partenaires_Conventions[ID Partenaire],A76,tbl_Partenaires_Conventions[Statut],"Active")=0,"NON",IF(_xlfn.MINIFS(tbl_Partenaires_Conventions[Date fin],tbl_Partenaires_Conventions[ID Partenaire],A76,tbl_Partenaires_Conventions[Statut],"Active")-TODAY()&lt;=60,"OUI","NON")))</f>
        <v/>
      </c>
      <c r="AX76" s="34">
        <f>IF(A76="",0,COUNTIF(tbl_Partenaires_Documents[ID Partenaire],A76))</f>
        <v>0</v>
      </c>
      <c r="AY76" s="63" t="str">
        <f>IFERROR(AVERAGEIFS(tbl_Partenaires_Evaluations[Note globale],tbl_Partenaires_Evaluations[ID Partenaire],A76),"")</f>
        <v/>
      </c>
      <c r="AZ76" s="71" t="str">
        <f ca="1">IFERROR(_xlfn.MAXIFS(tbl_Partenaires_Evaluations[Date evaluation],tbl_Partenaires_Evaluations[ID Partenaire],A76),"")</f>
        <v/>
      </c>
      <c r="BA76" s="34">
        <f>IF(A76="",0,COUNTIF(tbl_Partenaires_Risques[ID Partenaire],A76))</f>
        <v>0</v>
      </c>
      <c r="BB76" s="34" t="str">
        <f>IF(A76="","",IF(COUNTIFS(tbl_Partenaires_Risques[ID Partenaire],A76,tbl_Partenaires_Risques[Niveau],"Eleve")+COUNTIFS(tbl_Partenaires_Risques[ID Partenaire],A76,tbl_Partenaires_Risques[Niveau],"Critique")&gt;0,"OUI","NON"))</f>
        <v/>
      </c>
      <c r="BC76" s="34">
        <f>IF(A76="",0,COUNTIF(tbl_Partenaires_Contacts[ID Partenaire],A76))</f>
        <v>0</v>
      </c>
      <c r="BD76" s="34">
        <f>IF(A76="",0,COUNTIFS(tbl_Partenaires_Opportunites[ID Partenaire],A76,tbl_Partenaires_Opportunites[Statut],"&lt;&gt;Cloturee"))</f>
        <v>0</v>
      </c>
      <c r="BE76" s="34">
        <f>IF(A76="",0,COUNTIF(tbl_Partenaires_Prospection[ID Partenaire],A76))</f>
        <v>0</v>
      </c>
      <c r="BF76" s="57"/>
      <c r="BG76" s="57"/>
      <c r="BH76" s="57"/>
      <c r="BI76" s="57"/>
      <c r="BJ76" s="57"/>
      <c r="BK76" s="57"/>
      <c r="BL76" s="57"/>
      <c r="BM76" s="57"/>
      <c r="BN76" s="57"/>
      <c r="BO76" s="57"/>
      <c r="BP76" s="57"/>
      <c r="BQ76" s="57"/>
      <c r="BR76" s="34" t="str">
        <f>IF(C76="","",IF(OR(COUNTIF(C56:C115,C76)&gt;1,AND(E76&lt;&gt;"",COUNTIF(E56:E115,E76)&gt;1),AND(S76&lt;&gt;"",COUNTIF(S56:S115,S76)&gt;1),AND(U76&lt;&gt;"",COUNTIF(U56:U115,U76)&gt;1)),"OUI","NON"))</f>
        <v/>
      </c>
      <c r="BS76" s="57"/>
    </row>
    <row r="77" spans="1:71" ht="15" customHeight="1">
      <c r="A77" s="34" t="str">
        <f t="shared" si="0"/>
        <v/>
      </c>
      <c r="B77" s="57"/>
      <c r="C77" s="57"/>
      <c r="D77" s="57"/>
      <c r="E77" s="57"/>
      <c r="F77" s="57"/>
      <c r="G77" s="57"/>
      <c r="H77" s="57"/>
      <c r="I77" s="57"/>
      <c r="J77" s="70"/>
      <c r="K77" s="57"/>
      <c r="L77" s="57"/>
      <c r="M77" s="57"/>
      <c r="N77" s="34" t="str">
        <f>IFERROR(INDEX(PARAMETRES!$B$536:$B$586,MATCH(M77,PARAMETRES!$J$536:$J$586,0)),"")</f>
        <v/>
      </c>
      <c r="O77" s="34" t="str">
        <f>IFERROR(INDEX(PARAMETRES!$D$536:$D$586,MATCH(M77,PARAMETRES!$J$536:$J$586,0)),"")</f>
        <v/>
      </c>
      <c r="P77" s="34" t="str">
        <f>IFERROR(INDEX(PARAMETRES!$F$536:$F$586,MATCH(M77,PARAMETRES!$J$536:$J$586,0)),"")</f>
        <v/>
      </c>
      <c r="Q77" s="34" t="str">
        <f>IFERROR(INDEX(PARAMETRES!$H$536:$H$586,MATCH(M77,PARAMETRES!$J$536:$J$586,0)),"")</f>
        <v/>
      </c>
      <c r="R77" s="57"/>
      <c r="S77" s="57"/>
      <c r="T77" s="57"/>
      <c r="U77" s="57"/>
      <c r="V77" s="57"/>
      <c r="W77" s="57"/>
      <c r="X77" s="57"/>
      <c r="Y77" s="57"/>
      <c r="Z77" s="57"/>
      <c r="AA77" s="57"/>
      <c r="AB77" s="57"/>
      <c r="AC77" s="50"/>
      <c r="AD77" s="57"/>
      <c r="AE77" s="57"/>
      <c r="AF77" s="57"/>
      <c r="AG77" s="57"/>
      <c r="AH77" s="34" t="str">
        <f>IFERROR(INDEX(PARAMETRES!$B$536:$B$586,MATCH(AG77,PARAMETRES!$J$536:$J$586,0)),"")</f>
        <v/>
      </c>
      <c r="AI77" s="34" t="str">
        <f>IFERROR(INDEX(PARAMETRES!$D$536:$D$586,MATCH(AG77,PARAMETRES!$J$536:$J$586,0)),"")</f>
        <v/>
      </c>
      <c r="AJ77" s="34" t="str">
        <f>IFERROR(INDEX(PARAMETRES!$F$536:$F$586,MATCH(AG77,PARAMETRES!$J$536:$J$586,0)),"")</f>
        <v/>
      </c>
      <c r="AK77" s="34" t="str">
        <f>IFERROR(INDEX(PARAMETRES!$H$536:$H$586,MATCH(AG77,PARAMETRES!$J$536:$J$586,0)),"")</f>
        <v/>
      </c>
      <c r="AL77" s="50"/>
      <c r="AM77" s="50"/>
      <c r="AN77" s="57"/>
      <c r="AO77" s="57"/>
      <c r="AP77" s="51"/>
      <c r="AQ77" s="51"/>
      <c r="AR77" s="52" t="str">
        <f t="shared" si="1"/>
        <v/>
      </c>
      <c r="AS77" s="57"/>
      <c r="AT77" s="34">
        <f>IF(A77="",0,COUNTIF(tbl_Partenaires_Projets[ID Partenaire],A77))</f>
        <v>0</v>
      </c>
      <c r="AU77" s="34">
        <f>IF(A77="",0,COUNTIF(tbl_Partenaires_Conventions[ID Partenaire],A77))</f>
        <v>0</v>
      </c>
      <c r="AV77" s="34">
        <f>IF(A77="",0,COUNTIFS(tbl_Partenaires_Conventions[ID Partenaire],A77,tbl_Partenaires_Conventions[Statut],"Active"))</f>
        <v>0</v>
      </c>
      <c r="AW77" s="34" t="str">
        <f ca="1">IF(A77="","",IF(COUNTIFS(tbl_Partenaires_Conventions[ID Partenaire],A77,tbl_Partenaires_Conventions[Statut],"Active")=0,"NON",IF(_xlfn.MINIFS(tbl_Partenaires_Conventions[Date fin],tbl_Partenaires_Conventions[ID Partenaire],A77,tbl_Partenaires_Conventions[Statut],"Active")-TODAY()&lt;=60,"OUI","NON")))</f>
        <v/>
      </c>
      <c r="AX77" s="34">
        <f>IF(A77="",0,COUNTIF(tbl_Partenaires_Documents[ID Partenaire],A77))</f>
        <v>0</v>
      </c>
      <c r="AY77" s="63" t="str">
        <f>IFERROR(AVERAGEIFS(tbl_Partenaires_Evaluations[Note globale],tbl_Partenaires_Evaluations[ID Partenaire],A77),"")</f>
        <v/>
      </c>
      <c r="AZ77" s="71" t="str">
        <f ca="1">IFERROR(_xlfn.MAXIFS(tbl_Partenaires_Evaluations[Date evaluation],tbl_Partenaires_Evaluations[ID Partenaire],A77),"")</f>
        <v/>
      </c>
      <c r="BA77" s="34">
        <f>IF(A77="",0,COUNTIF(tbl_Partenaires_Risques[ID Partenaire],A77))</f>
        <v>0</v>
      </c>
      <c r="BB77" s="34" t="str">
        <f>IF(A77="","",IF(COUNTIFS(tbl_Partenaires_Risques[ID Partenaire],A77,tbl_Partenaires_Risques[Niveau],"Eleve")+COUNTIFS(tbl_Partenaires_Risques[ID Partenaire],A77,tbl_Partenaires_Risques[Niveau],"Critique")&gt;0,"OUI","NON"))</f>
        <v/>
      </c>
      <c r="BC77" s="34">
        <f>IF(A77="",0,COUNTIF(tbl_Partenaires_Contacts[ID Partenaire],A77))</f>
        <v>0</v>
      </c>
      <c r="BD77" s="34">
        <f>IF(A77="",0,COUNTIFS(tbl_Partenaires_Opportunites[ID Partenaire],A77,tbl_Partenaires_Opportunites[Statut],"&lt;&gt;Cloturee"))</f>
        <v>0</v>
      </c>
      <c r="BE77" s="34">
        <f>IF(A77="",0,COUNTIF(tbl_Partenaires_Prospection[ID Partenaire],A77))</f>
        <v>0</v>
      </c>
      <c r="BF77" s="57"/>
      <c r="BG77" s="57"/>
      <c r="BH77" s="57"/>
      <c r="BI77" s="57"/>
      <c r="BJ77" s="57"/>
      <c r="BK77" s="57"/>
      <c r="BL77" s="57"/>
      <c r="BM77" s="57"/>
      <c r="BN77" s="57"/>
      <c r="BO77" s="57"/>
      <c r="BP77" s="57"/>
      <c r="BQ77" s="57"/>
      <c r="BR77" s="34" t="str">
        <f>IF(C77="","",IF(OR(COUNTIF(C56:C115,C77)&gt;1,AND(E77&lt;&gt;"",COUNTIF(E56:E115,E77)&gt;1),AND(S77&lt;&gt;"",COUNTIF(S56:S115,S77)&gt;1),AND(U77&lt;&gt;"",COUNTIF(U56:U115,U77)&gt;1)),"OUI","NON"))</f>
        <v/>
      </c>
      <c r="BS77" s="57"/>
    </row>
    <row r="78" spans="1:71" ht="15" customHeight="1">
      <c r="A78" s="34" t="str">
        <f t="shared" si="0"/>
        <v/>
      </c>
      <c r="B78" s="57"/>
      <c r="C78" s="57"/>
      <c r="D78" s="57"/>
      <c r="E78" s="57"/>
      <c r="F78" s="57"/>
      <c r="G78" s="57"/>
      <c r="H78" s="57"/>
      <c r="I78" s="57"/>
      <c r="J78" s="70"/>
      <c r="K78" s="57"/>
      <c r="L78" s="57"/>
      <c r="M78" s="57"/>
      <c r="N78" s="34" t="str">
        <f>IFERROR(INDEX(PARAMETRES!$B$536:$B$586,MATCH(M78,PARAMETRES!$J$536:$J$586,0)),"")</f>
        <v/>
      </c>
      <c r="O78" s="34" t="str">
        <f>IFERROR(INDEX(PARAMETRES!$D$536:$D$586,MATCH(M78,PARAMETRES!$J$536:$J$586,0)),"")</f>
        <v/>
      </c>
      <c r="P78" s="34" t="str">
        <f>IFERROR(INDEX(PARAMETRES!$F$536:$F$586,MATCH(M78,PARAMETRES!$J$536:$J$586,0)),"")</f>
        <v/>
      </c>
      <c r="Q78" s="34" t="str">
        <f>IFERROR(INDEX(PARAMETRES!$H$536:$H$586,MATCH(M78,PARAMETRES!$J$536:$J$586,0)),"")</f>
        <v/>
      </c>
      <c r="R78" s="57"/>
      <c r="S78" s="57"/>
      <c r="T78" s="57"/>
      <c r="U78" s="57"/>
      <c r="V78" s="57"/>
      <c r="W78" s="57"/>
      <c r="X78" s="57"/>
      <c r="Y78" s="57"/>
      <c r="Z78" s="57"/>
      <c r="AA78" s="57"/>
      <c r="AB78" s="57"/>
      <c r="AC78" s="50"/>
      <c r="AD78" s="57"/>
      <c r="AE78" s="57"/>
      <c r="AF78" s="57"/>
      <c r="AG78" s="57"/>
      <c r="AH78" s="34" t="str">
        <f>IFERROR(INDEX(PARAMETRES!$B$536:$B$586,MATCH(AG78,PARAMETRES!$J$536:$J$586,0)),"")</f>
        <v/>
      </c>
      <c r="AI78" s="34" t="str">
        <f>IFERROR(INDEX(PARAMETRES!$D$536:$D$586,MATCH(AG78,PARAMETRES!$J$536:$J$586,0)),"")</f>
        <v/>
      </c>
      <c r="AJ78" s="34" t="str">
        <f>IFERROR(INDEX(PARAMETRES!$F$536:$F$586,MATCH(AG78,PARAMETRES!$J$536:$J$586,0)),"")</f>
        <v/>
      </c>
      <c r="AK78" s="34" t="str">
        <f>IFERROR(INDEX(PARAMETRES!$H$536:$H$586,MATCH(AG78,PARAMETRES!$J$536:$J$586,0)),"")</f>
        <v/>
      </c>
      <c r="AL78" s="50"/>
      <c r="AM78" s="50"/>
      <c r="AN78" s="57"/>
      <c r="AO78" s="57"/>
      <c r="AP78" s="51"/>
      <c r="AQ78" s="51"/>
      <c r="AR78" s="52" t="str">
        <f t="shared" si="1"/>
        <v/>
      </c>
      <c r="AS78" s="57"/>
      <c r="AT78" s="34">
        <f>IF(A78="",0,COUNTIF(tbl_Partenaires_Projets[ID Partenaire],A78))</f>
        <v>0</v>
      </c>
      <c r="AU78" s="34">
        <f>IF(A78="",0,COUNTIF(tbl_Partenaires_Conventions[ID Partenaire],A78))</f>
        <v>0</v>
      </c>
      <c r="AV78" s="34">
        <f>IF(A78="",0,COUNTIFS(tbl_Partenaires_Conventions[ID Partenaire],A78,tbl_Partenaires_Conventions[Statut],"Active"))</f>
        <v>0</v>
      </c>
      <c r="AW78" s="34" t="str">
        <f ca="1">IF(A78="","",IF(COUNTIFS(tbl_Partenaires_Conventions[ID Partenaire],A78,tbl_Partenaires_Conventions[Statut],"Active")=0,"NON",IF(_xlfn.MINIFS(tbl_Partenaires_Conventions[Date fin],tbl_Partenaires_Conventions[ID Partenaire],A78,tbl_Partenaires_Conventions[Statut],"Active")-TODAY()&lt;=60,"OUI","NON")))</f>
        <v/>
      </c>
      <c r="AX78" s="34">
        <f>IF(A78="",0,COUNTIF(tbl_Partenaires_Documents[ID Partenaire],A78))</f>
        <v>0</v>
      </c>
      <c r="AY78" s="63" t="str">
        <f>IFERROR(AVERAGEIFS(tbl_Partenaires_Evaluations[Note globale],tbl_Partenaires_Evaluations[ID Partenaire],A78),"")</f>
        <v/>
      </c>
      <c r="AZ78" s="71" t="str">
        <f ca="1">IFERROR(_xlfn.MAXIFS(tbl_Partenaires_Evaluations[Date evaluation],tbl_Partenaires_Evaluations[ID Partenaire],A78),"")</f>
        <v/>
      </c>
      <c r="BA78" s="34">
        <f>IF(A78="",0,COUNTIF(tbl_Partenaires_Risques[ID Partenaire],A78))</f>
        <v>0</v>
      </c>
      <c r="BB78" s="34" t="str">
        <f>IF(A78="","",IF(COUNTIFS(tbl_Partenaires_Risques[ID Partenaire],A78,tbl_Partenaires_Risques[Niveau],"Eleve")+COUNTIFS(tbl_Partenaires_Risques[ID Partenaire],A78,tbl_Partenaires_Risques[Niveau],"Critique")&gt;0,"OUI","NON"))</f>
        <v/>
      </c>
      <c r="BC78" s="34">
        <f>IF(A78="",0,COUNTIF(tbl_Partenaires_Contacts[ID Partenaire],A78))</f>
        <v>0</v>
      </c>
      <c r="BD78" s="34">
        <f>IF(A78="",0,COUNTIFS(tbl_Partenaires_Opportunites[ID Partenaire],A78,tbl_Partenaires_Opportunites[Statut],"&lt;&gt;Cloturee"))</f>
        <v>0</v>
      </c>
      <c r="BE78" s="34">
        <f>IF(A78="",0,COUNTIF(tbl_Partenaires_Prospection[ID Partenaire],A78))</f>
        <v>0</v>
      </c>
      <c r="BF78" s="57"/>
      <c r="BG78" s="57"/>
      <c r="BH78" s="57"/>
      <c r="BI78" s="57"/>
      <c r="BJ78" s="57"/>
      <c r="BK78" s="57"/>
      <c r="BL78" s="57"/>
      <c r="BM78" s="57"/>
      <c r="BN78" s="57"/>
      <c r="BO78" s="57"/>
      <c r="BP78" s="57"/>
      <c r="BQ78" s="57"/>
      <c r="BR78" s="34" t="str">
        <f>IF(C78="","",IF(OR(COUNTIF(C56:C115,C78)&gt;1,AND(E78&lt;&gt;"",COUNTIF(E56:E115,E78)&gt;1),AND(S78&lt;&gt;"",COUNTIF(S56:S115,S78)&gt;1),AND(U78&lt;&gt;"",COUNTIF(U56:U115,U78)&gt;1)),"OUI","NON"))</f>
        <v/>
      </c>
      <c r="BS78" s="57"/>
    </row>
    <row r="79" spans="1:71" ht="15" customHeight="1">
      <c r="A79" s="34" t="str">
        <f t="shared" si="0"/>
        <v/>
      </c>
      <c r="B79" s="57"/>
      <c r="C79" s="57"/>
      <c r="D79" s="57"/>
      <c r="E79" s="57"/>
      <c r="F79" s="57"/>
      <c r="G79" s="57"/>
      <c r="H79" s="57"/>
      <c r="I79" s="57"/>
      <c r="J79" s="70"/>
      <c r="K79" s="57"/>
      <c r="L79" s="57"/>
      <c r="M79" s="57"/>
      <c r="N79" s="34" t="str">
        <f>IFERROR(INDEX(PARAMETRES!$B$536:$B$586,MATCH(M79,PARAMETRES!$J$536:$J$586,0)),"")</f>
        <v/>
      </c>
      <c r="O79" s="34" t="str">
        <f>IFERROR(INDEX(PARAMETRES!$D$536:$D$586,MATCH(M79,PARAMETRES!$J$536:$J$586,0)),"")</f>
        <v/>
      </c>
      <c r="P79" s="34" t="str">
        <f>IFERROR(INDEX(PARAMETRES!$F$536:$F$586,MATCH(M79,PARAMETRES!$J$536:$J$586,0)),"")</f>
        <v/>
      </c>
      <c r="Q79" s="34" t="str">
        <f>IFERROR(INDEX(PARAMETRES!$H$536:$H$586,MATCH(M79,PARAMETRES!$J$536:$J$586,0)),"")</f>
        <v/>
      </c>
      <c r="R79" s="57"/>
      <c r="S79" s="57"/>
      <c r="T79" s="57"/>
      <c r="U79" s="57"/>
      <c r="V79" s="57"/>
      <c r="W79" s="57"/>
      <c r="X79" s="57"/>
      <c r="Y79" s="57"/>
      <c r="Z79" s="57"/>
      <c r="AA79" s="57"/>
      <c r="AB79" s="57"/>
      <c r="AC79" s="50"/>
      <c r="AD79" s="57"/>
      <c r="AE79" s="57"/>
      <c r="AF79" s="57"/>
      <c r="AG79" s="57"/>
      <c r="AH79" s="34" t="str">
        <f>IFERROR(INDEX(PARAMETRES!$B$536:$B$586,MATCH(AG79,PARAMETRES!$J$536:$J$586,0)),"")</f>
        <v/>
      </c>
      <c r="AI79" s="34" t="str">
        <f>IFERROR(INDEX(PARAMETRES!$D$536:$D$586,MATCH(AG79,PARAMETRES!$J$536:$J$586,0)),"")</f>
        <v/>
      </c>
      <c r="AJ79" s="34" t="str">
        <f>IFERROR(INDEX(PARAMETRES!$F$536:$F$586,MATCH(AG79,PARAMETRES!$J$536:$J$586,0)),"")</f>
        <v/>
      </c>
      <c r="AK79" s="34" t="str">
        <f>IFERROR(INDEX(PARAMETRES!$H$536:$H$586,MATCH(AG79,PARAMETRES!$J$536:$J$586,0)),"")</f>
        <v/>
      </c>
      <c r="AL79" s="50"/>
      <c r="AM79" s="50"/>
      <c r="AN79" s="57"/>
      <c r="AO79" s="57"/>
      <c r="AP79" s="51"/>
      <c r="AQ79" s="51"/>
      <c r="AR79" s="52" t="str">
        <f t="shared" si="1"/>
        <v/>
      </c>
      <c r="AS79" s="57"/>
      <c r="AT79" s="34">
        <f>IF(A79="",0,COUNTIF(tbl_Partenaires_Projets[ID Partenaire],A79))</f>
        <v>0</v>
      </c>
      <c r="AU79" s="34">
        <f>IF(A79="",0,COUNTIF(tbl_Partenaires_Conventions[ID Partenaire],A79))</f>
        <v>0</v>
      </c>
      <c r="AV79" s="34">
        <f>IF(A79="",0,COUNTIFS(tbl_Partenaires_Conventions[ID Partenaire],A79,tbl_Partenaires_Conventions[Statut],"Active"))</f>
        <v>0</v>
      </c>
      <c r="AW79" s="34" t="str">
        <f ca="1">IF(A79="","",IF(COUNTIFS(tbl_Partenaires_Conventions[ID Partenaire],A79,tbl_Partenaires_Conventions[Statut],"Active")=0,"NON",IF(_xlfn.MINIFS(tbl_Partenaires_Conventions[Date fin],tbl_Partenaires_Conventions[ID Partenaire],A79,tbl_Partenaires_Conventions[Statut],"Active")-TODAY()&lt;=60,"OUI","NON")))</f>
        <v/>
      </c>
      <c r="AX79" s="34">
        <f>IF(A79="",0,COUNTIF(tbl_Partenaires_Documents[ID Partenaire],A79))</f>
        <v>0</v>
      </c>
      <c r="AY79" s="63" t="str">
        <f>IFERROR(AVERAGEIFS(tbl_Partenaires_Evaluations[Note globale],tbl_Partenaires_Evaluations[ID Partenaire],A79),"")</f>
        <v/>
      </c>
      <c r="AZ79" s="71" t="str">
        <f ca="1">IFERROR(_xlfn.MAXIFS(tbl_Partenaires_Evaluations[Date evaluation],tbl_Partenaires_Evaluations[ID Partenaire],A79),"")</f>
        <v/>
      </c>
      <c r="BA79" s="34">
        <f>IF(A79="",0,COUNTIF(tbl_Partenaires_Risques[ID Partenaire],A79))</f>
        <v>0</v>
      </c>
      <c r="BB79" s="34" t="str">
        <f>IF(A79="","",IF(COUNTIFS(tbl_Partenaires_Risques[ID Partenaire],A79,tbl_Partenaires_Risques[Niveau],"Eleve")+COUNTIFS(tbl_Partenaires_Risques[ID Partenaire],A79,tbl_Partenaires_Risques[Niveau],"Critique")&gt;0,"OUI","NON"))</f>
        <v/>
      </c>
      <c r="BC79" s="34">
        <f>IF(A79="",0,COUNTIF(tbl_Partenaires_Contacts[ID Partenaire],A79))</f>
        <v>0</v>
      </c>
      <c r="BD79" s="34">
        <f>IF(A79="",0,COUNTIFS(tbl_Partenaires_Opportunites[ID Partenaire],A79,tbl_Partenaires_Opportunites[Statut],"&lt;&gt;Cloturee"))</f>
        <v>0</v>
      </c>
      <c r="BE79" s="34">
        <f>IF(A79="",0,COUNTIF(tbl_Partenaires_Prospection[ID Partenaire],A79))</f>
        <v>0</v>
      </c>
      <c r="BF79" s="57"/>
      <c r="BG79" s="57"/>
      <c r="BH79" s="57"/>
      <c r="BI79" s="57"/>
      <c r="BJ79" s="57"/>
      <c r="BK79" s="57"/>
      <c r="BL79" s="57"/>
      <c r="BM79" s="57"/>
      <c r="BN79" s="57"/>
      <c r="BO79" s="57"/>
      <c r="BP79" s="57"/>
      <c r="BQ79" s="57"/>
      <c r="BR79" s="34" t="str">
        <f>IF(C79="","",IF(OR(COUNTIF(C56:C115,C79)&gt;1,AND(E79&lt;&gt;"",COUNTIF(E56:E115,E79)&gt;1),AND(S79&lt;&gt;"",COUNTIF(S56:S115,S79)&gt;1),AND(U79&lt;&gt;"",COUNTIF(U56:U115,U79)&gt;1)),"OUI","NON"))</f>
        <v/>
      </c>
      <c r="BS79" s="57"/>
    </row>
    <row r="80" spans="1:71" ht="15" customHeight="1">
      <c r="A80" s="34" t="str">
        <f t="shared" si="0"/>
        <v/>
      </c>
      <c r="B80" s="57"/>
      <c r="C80" s="57"/>
      <c r="D80" s="57"/>
      <c r="E80" s="57"/>
      <c r="F80" s="57"/>
      <c r="G80" s="57"/>
      <c r="H80" s="57"/>
      <c r="I80" s="57"/>
      <c r="J80" s="70"/>
      <c r="K80" s="57"/>
      <c r="L80" s="57"/>
      <c r="M80" s="57"/>
      <c r="N80" s="34" t="str">
        <f>IFERROR(INDEX(PARAMETRES!$B$536:$B$586,MATCH(M80,PARAMETRES!$J$536:$J$586,0)),"")</f>
        <v/>
      </c>
      <c r="O80" s="34" t="str">
        <f>IFERROR(INDEX(PARAMETRES!$D$536:$D$586,MATCH(M80,PARAMETRES!$J$536:$J$586,0)),"")</f>
        <v/>
      </c>
      <c r="P80" s="34" t="str">
        <f>IFERROR(INDEX(PARAMETRES!$F$536:$F$586,MATCH(M80,PARAMETRES!$J$536:$J$586,0)),"")</f>
        <v/>
      </c>
      <c r="Q80" s="34" t="str">
        <f>IFERROR(INDEX(PARAMETRES!$H$536:$H$586,MATCH(M80,PARAMETRES!$J$536:$J$586,0)),"")</f>
        <v/>
      </c>
      <c r="R80" s="57"/>
      <c r="S80" s="57"/>
      <c r="T80" s="57"/>
      <c r="U80" s="57"/>
      <c r="V80" s="57"/>
      <c r="W80" s="57"/>
      <c r="X80" s="57"/>
      <c r="Y80" s="57"/>
      <c r="Z80" s="57"/>
      <c r="AA80" s="57"/>
      <c r="AB80" s="57"/>
      <c r="AC80" s="50"/>
      <c r="AD80" s="57"/>
      <c r="AE80" s="57"/>
      <c r="AF80" s="57"/>
      <c r="AG80" s="57"/>
      <c r="AH80" s="34" t="str">
        <f>IFERROR(INDEX(PARAMETRES!$B$536:$B$586,MATCH(AG80,PARAMETRES!$J$536:$J$586,0)),"")</f>
        <v/>
      </c>
      <c r="AI80" s="34" t="str">
        <f>IFERROR(INDEX(PARAMETRES!$D$536:$D$586,MATCH(AG80,PARAMETRES!$J$536:$J$586,0)),"")</f>
        <v/>
      </c>
      <c r="AJ80" s="34" t="str">
        <f>IFERROR(INDEX(PARAMETRES!$F$536:$F$586,MATCH(AG80,PARAMETRES!$J$536:$J$586,0)),"")</f>
        <v/>
      </c>
      <c r="AK80" s="34" t="str">
        <f>IFERROR(INDEX(PARAMETRES!$H$536:$H$586,MATCH(AG80,PARAMETRES!$J$536:$J$586,0)),"")</f>
        <v/>
      </c>
      <c r="AL80" s="50"/>
      <c r="AM80" s="50"/>
      <c r="AN80" s="57"/>
      <c r="AO80" s="57"/>
      <c r="AP80" s="51"/>
      <c r="AQ80" s="51"/>
      <c r="AR80" s="52" t="str">
        <f t="shared" si="1"/>
        <v/>
      </c>
      <c r="AS80" s="57"/>
      <c r="AT80" s="34">
        <f>IF(A80="",0,COUNTIF(tbl_Partenaires_Projets[ID Partenaire],A80))</f>
        <v>0</v>
      </c>
      <c r="AU80" s="34">
        <f>IF(A80="",0,COUNTIF(tbl_Partenaires_Conventions[ID Partenaire],A80))</f>
        <v>0</v>
      </c>
      <c r="AV80" s="34">
        <f>IF(A80="",0,COUNTIFS(tbl_Partenaires_Conventions[ID Partenaire],A80,tbl_Partenaires_Conventions[Statut],"Active"))</f>
        <v>0</v>
      </c>
      <c r="AW80" s="34" t="str">
        <f ca="1">IF(A80="","",IF(COUNTIFS(tbl_Partenaires_Conventions[ID Partenaire],A80,tbl_Partenaires_Conventions[Statut],"Active")=0,"NON",IF(_xlfn.MINIFS(tbl_Partenaires_Conventions[Date fin],tbl_Partenaires_Conventions[ID Partenaire],A80,tbl_Partenaires_Conventions[Statut],"Active")-TODAY()&lt;=60,"OUI","NON")))</f>
        <v/>
      </c>
      <c r="AX80" s="34">
        <f>IF(A80="",0,COUNTIF(tbl_Partenaires_Documents[ID Partenaire],A80))</f>
        <v>0</v>
      </c>
      <c r="AY80" s="63" t="str">
        <f>IFERROR(AVERAGEIFS(tbl_Partenaires_Evaluations[Note globale],tbl_Partenaires_Evaluations[ID Partenaire],A80),"")</f>
        <v/>
      </c>
      <c r="AZ80" s="71" t="str">
        <f ca="1">IFERROR(_xlfn.MAXIFS(tbl_Partenaires_Evaluations[Date evaluation],tbl_Partenaires_Evaluations[ID Partenaire],A80),"")</f>
        <v/>
      </c>
      <c r="BA80" s="34">
        <f>IF(A80="",0,COUNTIF(tbl_Partenaires_Risques[ID Partenaire],A80))</f>
        <v>0</v>
      </c>
      <c r="BB80" s="34" t="str">
        <f>IF(A80="","",IF(COUNTIFS(tbl_Partenaires_Risques[ID Partenaire],A80,tbl_Partenaires_Risques[Niveau],"Eleve")+COUNTIFS(tbl_Partenaires_Risques[ID Partenaire],A80,tbl_Partenaires_Risques[Niveau],"Critique")&gt;0,"OUI","NON"))</f>
        <v/>
      </c>
      <c r="BC80" s="34">
        <f>IF(A80="",0,COUNTIF(tbl_Partenaires_Contacts[ID Partenaire],A80))</f>
        <v>0</v>
      </c>
      <c r="BD80" s="34">
        <f>IF(A80="",0,COUNTIFS(tbl_Partenaires_Opportunites[ID Partenaire],A80,tbl_Partenaires_Opportunites[Statut],"&lt;&gt;Cloturee"))</f>
        <v>0</v>
      </c>
      <c r="BE80" s="34">
        <f>IF(A80="",0,COUNTIF(tbl_Partenaires_Prospection[ID Partenaire],A80))</f>
        <v>0</v>
      </c>
      <c r="BF80" s="57"/>
      <c r="BG80" s="57"/>
      <c r="BH80" s="57"/>
      <c r="BI80" s="57"/>
      <c r="BJ80" s="57"/>
      <c r="BK80" s="57"/>
      <c r="BL80" s="57"/>
      <c r="BM80" s="57"/>
      <c r="BN80" s="57"/>
      <c r="BO80" s="57"/>
      <c r="BP80" s="57"/>
      <c r="BQ80" s="57"/>
      <c r="BR80" s="34" t="str">
        <f>IF(C80="","",IF(OR(COUNTIF(C56:C115,C80)&gt;1,AND(E80&lt;&gt;"",COUNTIF(E56:E115,E80)&gt;1),AND(S80&lt;&gt;"",COUNTIF(S56:S115,S80)&gt;1),AND(U80&lt;&gt;"",COUNTIF(U56:U115,U80)&gt;1)),"OUI","NON"))</f>
        <v/>
      </c>
      <c r="BS80" s="57"/>
    </row>
    <row r="81" spans="1:71" ht="15" customHeight="1">
      <c r="A81" s="34" t="str">
        <f t="shared" si="0"/>
        <v/>
      </c>
      <c r="B81" s="57"/>
      <c r="C81" s="57"/>
      <c r="D81" s="57"/>
      <c r="E81" s="57"/>
      <c r="F81" s="57"/>
      <c r="G81" s="57"/>
      <c r="H81" s="57"/>
      <c r="I81" s="57"/>
      <c r="J81" s="70"/>
      <c r="K81" s="57"/>
      <c r="L81" s="57"/>
      <c r="M81" s="57"/>
      <c r="N81" s="34" t="str">
        <f>IFERROR(INDEX(PARAMETRES!$B$536:$B$586,MATCH(M81,PARAMETRES!$J$536:$J$586,0)),"")</f>
        <v/>
      </c>
      <c r="O81" s="34" t="str">
        <f>IFERROR(INDEX(PARAMETRES!$D$536:$D$586,MATCH(M81,PARAMETRES!$J$536:$J$586,0)),"")</f>
        <v/>
      </c>
      <c r="P81" s="34" t="str">
        <f>IFERROR(INDEX(PARAMETRES!$F$536:$F$586,MATCH(M81,PARAMETRES!$J$536:$J$586,0)),"")</f>
        <v/>
      </c>
      <c r="Q81" s="34" t="str">
        <f>IFERROR(INDEX(PARAMETRES!$H$536:$H$586,MATCH(M81,PARAMETRES!$J$536:$J$586,0)),"")</f>
        <v/>
      </c>
      <c r="R81" s="57"/>
      <c r="S81" s="57"/>
      <c r="T81" s="57"/>
      <c r="U81" s="57"/>
      <c r="V81" s="57"/>
      <c r="W81" s="57"/>
      <c r="X81" s="57"/>
      <c r="Y81" s="57"/>
      <c r="Z81" s="57"/>
      <c r="AA81" s="57"/>
      <c r="AB81" s="57"/>
      <c r="AC81" s="50"/>
      <c r="AD81" s="57"/>
      <c r="AE81" s="57"/>
      <c r="AF81" s="57"/>
      <c r="AG81" s="57"/>
      <c r="AH81" s="34" t="str">
        <f>IFERROR(INDEX(PARAMETRES!$B$536:$B$586,MATCH(AG81,PARAMETRES!$J$536:$J$586,0)),"")</f>
        <v/>
      </c>
      <c r="AI81" s="34" t="str">
        <f>IFERROR(INDEX(PARAMETRES!$D$536:$D$586,MATCH(AG81,PARAMETRES!$J$536:$J$586,0)),"")</f>
        <v/>
      </c>
      <c r="AJ81" s="34" t="str">
        <f>IFERROR(INDEX(PARAMETRES!$F$536:$F$586,MATCH(AG81,PARAMETRES!$J$536:$J$586,0)),"")</f>
        <v/>
      </c>
      <c r="AK81" s="34" t="str">
        <f>IFERROR(INDEX(PARAMETRES!$H$536:$H$586,MATCH(AG81,PARAMETRES!$J$536:$J$586,0)),"")</f>
        <v/>
      </c>
      <c r="AL81" s="50"/>
      <c r="AM81" s="50"/>
      <c r="AN81" s="57"/>
      <c r="AO81" s="57"/>
      <c r="AP81" s="51"/>
      <c r="AQ81" s="51"/>
      <c r="AR81" s="52" t="str">
        <f t="shared" si="1"/>
        <v/>
      </c>
      <c r="AS81" s="57"/>
      <c r="AT81" s="34">
        <f>IF(A81="",0,COUNTIF(tbl_Partenaires_Projets[ID Partenaire],A81))</f>
        <v>0</v>
      </c>
      <c r="AU81" s="34">
        <f>IF(A81="",0,COUNTIF(tbl_Partenaires_Conventions[ID Partenaire],A81))</f>
        <v>0</v>
      </c>
      <c r="AV81" s="34">
        <f>IF(A81="",0,COUNTIFS(tbl_Partenaires_Conventions[ID Partenaire],A81,tbl_Partenaires_Conventions[Statut],"Active"))</f>
        <v>0</v>
      </c>
      <c r="AW81" s="34" t="str">
        <f ca="1">IF(A81="","",IF(COUNTIFS(tbl_Partenaires_Conventions[ID Partenaire],A81,tbl_Partenaires_Conventions[Statut],"Active")=0,"NON",IF(_xlfn.MINIFS(tbl_Partenaires_Conventions[Date fin],tbl_Partenaires_Conventions[ID Partenaire],A81,tbl_Partenaires_Conventions[Statut],"Active")-TODAY()&lt;=60,"OUI","NON")))</f>
        <v/>
      </c>
      <c r="AX81" s="34">
        <f>IF(A81="",0,COUNTIF(tbl_Partenaires_Documents[ID Partenaire],A81))</f>
        <v>0</v>
      </c>
      <c r="AY81" s="63" t="str">
        <f>IFERROR(AVERAGEIFS(tbl_Partenaires_Evaluations[Note globale],tbl_Partenaires_Evaluations[ID Partenaire],A81),"")</f>
        <v/>
      </c>
      <c r="AZ81" s="71" t="str">
        <f ca="1">IFERROR(_xlfn.MAXIFS(tbl_Partenaires_Evaluations[Date evaluation],tbl_Partenaires_Evaluations[ID Partenaire],A81),"")</f>
        <v/>
      </c>
      <c r="BA81" s="34">
        <f>IF(A81="",0,COUNTIF(tbl_Partenaires_Risques[ID Partenaire],A81))</f>
        <v>0</v>
      </c>
      <c r="BB81" s="34" t="str">
        <f>IF(A81="","",IF(COUNTIFS(tbl_Partenaires_Risques[ID Partenaire],A81,tbl_Partenaires_Risques[Niveau],"Eleve")+COUNTIFS(tbl_Partenaires_Risques[ID Partenaire],A81,tbl_Partenaires_Risques[Niveau],"Critique")&gt;0,"OUI","NON"))</f>
        <v/>
      </c>
      <c r="BC81" s="34">
        <f>IF(A81="",0,COUNTIF(tbl_Partenaires_Contacts[ID Partenaire],A81))</f>
        <v>0</v>
      </c>
      <c r="BD81" s="34">
        <f>IF(A81="",0,COUNTIFS(tbl_Partenaires_Opportunites[ID Partenaire],A81,tbl_Partenaires_Opportunites[Statut],"&lt;&gt;Cloturee"))</f>
        <v>0</v>
      </c>
      <c r="BE81" s="34">
        <f>IF(A81="",0,COUNTIF(tbl_Partenaires_Prospection[ID Partenaire],A81))</f>
        <v>0</v>
      </c>
      <c r="BF81" s="57"/>
      <c r="BG81" s="57"/>
      <c r="BH81" s="57"/>
      <c r="BI81" s="57"/>
      <c r="BJ81" s="57"/>
      <c r="BK81" s="57"/>
      <c r="BL81" s="57"/>
      <c r="BM81" s="57"/>
      <c r="BN81" s="57"/>
      <c r="BO81" s="57"/>
      <c r="BP81" s="57"/>
      <c r="BQ81" s="57"/>
      <c r="BR81" s="34" t="str">
        <f>IF(C81="","",IF(OR(COUNTIF(C56:C115,C81)&gt;1,AND(E81&lt;&gt;"",COUNTIF(E56:E115,E81)&gt;1),AND(S81&lt;&gt;"",COUNTIF(S56:S115,S81)&gt;1),AND(U81&lt;&gt;"",COUNTIF(U56:U115,U81)&gt;1)),"OUI","NON"))</f>
        <v/>
      </c>
      <c r="BS81" s="57"/>
    </row>
    <row r="82" spans="1:71" ht="15" customHeight="1">
      <c r="A82" s="34" t="str">
        <f t="shared" si="0"/>
        <v/>
      </c>
      <c r="B82" s="57"/>
      <c r="C82" s="57"/>
      <c r="D82" s="57"/>
      <c r="E82" s="57"/>
      <c r="F82" s="57"/>
      <c r="G82" s="57"/>
      <c r="H82" s="57"/>
      <c r="I82" s="57"/>
      <c r="J82" s="70"/>
      <c r="K82" s="57"/>
      <c r="L82" s="57"/>
      <c r="M82" s="57"/>
      <c r="N82" s="34" t="str">
        <f>IFERROR(INDEX(PARAMETRES!$B$536:$B$586,MATCH(M82,PARAMETRES!$J$536:$J$586,0)),"")</f>
        <v/>
      </c>
      <c r="O82" s="34" t="str">
        <f>IFERROR(INDEX(PARAMETRES!$D$536:$D$586,MATCH(M82,PARAMETRES!$J$536:$J$586,0)),"")</f>
        <v/>
      </c>
      <c r="P82" s="34" t="str">
        <f>IFERROR(INDEX(PARAMETRES!$F$536:$F$586,MATCH(M82,PARAMETRES!$J$536:$J$586,0)),"")</f>
        <v/>
      </c>
      <c r="Q82" s="34" t="str">
        <f>IFERROR(INDEX(PARAMETRES!$H$536:$H$586,MATCH(M82,PARAMETRES!$J$536:$J$586,0)),"")</f>
        <v/>
      </c>
      <c r="R82" s="57"/>
      <c r="S82" s="57"/>
      <c r="T82" s="57"/>
      <c r="U82" s="57"/>
      <c r="V82" s="57"/>
      <c r="W82" s="57"/>
      <c r="X82" s="57"/>
      <c r="Y82" s="57"/>
      <c r="Z82" s="57"/>
      <c r="AA82" s="57"/>
      <c r="AB82" s="57"/>
      <c r="AC82" s="50"/>
      <c r="AD82" s="57"/>
      <c r="AE82" s="57"/>
      <c r="AF82" s="57"/>
      <c r="AG82" s="57"/>
      <c r="AH82" s="34" t="str">
        <f>IFERROR(INDEX(PARAMETRES!$B$536:$B$586,MATCH(AG82,PARAMETRES!$J$536:$J$586,0)),"")</f>
        <v/>
      </c>
      <c r="AI82" s="34" t="str">
        <f>IFERROR(INDEX(PARAMETRES!$D$536:$D$586,MATCH(AG82,PARAMETRES!$J$536:$J$586,0)),"")</f>
        <v/>
      </c>
      <c r="AJ82" s="34" t="str">
        <f>IFERROR(INDEX(PARAMETRES!$F$536:$F$586,MATCH(AG82,PARAMETRES!$J$536:$J$586,0)),"")</f>
        <v/>
      </c>
      <c r="AK82" s="34" t="str">
        <f>IFERROR(INDEX(PARAMETRES!$H$536:$H$586,MATCH(AG82,PARAMETRES!$J$536:$J$586,0)),"")</f>
        <v/>
      </c>
      <c r="AL82" s="50"/>
      <c r="AM82" s="50"/>
      <c r="AN82" s="57"/>
      <c r="AO82" s="57"/>
      <c r="AP82" s="51"/>
      <c r="AQ82" s="51"/>
      <c r="AR82" s="52" t="str">
        <f t="shared" si="1"/>
        <v/>
      </c>
      <c r="AS82" s="57"/>
      <c r="AT82" s="34">
        <f>IF(A82="",0,COUNTIF(tbl_Partenaires_Projets[ID Partenaire],A82))</f>
        <v>0</v>
      </c>
      <c r="AU82" s="34">
        <f>IF(A82="",0,COUNTIF(tbl_Partenaires_Conventions[ID Partenaire],A82))</f>
        <v>0</v>
      </c>
      <c r="AV82" s="34">
        <f>IF(A82="",0,COUNTIFS(tbl_Partenaires_Conventions[ID Partenaire],A82,tbl_Partenaires_Conventions[Statut],"Active"))</f>
        <v>0</v>
      </c>
      <c r="AW82" s="34" t="str">
        <f ca="1">IF(A82="","",IF(COUNTIFS(tbl_Partenaires_Conventions[ID Partenaire],A82,tbl_Partenaires_Conventions[Statut],"Active")=0,"NON",IF(_xlfn.MINIFS(tbl_Partenaires_Conventions[Date fin],tbl_Partenaires_Conventions[ID Partenaire],A82,tbl_Partenaires_Conventions[Statut],"Active")-TODAY()&lt;=60,"OUI","NON")))</f>
        <v/>
      </c>
      <c r="AX82" s="34">
        <f>IF(A82="",0,COUNTIF(tbl_Partenaires_Documents[ID Partenaire],A82))</f>
        <v>0</v>
      </c>
      <c r="AY82" s="63" t="str">
        <f>IFERROR(AVERAGEIFS(tbl_Partenaires_Evaluations[Note globale],tbl_Partenaires_Evaluations[ID Partenaire],A82),"")</f>
        <v/>
      </c>
      <c r="AZ82" s="71" t="str">
        <f ca="1">IFERROR(_xlfn.MAXIFS(tbl_Partenaires_Evaluations[Date evaluation],tbl_Partenaires_Evaluations[ID Partenaire],A82),"")</f>
        <v/>
      </c>
      <c r="BA82" s="34">
        <f>IF(A82="",0,COUNTIF(tbl_Partenaires_Risques[ID Partenaire],A82))</f>
        <v>0</v>
      </c>
      <c r="BB82" s="34" t="str">
        <f>IF(A82="","",IF(COUNTIFS(tbl_Partenaires_Risques[ID Partenaire],A82,tbl_Partenaires_Risques[Niveau],"Eleve")+COUNTIFS(tbl_Partenaires_Risques[ID Partenaire],A82,tbl_Partenaires_Risques[Niveau],"Critique")&gt;0,"OUI","NON"))</f>
        <v/>
      </c>
      <c r="BC82" s="34">
        <f>IF(A82="",0,COUNTIF(tbl_Partenaires_Contacts[ID Partenaire],A82))</f>
        <v>0</v>
      </c>
      <c r="BD82" s="34">
        <f>IF(A82="",0,COUNTIFS(tbl_Partenaires_Opportunites[ID Partenaire],A82,tbl_Partenaires_Opportunites[Statut],"&lt;&gt;Cloturee"))</f>
        <v>0</v>
      </c>
      <c r="BE82" s="34">
        <f>IF(A82="",0,COUNTIF(tbl_Partenaires_Prospection[ID Partenaire],A82))</f>
        <v>0</v>
      </c>
      <c r="BF82" s="57"/>
      <c r="BG82" s="57"/>
      <c r="BH82" s="57"/>
      <c r="BI82" s="57"/>
      <c r="BJ82" s="57"/>
      <c r="BK82" s="57"/>
      <c r="BL82" s="57"/>
      <c r="BM82" s="57"/>
      <c r="BN82" s="57"/>
      <c r="BO82" s="57"/>
      <c r="BP82" s="57"/>
      <c r="BQ82" s="57"/>
      <c r="BR82" s="34" t="str">
        <f>IF(C82="","",IF(OR(COUNTIF(C56:C115,C82)&gt;1,AND(E82&lt;&gt;"",COUNTIF(E56:E115,E82)&gt;1),AND(S82&lt;&gt;"",COUNTIF(S56:S115,S82)&gt;1),AND(U82&lt;&gt;"",COUNTIF(U56:U115,U82)&gt;1)),"OUI","NON"))</f>
        <v/>
      </c>
      <c r="BS82" s="57"/>
    </row>
    <row r="83" spans="1:71" ht="15" customHeight="1">
      <c r="A83" s="34" t="str">
        <f t="shared" si="0"/>
        <v/>
      </c>
      <c r="B83" s="57"/>
      <c r="C83" s="57"/>
      <c r="D83" s="57"/>
      <c r="E83" s="57"/>
      <c r="F83" s="57"/>
      <c r="G83" s="57"/>
      <c r="H83" s="57"/>
      <c r="I83" s="57"/>
      <c r="J83" s="70"/>
      <c r="K83" s="57"/>
      <c r="L83" s="57"/>
      <c r="M83" s="57"/>
      <c r="N83" s="34" t="str">
        <f>IFERROR(INDEX(PARAMETRES!$B$536:$B$586,MATCH(M83,PARAMETRES!$J$536:$J$586,0)),"")</f>
        <v/>
      </c>
      <c r="O83" s="34" t="str">
        <f>IFERROR(INDEX(PARAMETRES!$D$536:$D$586,MATCH(M83,PARAMETRES!$J$536:$J$586,0)),"")</f>
        <v/>
      </c>
      <c r="P83" s="34" t="str">
        <f>IFERROR(INDEX(PARAMETRES!$F$536:$F$586,MATCH(M83,PARAMETRES!$J$536:$J$586,0)),"")</f>
        <v/>
      </c>
      <c r="Q83" s="34" t="str">
        <f>IFERROR(INDEX(PARAMETRES!$H$536:$H$586,MATCH(M83,PARAMETRES!$J$536:$J$586,0)),"")</f>
        <v/>
      </c>
      <c r="R83" s="57"/>
      <c r="S83" s="57"/>
      <c r="T83" s="57"/>
      <c r="U83" s="57"/>
      <c r="V83" s="57"/>
      <c r="W83" s="57"/>
      <c r="X83" s="57"/>
      <c r="Y83" s="57"/>
      <c r="Z83" s="57"/>
      <c r="AA83" s="57"/>
      <c r="AB83" s="57"/>
      <c r="AC83" s="50"/>
      <c r="AD83" s="57"/>
      <c r="AE83" s="57"/>
      <c r="AF83" s="57"/>
      <c r="AG83" s="57"/>
      <c r="AH83" s="34" t="str">
        <f>IFERROR(INDEX(PARAMETRES!$B$536:$B$586,MATCH(AG83,PARAMETRES!$J$536:$J$586,0)),"")</f>
        <v/>
      </c>
      <c r="AI83" s="34" t="str">
        <f>IFERROR(INDEX(PARAMETRES!$D$536:$D$586,MATCH(AG83,PARAMETRES!$J$536:$J$586,0)),"")</f>
        <v/>
      </c>
      <c r="AJ83" s="34" t="str">
        <f>IFERROR(INDEX(PARAMETRES!$F$536:$F$586,MATCH(AG83,PARAMETRES!$J$536:$J$586,0)),"")</f>
        <v/>
      </c>
      <c r="AK83" s="34" t="str">
        <f>IFERROR(INDEX(PARAMETRES!$H$536:$H$586,MATCH(AG83,PARAMETRES!$J$536:$J$586,0)),"")</f>
        <v/>
      </c>
      <c r="AL83" s="50"/>
      <c r="AM83" s="50"/>
      <c r="AN83" s="57"/>
      <c r="AO83" s="57"/>
      <c r="AP83" s="51"/>
      <c r="AQ83" s="51"/>
      <c r="AR83" s="52" t="str">
        <f t="shared" si="1"/>
        <v/>
      </c>
      <c r="AS83" s="57"/>
      <c r="AT83" s="34">
        <f>IF(A83="",0,COUNTIF(tbl_Partenaires_Projets[ID Partenaire],A83))</f>
        <v>0</v>
      </c>
      <c r="AU83" s="34">
        <f>IF(A83="",0,COUNTIF(tbl_Partenaires_Conventions[ID Partenaire],A83))</f>
        <v>0</v>
      </c>
      <c r="AV83" s="34">
        <f>IF(A83="",0,COUNTIFS(tbl_Partenaires_Conventions[ID Partenaire],A83,tbl_Partenaires_Conventions[Statut],"Active"))</f>
        <v>0</v>
      </c>
      <c r="AW83" s="34" t="str">
        <f ca="1">IF(A83="","",IF(COUNTIFS(tbl_Partenaires_Conventions[ID Partenaire],A83,tbl_Partenaires_Conventions[Statut],"Active")=0,"NON",IF(_xlfn.MINIFS(tbl_Partenaires_Conventions[Date fin],tbl_Partenaires_Conventions[ID Partenaire],A83,tbl_Partenaires_Conventions[Statut],"Active")-TODAY()&lt;=60,"OUI","NON")))</f>
        <v/>
      </c>
      <c r="AX83" s="34">
        <f>IF(A83="",0,COUNTIF(tbl_Partenaires_Documents[ID Partenaire],A83))</f>
        <v>0</v>
      </c>
      <c r="AY83" s="63" t="str">
        <f>IFERROR(AVERAGEIFS(tbl_Partenaires_Evaluations[Note globale],tbl_Partenaires_Evaluations[ID Partenaire],A83),"")</f>
        <v/>
      </c>
      <c r="AZ83" s="71" t="str">
        <f ca="1">IFERROR(_xlfn.MAXIFS(tbl_Partenaires_Evaluations[Date evaluation],tbl_Partenaires_Evaluations[ID Partenaire],A83),"")</f>
        <v/>
      </c>
      <c r="BA83" s="34">
        <f>IF(A83="",0,COUNTIF(tbl_Partenaires_Risques[ID Partenaire],A83))</f>
        <v>0</v>
      </c>
      <c r="BB83" s="34" t="str">
        <f>IF(A83="","",IF(COUNTIFS(tbl_Partenaires_Risques[ID Partenaire],A83,tbl_Partenaires_Risques[Niveau],"Eleve")+COUNTIFS(tbl_Partenaires_Risques[ID Partenaire],A83,tbl_Partenaires_Risques[Niveau],"Critique")&gt;0,"OUI","NON"))</f>
        <v/>
      </c>
      <c r="BC83" s="34">
        <f>IF(A83="",0,COUNTIF(tbl_Partenaires_Contacts[ID Partenaire],A83))</f>
        <v>0</v>
      </c>
      <c r="BD83" s="34">
        <f>IF(A83="",0,COUNTIFS(tbl_Partenaires_Opportunites[ID Partenaire],A83,tbl_Partenaires_Opportunites[Statut],"&lt;&gt;Cloturee"))</f>
        <v>0</v>
      </c>
      <c r="BE83" s="34">
        <f>IF(A83="",0,COUNTIF(tbl_Partenaires_Prospection[ID Partenaire],A83))</f>
        <v>0</v>
      </c>
      <c r="BF83" s="57"/>
      <c r="BG83" s="57"/>
      <c r="BH83" s="57"/>
      <c r="BI83" s="57"/>
      <c r="BJ83" s="57"/>
      <c r="BK83" s="57"/>
      <c r="BL83" s="57"/>
      <c r="BM83" s="57"/>
      <c r="BN83" s="57"/>
      <c r="BO83" s="57"/>
      <c r="BP83" s="57"/>
      <c r="BQ83" s="57"/>
      <c r="BR83" s="34" t="str">
        <f>IF(C83="","",IF(OR(COUNTIF(C56:C115,C83)&gt;1,AND(E83&lt;&gt;"",COUNTIF(E56:E115,E83)&gt;1),AND(S83&lt;&gt;"",COUNTIF(S56:S115,S83)&gt;1),AND(U83&lt;&gt;"",COUNTIF(U56:U115,U83)&gt;1)),"OUI","NON"))</f>
        <v/>
      </c>
      <c r="BS83" s="57"/>
    </row>
    <row r="84" spans="1:71" ht="15" customHeight="1">
      <c r="A84" s="34" t="str">
        <f t="shared" si="0"/>
        <v/>
      </c>
      <c r="B84" s="57"/>
      <c r="C84" s="57"/>
      <c r="D84" s="57"/>
      <c r="E84" s="57"/>
      <c r="F84" s="57"/>
      <c r="G84" s="57"/>
      <c r="H84" s="57"/>
      <c r="I84" s="57"/>
      <c r="J84" s="70"/>
      <c r="K84" s="57"/>
      <c r="L84" s="57"/>
      <c r="M84" s="57"/>
      <c r="N84" s="34" t="str">
        <f>IFERROR(INDEX(PARAMETRES!$B$536:$B$586,MATCH(M84,PARAMETRES!$J$536:$J$586,0)),"")</f>
        <v/>
      </c>
      <c r="O84" s="34" t="str">
        <f>IFERROR(INDEX(PARAMETRES!$D$536:$D$586,MATCH(M84,PARAMETRES!$J$536:$J$586,0)),"")</f>
        <v/>
      </c>
      <c r="P84" s="34" t="str">
        <f>IFERROR(INDEX(PARAMETRES!$F$536:$F$586,MATCH(M84,PARAMETRES!$J$536:$J$586,0)),"")</f>
        <v/>
      </c>
      <c r="Q84" s="34" t="str">
        <f>IFERROR(INDEX(PARAMETRES!$H$536:$H$586,MATCH(M84,PARAMETRES!$J$536:$J$586,0)),"")</f>
        <v/>
      </c>
      <c r="R84" s="57"/>
      <c r="S84" s="57"/>
      <c r="T84" s="57"/>
      <c r="U84" s="57"/>
      <c r="V84" s="57"/>
      <c r="W84" s="57"/>
      <c r="X84" s="57"/>
      <c r="Y84" s="57"/>
      <c r="Z84" s="57"/>
      <c r="AA84" s="57"/>
      <c r="AB84" s="57"/>
      <c r="AC84" s="50"/>
      <c r="AD84" s="57"/>
      <c r="AE84" s="57"/>
      <c r="AF84" s="57"/>
      <c r="AG84" s="57"/>
      <c r="AH84" s="34" t="str">
        <f>IFERROR(INDEX(PARAMETRES!$B$536:$B$586,MATCH(AG84,PARAMETRES!$J$536:$J$586,0)),"")</f>
        <v/>
      </c>
      <c r="AI84" s="34" t="str">
        <f>IFERROR(INDEX(PARAMETRES!$D$536:$D$586,MATCH(AG84,PARAMETRES!$J$536:$J$586,0)),"")</f>
        <v/>
      </c>
      <c r="AJ84" s="34" t="str">
        <f>IFERROR(INDEX(PARAMETRES!$F$536:$F$586,MATCH(AG84,PARAMETRES!$J$536:$J$586,0)),"")</f>
        <v/>
      </c>
      <c r="AK84" s="34" t="str">
        <f>IFERROR(INDEX(PARAMETRES!$H$536:$H$586,MATCH(AG84,PARAMETRES!$J$536:$J$586,0)),"")</f>
        <v/>
      </c>
      <c r="AL84" s="50"/>
      <c r="AM84" s="50"/>
      <c r="AN84" s="57"/>
      <c r="AO84" s="57"/>
      <c r="AP84" s="51"/>
      <c r="AQ84" s="51"/>
      <c r="AR84" s="52" t="str">
        <f t="shared" si="1"/>
        <v/>
      </c>
      <c r="AS84" s="57"/>
      <c r="AT84" s="34">
        <f>IF(A84="",0,COUNTIF(tbl_Partenaires_Projets[ID Partenaire],A84))</f>
        <v>0</v>
      </c>
      <c r="AU84" s="34">
        <f>IF(A84="",0,COUNTIF(tbl_Partenaires_Conventions[ID Partenaire],A84))</f>
        <v>0</v>
      </c>
      <c r="AV84" s="34">
        <f>IF(A84="",0,COUNTIFS(tbl_Partenaires_Conventions[ID Partenaire],A84,tbl_Partenaires_Conventions[Statut],"Active"))</f>
        <v>0</v>
      </c>
      <c r="AW84" s="34" t="str">
        <f ca="1">IF(A84="","",IF(COUNTIFS(tbl_Partenaires_Conventions[ID Partenaire],A84,tbl_Partenaires_Conventions[Statut],"Active")=0,"NON",IF(_xlfn.MINIFS(tbl_Partenaires_Conventions[Date fin],tbl_Partenaires_Conventions[ID Partenaire],A84,tbl_Partenaires_Conventions[Statut],"Active")-TODAY()&lt;=60,"OUI","NON")))</f>
        <v/>
      </c>
      <c r="AX84" s="34">
        <f>IF(A84="",0,COUNTIF(tbl_Partenaires_Documents[ID Partenaire],A84))</f>
        <v>0</v>
      </c>
      <c r="AY84" s="63" t="str">
        <f>IFERROR(AVERAGEIFS(tbl_Partenaires_Evaluations[Note globale],tbl_Partenaires_Evaluations[ID Partenaire],A84),"")</f>
        <v/>
      </c>
      <c r="AZ84" s="71" t="str">
        <f ca="1">IFERROR(_xlfn.MAXIFS(tbl_Partenaires_Evaluations[Date evaluation],tbl_Partenaires_Evaluations[ID Partenaire],A84),"")</f>
        <v/>
      </c>
      <c r="BA84" s="34">
        <f>IF(A84="",0,COUNTIF(tbl_Partenaires_Risques[ID Partenaire],A84))</f>
        <v>0</v>
      </c>
      <c r="BB84" s="34" t="str">
        <f>IF(A84="","",IF(COUNTIFS(tbl_Partenaires_Risques[ID Partenaire],A84,tbl_Partenaires_Risques[Niveau],"Eleve")+COUNTIFS(tbl_Partenaires_Risques[ID Partenaire],A84,tbl_Partenaires_Risques[Niveau],"Critique")&gt;0,"OUI","NON"))</f>
        <v/>
      </c>
      <c r="BC84" s="34">
        <f>IF(A84="",0,COUNTIF(tbl_Partenaires_Contacts[ID Partenaire],A84))</f>
        <v>0</v>
      </c>
      <c r="BD84" s="34">
        <f>IF(A84="",0,COUNTIFS(tbl_Partenaires_Opportunites[ID Partenaire],A84,tbl_Partenaires_Opportunites[Statut],"&lt;&gt;Cloturee"))</f>
        <v>0</v>
      </c>
      <c r="BE84" s="34">
        <f>IF(A84="",0,COUNTIF(tbl_Partenaires_Prospection[ID Partenaire],A84))</f>
        <v>0</v>
      </c>
      <c r="BF84" s="57"/>
      <c r="BG84" s="57"/>
      <c r="BH84" s="57"/>
      <c r="BI84" s="57"/>
      <c r="BJ84" s="57"/>
      <c r="BK84" s="57"/>
      <c r="BL84" s="57"/>
      <c r="BM84" s="57"/>
      <c r="BN84" s="57"/>
      <c r="BO84" s="57"/>
      <c r="BP84" s="57"/>
      <c r="BQ84" s="57"/>
      <c r="BR84" s="34" t="str">
        <f>IF(C84="","",IF(OR(COUNTIF(C56:C115,C84)&gt;1,AND(E84&lt;&gt;"",COUNTIF(E56:E115,E84)&gt;1),AND(S84&lt;&gt;"",COUNTIF(S56:S115,S84)&gt;1),AND(U84&lt;&gt;"",COUNTIF(U56:U115,U84)&gt;1)),"OUI","NON"))</f>
        <v/>
      </c>
      <c r="BS84" s="57"/>
    </row>
    <row r="85" spans="1:71" ht="15" customHeight="1">
      <c r="A85" s="34" t="str">
        <f t="shared" si="0"/>
        <v/>
      </c>
      <c r="B85" s="57"/>
      <c r="C85" s="57"/>
      <c r="D85" s="57"/>
      <c r="E85" s="57"/>
      <c r="F85" s="57"/>
      <c r="G85" s="57"/>
      <c r="H85" s="57"/>
      <c r="I85" s="57"/>
      <c r="J85" s="70"/>
      <c r="K85" s="57"/>
      <c r="L85" s="57"/>
      <c r="M85" s="57"/>
      <c r="N85" s="34" t="str">
        <f>IFERROR(INDEX(PARAMETRES!$B$536:$B$586,MATCH(M85,PARAMETRES!$J$536:$J$586,0)),"")</f>
        <v/>
      </c>
      <c r="O85" s="34" t="str">
        <f>IFERROR(INDEX(PARAMETRES!$D$536:$D$586,MATCH(M85,PARAMETRES!$J$536:$J$586,0)),"")</f>
        <v/>
      </c>
      <c r="P85" s="34" t="str">
        <f>IFERROR(INDEX(PARAMETRES!$F$536:$F$586,MATCH(M85,PARAMETRES!$J$536:$J$586,0)),"")</f>
        <v/>
      </c>
      <c r="Q85" s="34" t="str">
        <f>IFERROR(INDEX(PARAMETRES!$H$536:$H$586,MATCH(M85,PARAMETRES!$J$536:$J$586,0)),"")</f>
        <v/>
      </c>
      <c r="R85" s="57"/>
      <c r="S85" s="57"/>
      <c r="T85" s="57"/>
      <c r="U85" s="57"/>
      <c r="V85" s="57"/>
      <c r="W85" s="57"/>
      <c r="X85" s="57"/>
      <c r="Y85" s="57"/>
      <c r="Z85" s="57"/>
      <c r="AA85" s="57"/>
      <c r="AB85" s="57"/>
      <c r="AC85" s="50"/>
      <c r="AD85" s="57"/>
      <c r="AE85" s="57"/>
      <c r="AF85" s="57"/>
      <c r="AG85" s="57"/>
      <c r="AH85" s="34" t="str">
        <f>IFERROR(INDEX(PARAMETRES!$B$536:$B$586,MATCH(AG85,PARAMETRES!$J$536:$J$586,0)),"")</f>
        <v/>
      </c>
      <c r="AI85" s="34" t="str">
        <f>IFERROR(INDEX(PARAMETRES!$D$536:$D$586,MATCH(AG85,PARAMETRES!$J$536:$J$586,0)),"")</f>
        <v/>
      </c>
      <c r="AJ85" s="34" t="str">
        <f>IFERROR(INDEX(PARAMETRES!$F$536:$F$586,MATCH(AG85,PARAMETRES!$J$536:$J$586,0)),"")</f>
        <v/>
      </c>
      <c r="AK85" s="34" t="str">
        <f>IFERROR(INDEX(PARAMETRES!$H$536:$H$586,MATCH(AG85,PARAMETRES!$J$536:$J$586,0)),"")</f>
        <v/>
      </c>
      <c r="AL85" s="50"/>
      <c r="AM85" s="50"/>
      <c r="AN85" s="57"/>
      <c r="AO85" s="57"/>
      <c r="AP85" s="51"/>
      <c r="AQ85" s="51"/>
      <c r="AR85" s="52" t="str">
        <f t="shared" si="1"/>
        <v/>
      </c>
      <c r="AS85" s="57"/>
      <c r="AT85" s="34">
        <f>IF(A85="",0,COUNTIF(tbl_Partenaires_Projets[ID Partenaire],A85))</f>
        <v>0</v>
      </c>
      <c r="AU85" s="34">
        <f>IF(A85="",0,COUNTIF(tbl_Partenaires_Conventions[ID Partenaire],A85))</f>
        <v>0</v>
      </c>
      <c r="AV85" s="34">
        <f>IF(A85="",0,COUNTIFS(tbl_Partenaires_Conventions[ID Partenaire],A85,tbl_Partenaires_Conventions[Statut],"Active"))</f>
        <v>0</v>
      </c>
      <c r="AW85" s="34" t="str">
        <f ca="1">IF(A85="","",IF(COUNTIFS(tbl_Partenaires_Conventions[ID Partenaire],A85,tbl_Partenaires_Conventions[Statut],"Active")=0,"NON",IF(_xlfn.MINIFS(tbl_Partenaires_Conventions[Date fin],tbl_Partenaires_Conventions[ID Partenaire],A85,tbl_Partenaires_Conventions[Statut],"Active")-TODAY()&lt;=60,"OUI","NON")))</f>
        <v/>
      </c>
      <c r="AX85" s="34">
        <f>IF(A85="",0,COUNTIF(tbl_Partenaires_Documents[ID Partenaire],A85))</f>
        <v>0</v>
      </c>
      <c r="AY85" s="63" t="str">
        <f>IFERROR(AVERAGEIFS(tbl_Partenaires_Evaluations[Note globale],tbl_Partenaires_Evaluations[ID Partenaire],A85),"")</f>
        <v/>
      </c>
      <c r="AZ85" s="71" t="str">
        <f ca="1">IFERROR(_xlfn.MAXIFS(tbl_Partenaires_Evaluations[Date evaluation],tbl_Partenaires_Evaluations[ID Partenaire],A85),"")</f>
        <v/>
      </c>
      <c r="BA85" s="34">
        <f>IF(A85="",0,COUNTIF(tbl_Partenaires_Risques[ID Partenaire],A85))</f>
        <v>0</v>
      </c>
      <c r="BB85" s="34" t="str">
        <f>IF(A85="","",IF(COUNTIFS(tbl_Partenaires_Risques[ID Partenaire],A85,tbl_Partenaires_Risques[Niveau],"Eleve")+COUNTIFS(tbl_Partenaires_Risques[ID Partenaire],A85,tbl_Partenaires_Risques[Niveau],"Critique")&gt;0,"OUI","NON"))</f>
        <v/>
      </c>
      <c r="BC85" s="34">
        <f>IF(A85="",0,COUNTIF(tbl_Partenaires_Contacts[ID Partenaire],A85))</f>
        <v>0</v>
      </c>
      <c r="BD85" s="34">
        <f>IF(A85="",0,COUNTIFS(tbl_Partenaires_Opportunites[ID Partenaire],A85,tbl_Partenaires_Opportunites[Statut],"&lt;&gt;Cloturee"))</f>
        <v>0</v>
      </c>
      <c r="BE85" s="34">
        <f>IF(A85="",0,COUNTIF(tbl_Partenaires_Prospection[ID Partenaire],A85))</f>
        <v>0</v>
      </c>
      <c r="BF85" s="57"/>
      <c r="BG85" s="57"/>
      <c r="BH85" s="57"/>
      <c r="BI85" s="57"/>
      <c r="BJ85" s="57"/>
      <c r="BK85" s="57"/>
      <c r="BL85" s="57"/>
      <c r="BM85" s="57"/>
      <c r="BN85" s="57"/>
      <c r="BO85" s="57"/>
      <c r="BP85" s="57"/>
      <c r="BQ85" s="57"/>
      <c r="BR85" s="34" t="str">
        <f>IF(C85="","",IF(OR(COUNTIF(C56:C115,C85)&gt;1,AND(E85&lt;&gt;"",COUNTIF(E56:E115,E85)&gt;1),AND(S85&lt;&gt;"",COUNTIF(S56:S115,S85)&gt;1),AND(U85&lt;&gt;"",COUNTIF(U56:U115,U85)&gt;1)),"OUI","NON"))</f>
        <v/>
      </c>
      <c r="BS85" s="57"/>
    </row>
    <row r="86" spans="1:71" ht="15" customHeight="1">
      <c r="A86" s="34" t="str">
        <f t="shared" si="0"/>
        <v/>
      </c>
      <c r="B86" s="57"/>
      <c r="C86" s="57"/>
      <c r="D86" s="57"/>
      <c r="E86" s="57"/>
      <c r="F86" s="57"/>
      <c r="G86" s="57"/>
      <c r="H86" s="57"/>
      <c r="I86" s="57"/>
      <c r="J86" s="70"/>
      <c r="K86" s="57"/>
      <c r="L86" s="57"/>
      <c r="M86" s="57"/>
      <c r="N86" s="34" t="str">
        <f>IFERROR(INDEX(PARAMETRES!$B$536:$B$586,MATCH(M86,PARAMETRES!$J$536:$J$586,0)),"")</f>
        <v/>
      </c>
      <c r="O86" s="34" t="str">
        <f>IFERROR(INDEX(PARAMETRES!$D$536:$D$586,MATCH(M86,PARAMETRES!$J$536:$J$586,0)),"")</f>
        <v/>
      </c>
      <c r="P86" s="34" t="str">
        <f>IFERROR(INDEX(PARAMETRES!$F$536:$F$586,MATCH(M86,PARAMETRES!$J$536:$J$586,0)),"")</f>
        <v/>
      </c>
      <c r="Q86" s="34" t="str">
        <f>IFERROR(INDEX(PARAMETRES!$H$536:$H$586,MATCH(M86,PARAMETRES!$J$536:$J$586,0)),"")</f>
        <v/>
      </c>
      <c r="R86" s="57"/>
      <c r="S86" s="57"/>
      <c r="T86" s="57"/>
      <c r="U86" s="57"/>
      <c r="V86" s="57"/>
      <c r="W86" s="57"/>
      <c r="X86" s="57"/>
      <c r="Y86" s="57"/>
      <c r="Z86" s="57"/>
      <c r="AA86" s="57"/>
      <c r="AB86" s="57"/>
      <c r="AC86" s="50"/>
      <c r="AD86" s="57"/>
      <c r="AE86" s="57"/>
      <c r="AF86" s="57"/>
      <c r="AG86" s="57"/>
      <c r="AH86" s="34" t="str">
        <f>IFERROR(INDEX(PARAMETRES!$B$536:$B$586,MATCH(AG86,PARAMETRES!$J$536:$J$586,0)),"")</f>
        <v/>
      </c>
      <c r="AI86" s="34" t="str">
        <f>IFERROR(INDEX(PARAMETRES!$D$536:$D$586,MATCH(AG86,PARAMETRES!$J$536:$J$586,0)),"")</f>
        <v/>
      </c>
      <c r="AJ86" s="34" t="str">
        <f>IFERROR(INDEX(PARAMETRES!$F$536:$F$586,MATCH(AG86,PARAMETRES!$J$536:$J$586,0)),"")</f>
        <v/>
      </c>
      <c r="AK86" s="34" t="str">
        <f>IFERROR(INDEX(PARAMETRES!$H$536:$H$586,MATCH(AG86,PARAMETRES!$J$536:$J$586,0)),"")</f>
        <v/>
      </c>
      <c r="AL86" s="50"/>
      <c r="AM86" s="50"/>
      <c r="AN86" s="57"/>
      <c r="AO86" s="57"/>
      <c r="AP86" s="51"/>
      <c r="AQ86" s="51"/>
      <c r="AR86" s="52" t="str">
        <f t="shared" si="1"/>
        <v/>
      </c>
      <c r="AS86" s="57"/>
      <c r="AT86" s="34">
        <f>IF(A86="",0,COUNTIF(tbl_Partenaires_Projets[ID Partenaire],A86))</f>
        <v>0</v>
      </c>
      <c r="AU86" s="34">
        <f>IF(A86="",0,COUNTIF(tbl_Partenaires_Conventions[ID Partenaire],A86))</f>
        <v>0</v>
      </c>
      <c r="AV86" s="34">
        <f>IF(A86="",0,COUNTIFS(tbl_Partenaires_Conventions[ID Partenaire],A86,tbl_Partenaires_Conventions[Statut],"Active"))</f>
        <v>0</v>
      </c>
      <c r="AW86" s="34" t="str">
        <f ca="1">IF(A86="","",IF(COUNTIFS(tbl_Partenaires_Conventions[ID Partenaire],A86,tbl_Partenaires_Conventions[Statut],"Active")=0,"NON",IF(_xlfn.MINIFS(tbl_Partenaires_Conventions[Date fin],tbl_Partenaires_Conventions[ID Partenaire],A86,tbl_Partenaires_Conventions[Statut],"Active")-TODAY()&lt;=60,"OUI","NON")))</f>
        <v/>
      </c>
      <c r="AX86" s="34">
        <f>IF(A86="",0,COUNTIF(tbl_Partenaires_Documents[ID Partenaire],A86))</f>
        <v>0</v>
      </c>
      <c r="AY86" s="63" t="str">
        <f>IFERROR(AVERAGEIFS(tbl_Partenaires_Evaluations[Note globale],tbl_Partenaires_Evaluations[ID Partenaire],A86),"")</f>
        <v/>
      </c>
      <c r="AZ86" s="71" t="str">
        <f ca="1">IFERROR(_xlfn.MAXIFS(tbl_Partenaires_Evaluations[Date evaluation],tbl_Partenaires_Evaluations[ID Partenaire],A86),"")</f>
        <v/>
      </c>
      <c r="BA86" s="34">
        <f>IF(A86="",0,COUNTIF(tbl_Partenaires_Risques[ID Partenaire],A86))</f>
        <v>0</v>
      </c>
      <c r="BB86" s="34" t="str">
        <f>IF(A86="","",IF(COUNTIFS(tbl_Partenaires_Risques[ID Partenaire],A86,tbl_Partenaires_Risques[Niveau],"Eleve")+COUNTIFS(tbl_Partenaires_Risques[ID Partenaire],A86,tbl_Partenaires_Risques[Niveau],"Critique")&gt;0,"OUI","NON"))</f>
        <v/>
      </c>
      <c r="BC86" s="34">
        <f>IF(A86="",0,COUNTIF(tbl_Partenaires_Contacts[ID Partenaire],A86))</f>
        <v>0</v>
      </c>
      <c r="BD86" s="34">
        <f>IF(A86="",0,COUNTIFS(tbl_Partenaires_Opportunites[ID Partenaire],A86,tbl_Partenaires_Opportunites[Statut],"&lt;&gt;Cloturee"))</f>
        <v>0</v>
      </c>
      <c r="BE86" s="34">
        <f>IF(A86="",0,COUNTIF(tbl_Partenaires_Prospection[ID Partenaire],A86))</f>
        <v>0</v>
      </c>
      <c r="BF86" s="57"/>
      <c r="BG86" s="57"/>
      <c r="BH86" s="57"/>
      <c r="BI86" s="57"/>
      <c r="BJ86" s="57"/>
      <c r="BK86" s="57"/>
      <c r="BL86" s="57"/>
      <c r="BM86" s="57"/>
      <c r="BN86" s="57"/>
      <c r="BO86" s="57"/>
      <c r="BP86" s="57"/>
      <c r="BQ86" s="57"/>
      <c r="BR86" s="34" t="str">
        <f>IF(C86="","",IF(OR(COUNTIF(C56:C115,C86)&gt;1,AND(E86&lt;&gt;"",COUNTIF(E56:E115,E86)&gt;1),AND(S86&lt;&gt;"",COUNTIF(S56:S115,S86)&gt;1),AND(U86&lt;&gt;"",COUNTIF(U56:U115,U86)&gt;1)),"OUI","NON"))</f>
        <v/>
      </c>
      <c r="BS86" s="57"/>
    </row>
    <row r="87" spans="1:71" ht="15" customHeight="1">
      <c r="A87" s="34" t="str">
        <f t="shared" si="0"/>
        <v/>
      </c>
      <c r="B87" s="57"/>
      <c r="C87" s="57"/>
      <c r="D87" s="57"/>
      <c r="E87" s="57"/>
      <c r="F87" s="57"/>
      <c r="G87" s="57"/>
      <c r="H87" s="57"/>
      <c r="I87" s="57"/>
      <c r="J87" s="70"/>
      <c r="K87" s="57"/>
      <c r="L87" s="57"/>
      <c r="M87" s="57"/>
      <c r="N87" s="34" t="str">
        <f>IFERROR(INDEX(PARAMETRES!$B$536:$B$586,MATCH(M87,PARAMETRES!$J$536:$J$586,0)),"")</f>
        <v/>
      </c>
      <c r="O87" s="34" t="str">
        <f>IFERROR(INDEX(PARAMETRES!$D$536:$D$586,MATCH(M87,PARAMETRES!$J$536:$J$586,0)),"")</f>
        <v/>
      </c>
      <c r="P87" s="34" t="str">
        <f>IFERROR(INDEX(PARAMETRES!$F$536:$F$586,MATCH(M87,PARAMETRES!$J$536:$J$586,0)),"")</f>
        <v/>
      </c>
      <c r="Q87" s="34" t="str">
        <f>IFERROR(INDEX(PARAMETRES!$H$536:$H$586,MATCH(M87,PARAMETRES!$J$536:$J$586,0)),"")</f>
        <v/>
      </c>
      <c r="R87" s="57"/>
      <c r="S87" s="57"/>
      <c r="T87" s="57"/>
      <c r="U87" s="57"/>
      <c r="V87" s="57"/>
      <c r="W87" s="57"/>
      <c r="X87" s="57"/>
      <c r="Y87" s="57"/>
      <c r="Z87" s="57"/>
      <c r="AA87" s="57"/>
      <c r="AB87" s="57"/>
      <c r="AC87" s="50"/>
      <c r="AD87" s="57"/>
      <c r="AE87" s="57"/>
      <c r="AF87" s="57"/>
      <c r="AG87" s="57"/>
      <c r="AH87" s="34" t="str">
        <f>IFERROR(INDEX(PARAMETRES!$B$536:$B$586,MATCH(AG87,PARAMETRES!$J$536:$J$586,0)),"")</f>
        <v/>
      </c>
      <c r="AI87" s="34" t="str">
        <f>IFERROR(INDEX(PARAMETRES!$D$536:$D$586,MATCH(AG87,PARAMETRES!$J$536:$J$586,0)),"")</f>
        <v/>
      </c>
      <c r="AJ87" s="34" t="str">
        <f>IFERROR(INDEX(PARAMETRES!$F$536:$F$586,MATCH(AG87,PARAMETRES!$J$536:$J$586,0)),"")</f>
        <v/>
      </c>
      <c r="AK87" s="34" t="str">
        <f>IFERROR(INDEX(PARAMETRES!$H$536:$H$586,MATCH(AG87,PARAMETRES!$J$536:$J$586,0)),"")</f>
        <v/>
      </c>
      <c r="AL87" s="50"/>
      <c r="AM87" s="50"/>
      <c r="AN87" s="57"/>
      <c r="AO87" s="57"/>
      <c r="AP87" s="51"/>
      <c r="AQ87" s="51"/>
      <c r="AR87" s="52" t="str">
        <f t="shared" si="1"/>
        <v/>
      </c>
      <c r="AS87" s="57"/>
      <c r="AT87" s="34">
        <f>IF(A87="",0,COUNTIF(tbl_Partenaires_Projets[ID Partenaire],A87))</f>
        <v>0</v>
      </c>
      <c r="AU87" s="34">
        <f>IF(A87="",0,COUNTIF(tbl_Partenaires_Conventions[ID Partenaire],A87))</f>
        <v>0</v>
      </c>
      <c r="AV87" s="34">
        <f>IF(A87="",0,COUNTIFS(tbl_Partenaires_Conventions[ID Partenaire],A87,tbl_Partenaires_Conventions[Statut],"Active"))</f>
        <v>0</v>
      </c>
      <c r="AW87" s="34" t="str">
        <f ca="1">IF(A87="","",IF(COUNTIFS(tbl_Partenaires_Conventions[ID Partenaire],A87,tbl_Partenaires_Conventions[Statut],"Active")=0,"NON",IF(_xlfn.MINIFS(tbl_Partenaires_Conventions[Date fin],tbl_Partenaires_Conventions[ID Partenaire],A87,tbl_Partenaires_Conventions[Statut],"Active")-TODAY()&lt;=60,"OUI","NON")))</f>
        <v/>
      </c>
      <c r="AX87" s="34">
        <f>IF(A87="",0,COUNTIF(tbl_Partenaires_Documents[ID Partenaire],A87))</f>
        <v>0</v>
      </c>
      <c r="AY87" s="63" t="str">
        <f>IFERROR(AVERAGEIFS(tbl_Partenaires_Evaluations[Note globale],tbl_Partenaires_Evaluations[ID Partenaire],A87),"")</f>
        <v/>
      </c>
      <c r="AZ87" s="71" t="str">
        <f ca="1">IFERROR(_xlfn.MAXIFS(tbl_Partenaires_Evaluations[Date evaluation],tbl_Partenaires_Evaluations[ID Partenaire],A87),"")</f>
        <v/>
      </c>
      <c r="BA87" s="34">
        <f>IF(A87="",0,COUNTIF(tbl_Partenaires_Risques[ID Partenaire],A87))</f>
        <v>0</v>
      </c>
      <c r="BB87" s="34" t="str">
        <f>IF(A87="","",IF(COUNTIFS(tbl_Partenaires_Risques[ID Partenaire],A87,tbl_Partenaires_Risques[Niveau],"Eleve")+COUNTIFS(tbl_Partenaires_Risques[ID Partenaire],A87,tbl_Partenaires_Risques[Niveau],"Critique")&gt;0,"OUI","NON"))</f>
        <v/>
      </c>
      <c r="BC87" s="34">
        <f>IF(A87="",0,COUNTIF(tbl_Partenaires_Contacts[ID Partenaire],A87))</f>
        <v>0</v>
      </c>
      <c r="BD87" s="34">
        <f>IF(A87="",0,COUNTIFS(tbl_Partenaires_Opportunites[ID Partenaire],A87,tbl_Partenaires_Opportunites[Statut],"&lt;&gt;Cloturee"))</f>
        <v>0</v>
      </c>
      <c r="BE87" s="34">
        <f>IF(A87="",0,COUNTIF(tbl_Partenaires_Prospection[ID Partenaire],A87))</f>
        <v>0</v>
      </c>
      <c r="BF87" s="57"/>
      <c r="BG87" s="57"/>
      <c r="BH87" s="57"/>
      <c r="BI87" s="57"/>
      <c r="BJ87" s="57"/>
      <c r="BK87" s="57"/>
      <c r="BL87" s="57"/>
      <c r="BM87" s="57"/>
      <c r="BN87" s="57"/>
      <c r="BO87" s="57"/>
      <c r="BP87" s="57"/>
      <c r="BQ87" s="57"/>
      <c r="BR87" s="34" t="str">
        <f>IF(C87="","",IF(OR(COUNTIF(C56:C115,C87)&gt;1,AND(E87&lt;&gt;"",COUNTIF(E56:E115,E87)&gt;1),AND(S87&lt;&gt;"",COUNTIF(S56:S115,S87)&gt;1),AND(U87&lt;&gt;"",COUNTIF(U56:U115,U87)&gt;1)),"OUI","NON"))</f>
        <v/>
      </c>
      <c r="BS87" s="57"/>
    </row>
    <row r="88" spans="1:71" ht="15" customHeight="1">
      <c r="A88" s="34" t="str">
        <f t="shared" ref="A88:A115" si="2">IF(C88="","","PART"&amp;TEXT(ROW()-55,"00000"))</f>
        <v/>
      </c>
      <c r="B88" s="57"/>
      <c r="C88" s="57"/>
      <c r="D88" s="57"/>
      <c r="E88" s="57"/>
      <c r="F88" s="57"/>
      <c r="G88" s="57"/>
      <c r="H88" s="57"/>
      <c r="I88" s="57"/>
      <c r="J88" s="70"/>
      <c r="K88" s="57"/>
      <c r="L88" s="57"/>
      <c r="M88" s="57"/>
      <c r="N88" s="34" t="str">
        <f>IFERROR(INDEX(PARAMETRES!$B$536:$B$586,MATCH(M88,PARAMETRES!$J$536:$J$586,0)),"")</f>
        <v/>
      </c>
      <c r="O88" s="34" t="str">
        <f>IFERROR(INDEX(PARAMETRES!$D$536:$D$586,MATCH(M88,PARAMETRES!$J$536:$J$586,0)),"")</f>
        <v/>
      </c>
      <c r="P88" s="34" t="str">
        <f>IFERROR(INDEX(PARAMETRES!$F$536:$F$586,MATCH(M88,PARAMETRES!$J$536:$J$586,0)),"")</f>
        <v/>
      </c>
      <c r="Q88" s="34" t="str">
        <f>IFERROR(INDEX(PARAMETRES!$H$536:$H$586,MATCH(M88,PARAMETRES!$J$536:$J$586,0)),"")</f>
        <v/>
      </c>
      <c r="R88" s="57"/>
      <c r="S88" s="57"/>
      <c r="T88" s="57"/>
      <c r="U88" s="57"/>
      <c r="V88" s="57"/>
      <c r="W88" s="57"/>
      <c r="X88" s="57"/>
      <c r="Y88" s="57"/>
      <c r="Z88" s="57"/>
      <c r="AA88" s="57"/>
      <c r="AB88" s="57"/>
      <c r="AC88" s="50"/>
      <c r="AD88" s="57"/>
      <c r="AE88" s="57"/>
      <c r="AF88" s="57"/>
      <c r="AG88" s="57"/>
      <c r="AH88" s="34" t="str">
        <f>IFERROR(INDEX(PARAMETRES!$B$536:$B$586,MATCH(AG88,PARAMETRES!$J$536:$J$586,0)),"")</f>
        <v/>
      </c>
      <c r="AI88" s="34" t="str">
        <f>IFERROR(INDEX(PARAMETRES!$D$536:$D$586,MATCH(AG88,PARAMETRES!$J$536:$J$586,0)),"")</f>
        <v/>
      </c>
      <c r="AJ88" s="34" t="str">
        <f>IFERROR(INDEX(PARAMETRES!$F$536:$F$586,MATCH(AG88,PARAMETRES!$J$536:$J$586,0)),"")</f>
        <v/>
      </c>
      <c r="AK88" s="34" t="str">
        <f>IFERROR(INDEX(PARAMETRES!$H$536:$H$586,MATCH(AG88,PARAMETRES!$J$536:$J$586,0)),"")</f>
        <v/>
      </c>
      <c r="AL88" s="50"/>
      <c r="AM88" s="50"/>
      <c r="AN88" s="57"/>
      <c r="AO88" s="57"/>
      <c r="AP88" s="51"/>
      <c r="AQ88" s="51"/>
      <c r="AR88" s="52" t="str">
        <f t="shared" ref="AR88:AR115" si="3">IF(OR(AP88="",AQ88=""),"",AP88-AQ88)</f>
        <v/>
      </c>
      <c r="AS88" s="57"/>
      <c r="AT88" s="34">
        <f>IF(A88="",0,COUNTIF(tbl_Partenaires_Projets[ID Partenaire],A88))</f>
        <v>0</v>
      </c>
      <c r="AU88" s="34">
        <f>IF(A88="",0,COUNTIF(tbl_Partenaires_Conventions[ID Partenaire],A88))</f>
        <v>0</v>
      </c>
      <c r="AV88" s="34">
        <f>IF(A88="",0,COUNTIFS(tbl_Partenaires_Conventions[ID Partenaire],A88,tbl_Partenaires_Conventions[Statut],"Active"))</f>
        <v>0</v>
      </c>
      <c r="AW88" s="34" t="str">
        <f ca="1">IF(A88="","",IF(COUNTIFS(tbl_Partenaires_Conventions[ID Partenaire],A88,tbl_Partenaires_Conventions[Statut],"Active")=0,"NON",IF(_xlfn.MINIFS(tbl_Partenaires_Conventions[Date fin],tbl_Partenaires_Conventions[ID Partenaire],A88,tbl_Partenaires_Conventions[Statut],"Active")-TODAY()&lt;=60,"OUI","NON")))</f>
        <v/>
      </c>
      <c r="AX88" s="34">
        <f>IF(A88="",0,COUNTIF(tbl_Partenaires_Documents[ID Partenaire],A88))</f>
        <v>0</v>
      </c>
      <c r="AY88" s="63" t="str">
        <f>IFERROR(AVERAGEIFS(tbl_Partenaires_Evaluations[Note globale],tbl_Partenaires_Evaluations[ID Partenaire],A88),"")</f>
        <v/>
      </c>
      <c r="AZ88" s="71" t="str">
        <f ca="1">IFERROR(_xlfn.MAXIFS(tbl_Partenaires_Evaluations[Date evaluation],tbl_Partenaires_Evaluations[ID Partenaire],A88),"")</f>
        <v/>
      </c>
      <c r="BA88" s="34">
        <f>IF(A88="",0,COUNTIF(tbl_Partenaires_Risques[ID Partenaire],A88))</f>
        <v>0</v>
      </c>
      <c r="BB88" s="34" t="str">
        <f>IF(A88="","",IF(COUNTIFS(tbl_Partenaires_Risques[ID Partenaire],A88,tbl_Partenaires_Risques[Niveau],"Eleve")+COUNTIFS(tbl_Partenaires_Risques[ID Partenaire],A88,tbl_Partenaires_Risques[Niveau],"Critique")&gt;0,"OUI","NON"))</f>
        <v/>
      </c>
      <c r="BC88" s="34">
        <f>IF(A88="",0,COUNTIF(tbl_Partenaires_Contacts[ID Partenaire],A88))</f>
        <v>0</v>
      </c>
      <c r="BD88" s="34">
        <f>IF(A88="",0,COUNTIFS(tbl_Partenaires_Opportunites[ID Partenaire],A88,tbl_Partenaires_Opportunites[Statut],"&lt;&gt;Cloturee"))</f>
        <v>0</v>
      </c>
      <c r="BE88" s="34">
        <f>IF(A88="",0,COUNTIF(tbl_Partenaires_Prospection[ID Partenaire],A88))</f>
        <v>0</v>
      </c>
      <c r="BF88" s="57"/>
      <c r="BG88" s="57"/>
      <c r="BH88" s="57"/>
      <c r="BI88" s="57"/>
      <c r="BJ88" s="57"/>
      <c r="BK88" s="57"/>
      <c r="BL88" s="57"/>
      <c r="BM88" s="57"/>
      <c r="BN88" s="57"/>
      <c r="BO88" s="57"/>
      <c r="BP88" s="57"/>
      <c r="BQ88" s="57"/>
      <c r="BR88" s="34" t="str">
        <f>IF(C88="","",IF(OR(COUNTIF(C56:C115,C88)&gt;1,AND(E88&lt;&gt;"",COUNTIF(E56:E115,E88)&gt;1),AND(S88&lt;&gt;"",COUNTIF(S56:S115,S88)&gt;1),AND(U88&lt;&gt;"",COUNTIF(U56:U115,U88)&gt;1)),"OUI","NON"))</f>
        <v/>
      </c>
      <c r="BS88" s="57"/>
    </row>
    <row r="89" spans="1:71" ht="15" customHeight="1">
      <c r="A89" s="34" t="str">
        <f t="shared" si="2"/>
        <v/>
      </c>
      <c r="B89" s="57"/>
      <c r="C89" s="57"/>
      <c r="D89" s="57"/>
      <c r="E89" s="57"/>
      <c r="F89" s="57"/>
      <c r="G89" s="57"/>
      <c r="H89" s="57"/>
      <c r="I89" s="57"/>
      <c r="J89" s="70"/>
      <c r="K89" s="57"/>
      <c r="L89" s="57"/>
      <c r="M89" s="57"/>
      <c r="N89" s="34" t="str">
        <f>IFERROR(INDEX(PARAMETRES!$B$536:$B$586,MATCH(M89,PARAMETRES!$J$536:$J$586,0)),"")</f>
        <v/>
      </c>
      <c r="O89" s="34" t="str">
        <f>IFERROR(INDEX(PARAMETRES!$D$536:$D$586,MATCH(M89,PARAMETRES!$J$536:$J$586,0)),"")</f>
        <v/>
      </c>
      <c r="P89" s="34" t="str">
        <f>IFERROR(INDEX(PARAMETRES!$F$536:$F$586,MATCH(M89,PARAMETRES!$J$536:$J$586,0)),"")</f>
        <v/>
      </c>
      <c r="Q89" s="34" t="str">
        <f>IFERROR(INDEX(PARAMETRES!$H$536:$H$586,MATCH(M89,PARAMETRES!$J$536:$J$586,0)),"")</f>
        <v/>
      </c>
      <c r="R89" s="57"/>
      <c r="S89" s="57"/>
      <c r="T89" s="57"/>
      <c r="U89" s="57"/>
      <c r="V89" s="57"/>
      <c r="W89" s="57"/>
      <c r="X89" s="57"/>
      <c r="Y89" s="57"/>
      <c r="Z89" s="57"/>
      <c r="AA89" s="57"/>
      <c r="AB89" s="57"/>
      <c r="AC89" s="50"/>
      <c r="AD89" s="57"/>
      <c r="AE89" s="57"/>
      <c r="AF89" s="57"/>
      <c r="AG89" s="57"/>
      <c r="AH89" s="34" t="str">
        <f>IFERROR(INDEX(PARAMETRES!$B$536:$B$586,MATCH(AG89,PARAMETRES!$J$536:$J$586,0)),"")</f>
        <v/>
      </c>
      <c r="AI89" s="34" t="str">
        <f>IFERROR(INDEX(PARAMETRES!$D$536:$D$586,MATCH(AG89,PARAMETRES!$J$536:$J$586,0)),"")</f>
        <v/>
      </c>
      <c r="AJ89" s="34" t="str">
        <f>IFERROR(INDEX(PARAMETRES!$F$536:$F$586,MATCH(AG89,PARAMETRES!$J$536:$J$586,0)),"")</f>
        <v/>
      </c>
      <c r="AK89" s="34" t="str">
        <f>IFERROR(INDEX(PARAMETRES!$H$536:$H$586,MATCH(AG89,PARAMETRES!$J$536:$J$586,0)),"")</f>
        <v/>
      </c>
      <c r="AL89" s="50"/>
      <c r="AM89" s="50"/>
      <c r="AN89" s="57"/>
      <c r="AO89" s="57"/>
      <c r="AP89" s="51"/>
      <c r="AQ89" s="51"/>
      <c r="AR89" s="52" t="str">
        <f t="shared" si="3"/>
        <v/>
      </c>
      <c r="AS89" s="57"/>
      <c r="AT89" s="34">
        <f>IF(A89="",0,COUNTIF(tbl_Partenaires_Projets[ID Partenaire],A89))</f>
        <v>0</v>
      </c>
      <c r="AU89" s="34">
        <f>IF(A89="",0,COUNTIF(tbl_Partenaires_Conventions[ID Partenaire],A89))</f>
        <v>0</v>
      </c>
      <c r="AV89" s="34">
        <f>IF(A89="",0,COUNTIFS(tbl_Partenaires_Conventions[ID Partenaire],A89,tbl_Partenaires_Conventions[Statut],"Active"))</f>
        <v>0</v>
      </c>
      <c r="AW89" s="34" t="str">
        <f ca="1">IF(A89="","",IF(COUNTIFS(tbl_Partenaires_Conventions[ID Partenaire],A89,tbl_Partenaires_Conventions[Statut],"Active")=0,"NON",IF(_xlfn.MINIFS(tbl_Partenaires_Conventions[Date fin],tbl_Partenaires_Conventions[ID Partenaire],A89,tbl_Partenaires_Conventions[Statut],"Active")-TODAY()&lt;=60,"OUI","NON")))</f>
        <v/>
      </c>
      <c r="AX89" s="34">
        <f>IF(A89="",0,COUNTIF(tbl_Partenaires_Documents[ID Partenaire],A89))</f>
        <v>0</v>
      </c>
      <c r="AY89" s="63" t="str">
        <f>IFERROR(AVERAGEIFS(tbl_Partenaires_Evaluations[Note globale],tbl_Partenaires_Evaluations[ID Partenaire],A89),"")</f>
        <v/>
      </c>
      <c r="AZ89" s="71" t="str">
        <f ca="1">IFERROR(_xlfn.MAXIFS(tbl_Partenaires_Evaluations[Date evaluation],tbl_Partenaires_Evaluations[ID Partenaire],A89),"")</f>
        <v/>
      </c>
      <c r="BA89" s="34">
        <f>IF(A89="",0,COUNTIF(tbl_Partenaires_Risques[ID Partenaire],A89))</f>
        <v>0</v>
      </c>
      <c r="BB89" s="34" t="str">
        <f>IF(A89="","",IF(COUNTIFS(tbl_Partenaires_Risques[ID Partenaire],A89,tbl_Partenaires_Risques[Niveau],"Eleve")+COUNTIFS(tbl_Partenaires_Risques[ID Partenaire],A89,tbl_Partenaires_Risques[Niveau],"Critique")&gt;0,"OUI","NON"))</f>
        <v/>
      </c>
      <c r="BC89" s="34">
        <f>IF(A89="",0,COUNTIF(tbl_Partenaires_Contacts[ID Partenaire],A89))</f>
        <v>0</v>
      </c>
      <c r="BD89" s="34">
        <f>IF(A89="",0,COUNTIFS(tbl_Partenaires_Opportunites[ID Partenaire],A89,tbl_Partenaires_Opportunites[Statut],"&lt;&gt;Cloturee"))</f>
        <v>0</v>
      </c>
      <c r="BE89" s="34">
        <f>IF(A89="",0,COUNTIF(tbl_Partenaires_Prospection[ID Partenaire],A89))</f>
        <v>0</v>
      </c>
      <c r="BF89" s="57"/>
      <c r="BG89" s="57"/>
      <c r="BH89" s="57"/>
      <c r="BI89" s="57"/>
      <c r="BJ89" s="57"/>
      <c r="BK89" s="57"/>
      <c r="BL89" s="57"/>
      <c r="BM89" s="57"/>
      <c r="BN89" s="57"/>
      <c r="BO89" s="57"/>
      <c r="BP89" s="57"/>
      <c r="BQ89" s="57"/>
      <c r="BR89" s="34" t="str">
        <f>IF(C89="","",IF(OR(COUNTIF(C56:C115,C89)&gt;1,AND(E89&lt;&gt;"",COUNTIF(E56:E115,E89)&gt;1),AND(S89&lt;&gt;"",COUNTIF(S56:S115,S89)&gt;1),AND(U89&lt;&gt;"",COUNTIF(U56:U115,U89)&gt;1)),"OUI","NON"))</f>
        <v/>
      </c>
      <c r="BS89" s="57"/>
    </row>
    <row r="90" spans="1:71" ht="15" customHeight="1">
      <c r="A90" s="34" t="str">
        <f t="shared" si="2"/>
        <v/>
      </c>
      <c r="B90" s="57"/>
      <c r="C90" s="57"/>
      <c r="D90" s="57"/>
      <c r="E90" s="57"/>
      <c r="F90" s="57"/>
      <c r="G90" s="57"/>
      <c r="H90" s="57"/>
      <c r="I90" s="57"/>
      <c r="J90" s="70"/>
      <c r="K90" s="57"/>
      <c r="L90" s="57"/>
      <c r="M90" s="57"/>
      <c r="N90" s="34" t="str">
        <f>IFERROR(INDEX(PARAMETRES!$B$536:$B$586,MATCH(M90,PARAMETRES!$J$536:$J$586,0)),"")</f>
        <v/>
      </c>
      <c r="O90" s="34" t="str">
        <f>IFERROR(INDEX(PARAMETRES!$D$536:$D$586,MATCH(M90,PARAMETRES!$J$536:$J$586,0)),"")</f>
        <v/>
      </c>
      <c r="P90" s="34" t="str">
        <f>IFERROR(INDEX(PARAMETRES!$F$536:$F$586,MATCH(M90,PARAMETRES!$J$536:$J$586,0)),"")</f>
        <v/>
      </c>
      <c r="Q90" s="34" t="str">
        <f>IFERROR(INDEX(PARAMETRES!$H$536:$H$586,MATCH(M90,PARAMETRES!$J$536:$J$586,0)),"")</f>
        <v/>
      </c>
      <c r="R90" s="57"/>
      <c r="S90" s="57"/>
      <c r="T90" s="57"/>
      <c r="U90" s="57"/>
      <c r="V90" s="57"/>
      <c r="W90" s="57"/>
      <c r="X90" s="57"/>
      <c r="Y90" s="57"/>
      <c r="Z90" s="57"/>
      <c r="AA90" s="57"/>
      <c r="AB90" s="57"/>
      <c r="AC90" s="50"/>
      <c r="AD90" s="57"/>
      <c r="AE90" s="57"/>
      <c r="AF90" s="57"/>
      <c r="AG90" s="57"/>
      <c r="AH90" s="34" t="str">
        <f>IFERROR(INDEX(PARAMETRES!$B$536:$B$586,MATCH(AG90,PARAMETRES!$J$536:$J$586,0)),"")</f>
        <v/>
      </c>
      <c r="AI90" s="34" t="str">
        <f>IFERROR(INDEX(PARAMETRES!$D$536:$D$586,MATCH(AG90,PARAMETRES!$J$536:$J$586,0)),"")</f>
        <v/>
      </c>
      <c r="AJ90" s="34" t="str">
        <f>IFERROR(INDEX(PARAMETRES!$F$536:$F$586,MATCH(AG90,PARAMETRES!$J$536:$J$586,0)),"")</f>
        <v/>
      </c>
      <c r="AK90" s="34" t="str">
        <f>IFERROR(INDEX(PARAMETRES!$H$536:$H$586,MATCH(AG90,PARAMETRES!$J$536:$J$586,0)),"")</f>
        <v/>
      </c>
      <c r="AL90" s="50"/>
      <c r="AM90" s="50"/>
      <c r="AN90" s="57"/>
      <c r="AO90" s="57"/>
      <c r="AP90" s="51"/>
      <c r="AQ90" s="51"/>
      <c r="AR90" s="52" t="str">
        <f t="shared" si="3"/>
        <v/>
      </c>
      <c r="AS90" s="57"/>
      <c r="AT90" s="34">
        <f>IF(A90="",0,COUNTIF(tbl_Partenaires_Projets[ID Partenaire],A90))</f>
        <v>0</v>
      </c>
      <c r="AU90" s="34">
        <f>IF(A90="",0,COUNTIF(tbl_Partenaires_Conventions[ID Partenaire],A90))</f>
        <v>0</v>
      </c>
      <c r="AV90" s="34">
        <f>IF(A90="",0,COUNTIFS(tbl_Partenaires_Conventions[ID Partenaire],A90,tbl_Partenaires_Conventions[Statut],"Active"))</f>
        <v>0</v>
      </c>
      <c r="AW90" s="34" t="str">
        <f ca="1">IF(A90="","",IF(COUNTIFS(tbl_Partenaires_Conventions[ID Partenaire],A90,tbl_Partenaires_Conventions[Statut],"Active")=0,"NON",IF(_xlfn.MINIFS(tbl_Partenaires_Conventions[Date fin],tbl_Partenaires_Conventions[ID Partenaire],A90,tbl_Partenaires_Conventions[Statut],"Active")-TODAY()&lt;=60,"OUI","NON")))</f>
        <v/>
      </c>
      <c r="AX90" s="34">
        <f>IF(A90="",0,COUNTIF(tbl_Partenaires_Documents[ID Partenaire],A90))</f>
        <v>0</v>
      </c>
      <c r="AY90" s="63" t="str">
        <f>IFERROR(AVERAGEIFS(tbl_Partenaires_Evaluations[Note globale],tbl_Partenaires_Evaluations[ID Partenaire],A90),"")</f>
        <v/>
      </c>
      <c r="AZ90" s="71" t="str">
        <f ca="1">IFERROR(_xlfn.MAXIFS(tbl_Partenaires_Evaluations[Date evaluation],tbl_Partenaires_Evaluations[ID Partenaire],A90),"")</f>
        <v/>
      </c>
      <c r="BA90" s="34">
        <f>IF(A90="",0,COUNTIF(tbl_Partenaires_Risques[ID Partenaire],A90))</f>
        <v>0</v>
      </c>
      <c r="BB90" s="34" t="str">
        <f>IF(A90="","",IF(COUNTIFS(tbl_Partenaires_Risques[ID Partenaire],A90,tbl_Partenaires_Risques[Niveau],"Eleve")+COUNTIFS(tbl_Partenaires_Risques[ID Partenaire],A90,tbl_Partenaires_Risques[Niveau],"Critique")&gt;0,"OUI","NON"))</f>
        <v/>
      </c>
      <c r="BC90" s="34">
        <f>IF(A90="",0,COUNTIF(tbl_Partenaires_Contacts[ID Partenaire],A90))</f>
        <v>0</v>
      </c>
      <c r="BD90" s="34">
        <f>IF(A90="",0,COUNTIFS(tbl_Partenaires_Opportunites[ID Partenaire],A90,tbl_Partenaires_Opportunites[Statut],"&lt;&gt;Cloturee"))</f>
        <v>0</v>
      </c>
      <c r="BE90" s="34">
        <f>IF(A90="",0,COUNTIF(tbl_Partenaires_Prospection[ID Partenaire],A90))</f>
        <v>0</v>
      </c>
      <c r="BF90" s="57"/>
      <c r="BG90" s="57"/>
      <c r="BH90" s="57"/>
      <c r="BI90" s="57"/>
      <c r="BJ90" s="57"/>
      <c r="BK90" s="57"/>
      <c r="BL90" s="57"/>
      <c r="BM90" s="57"/>
      <c r="BN90" s="57"/>
      <c r="BO90" s="57"/>
      <c r="BP90" s="57"/>
      <c r="BQ90" s="57"/>
      <c r="BR90" s="34" t="str">
        <f>IF(C90="","",IF(OR(COUNTIF(C56:C115,C90)&gt;1,AND(E90&lt;&gt;"",COUNTIF(E56:E115,E90)&gt;1),AND(S90&lt;&gt;"",COUNTIF(S56:S115,S90)&gt;1),AND(U90&lt;&gt;"",COUNTIF(U56:U115,U90)&gt;1)),"OUI","NON"))</f>
        <v/>
      </c>
      <c r="BS90" s="57"/>
    </row>
    <row r="91" spans="1:71" ht="15" customHeight="1">
      <c r="A91" s="34" t="str">
        <f t="shared" si="2"/>
        <v/>
      </c>
      <c r="B91" s="57"/>
      <c r="C91" s="57"/>
      <c r="D91" s="57"/>
      <c r="E91" s="57"/>
      <c r="F91" s="57"/>
      <c r="G91" s="57"/>
      <c r="H91" s="57"/>
      <c r="I91" s="57"/>
      <c r="J91" s="70"/>
      <c r="K91" s="57"/>
      <c r="L91" s="57"/>
      <c r="M91" s="57"/>
      <c r="N91" s="34" t="str">
        <f>IFERROR(INDEX(PARAMETRES!$B$536:$B$586,MATCH(M91,PARAMETRES!$J$536:$J$586,0)),"")</f>
        <v/>
      </c>
      <c r="O91" s="34" t="str">
        <f>IFERROR(INDEX(PARAMETRES!$D$536:$D$586,MATCH(M91,PARAMETRES!$J$536:$J$586,0)),"")</f>
        <v/>
      </c>
      <c r="P91" s="34" t="str">
        <f>IFERROR(INDEX(PARAMETRES!$F$536:$F$586,MATCH(M91,PARAMETRES!$J$536:$J$586,0)),"")</f>
        <v/>
      </c>
      <c r="Q91" s="34" t="str">
        <f>IFERROR(INDEX(PARAMETRES!$H$536:$H$586,MATCH(M91,PARAMETRES!$J$536:$J$586,0)),"")</f>
        <v/>
      </c>
      <c r="R91" s="57"/>
      <c r="S91" s="57"/>
      <c r="T91" s="57"/>
      <c r="U91" s="57"/>
      <c r="V91" s="57"/>
      <c r="W91" s="57"/>
      <c r="X91" s="57"/>
      <c r="Y91" s="57"/>
      <c r="Z91" s="57"/>
      <c r="AA91" s="57"/>
      <c r="AB91" s="57"/>
      <c r="AC91" s="50"/>
      <c r="AD91" s="57"/>
      <c r="AE91" s="57"/>
      <c r="AF91" s="57"/>
      <c r="AG91" s="57"/>
      <c r="AH91" s="34" t="str">
        <f>IFERROR(INDEX(PARAMETRES!$B$536:$B$586,MATCH(AG91,PARAMETRES!$J$536:$J$586,0)),"")</f>
        <v/>
      </c>
      <c r="AI91" s="34" t="str">
        <f>IFERROR(INDEX(PARAMETRES!$D$536:$D$586,MATCH(AG91,PARAMETRES!$J$536:$J$586,0)),"")</f>
        <v/>
      </c>
      <c r="AJ91" s="34" t="str">
        <f>IFERROR(INDEX(PARAMETRES!$F$536:$F$586,MATCH(AG91,PARAMETRES!$J$536:$J$586,0)),"")</f>
        <v/>
      </c>
      <c r="AK91" s="34" t="str">
        <f>IFERROR(INDEX(PARAMETRES!$H$536:$H$586,MATCH(AG91,PARAMETRES!$J$536:$J$586,0)),"")</f>
        <v/>
      </c>
      <c r="AL91" s="50"/>
      <c r="AM91" s="50"/>
      <c r="AN91" s="57"/>
      <c r="AO91" s="57"/>
      <c r="AP91" s="51"/>
      <c r="AQ91" s="51"/>
      <c r="AR91" s="52" t="str">
        <f t="shared" si="3"/>
        <v/>
      </c>
      <c r="AS91" s="57"/>
      <c r="AT91" s="34">
        <f>IF(A91="",0,COUNTIF(tbl_Partenaires_Projets[ID Partenaire],A91))</f>
        <v>0</v>
      </c>
      <c r="AU91" s="34">
        <f>IF(A91="",0,COUNTIF(tbl_Partenaires_Conventions[ID Partenaire],A91))</f>
        <v>0</v>
      </c>
      <c r="AV91" s="34">
        <f>IF(A91="",0,COUNTIFS(tbl_Partenaires_Conventions[ID Partenaire],A91,tbl_Partenaires_Conventions[Statut],"Active"))</f>
        <v>0</v>
      </c>
      <c r="AW91" s="34" t="str">
        <f ca="1">IF(A91="","",IF(COUNTIFS(tbl_Partenaires_Conventions[ID Partenaire],A91,tbl_Partenaires_Conventions[Statut],"Active")=0,"NON",IF(_xlfn.MINIFS(tbl_Partenaires_Conventions[Date fin],tbl_Partenaires_Conventions[ID Partenaire],A91,tbl_Partenaires_Conventions[Statut],"Active")-TODAY()&lt;=60,"OUI","NON")))</f>
        <v/>
      </c>
      <c r="AX91" s="34">
        <f>IF(A91="",0,COUNTIF(tbl_Partenaires_Documents[ID Partenaire],A91))</f>
        <v>0</v>
      </c>
      <c r="AY91" s="63" t="str">
        <f>IFERROR(AVERAGEIFS(tbl_Partenaires_Evaluations[Note globale],tbl_Partenaires_Evaluations[ID Partenaire],A91),"")</f>
        <v/>
      </c>
      <c r="AZ91" s="71" t="str">
        <f ca="1">IFERROR(_xlfn.MAXIFS(tbl_Partenaires_Evaluations[Date evaluation],tbl_Partenaires_Evaluations[ID Partenaire],A91),"")</f>
        <v/>
      </c>
      <c r="BA91" s="34">
        <f>IF(A91="",0,COUNTIF(tbl_Partenaires_Risques[ID Partenaire],A91))</f>
        <v>0</v>
      </c>
      <c r="BB91" s="34" t="str">
        <f>IF(A91="","",IF(COUNTIFS(tbl_Partenaires_Risques[ID Partenaire],A91,tbl_Partenaires_Risques[Niveau],"Eleve")+COUNTIFS(tbl_Partenaires_Risques[ID Partenaire],A91,tbl_Partenaires_Risques[Niveau],"Critique")&gt;0,"OUI","NON"))</f>
        <v/>
      </c>
      <c r="BC91" s="34">
        <f>IF(A91="",0,COUNTIF(tbl_Partenaires_Contacts[ID Partenaire],A91))</f>
        <v>0</v>
      </c>
      <c r="BD91" s="34">
        <f>IF(A91="",0,COUNTIFS(tbl_Partenaires_Opportunites[ID Partenaire],A91,tbl_Partenaires_Opportunites[Statut],"&lt;&gt;Cloturee"))</f>
        <v>0</v>
      </c>
      <c r="BE91" s="34">
        <f>IF(A91="",0,COUNTIF(tbl_Partenaires_Prospection[ID Partenaire],A91))</f>
        <v>0</v>
      </c>
      <c r="BF91" s="57"/>
      <c r="BG91" s="57"/>
      <c r="BH91" s="57"/>
      <c r="BI91" s="57"/>
      <c r="BJ91" s="57"/>
      <c r="BK91" s="57"/>
      <c r="BL91" s="57"/>
      <c r="BM91" s="57"/>
      <c r="BN91" s="57"/>
      <c r="BO91" s="57"/>
      <c r="BP91" s="57"/>
      <c r="BQ91" s="57"/>
      <c r="BR91" s="34" t="str">
        <f>IF(C91="","",IF(OR(COUNTIF(C56:C115,C91)&gt;1,AND(E91&lt;&gt;"",COUNTIF(E56:E115,E91)&gt;1),AND(S91&lt;&gt;"",COUNTIF(S56:S115,S91)&gt;1),AND(U91&lt;&gt;"",COUNTIF(U56:U115,U91)&gt;1)),"OUI","NON"))</f>
        <v/>
      </c>
      <c r="BS91" s="57"/>
    </row>
    <row r="92" spans="1:71" ht="15" customHeight="1">
      <c r="A92" s="34" t="str">
        <f t="shared" si="2"/>
        <v/>
      </c>
      <c r="B92" s="57"/>
      <c r="C92" s="57"/>
      <c r="D92" s="57"/>
      <c r="E92" s="57"/>
      <c r="F92" s="57"/>
      <c r="G92" s="57"/>
      <c r="H92" s="57"/>
      <c r="I92" s="57"/>
      <c r="J92" s="70"/>
      <c r="K92" s="57"/>
      <c r="L92" s="57"/>
      <c r="M92" s="57"/>
      <c r="N92" s="34" t="str">
        <f>IFERROR(INDEX(PARAMETRES!$B$536:$B$586,MATCH(M92,PARAMETRES!$J$536:$J$586,0)),"")</f>
        <v/>
      </c>
      <c r="O92" s="34" t="str">
        <f>IFERROR(INDEX(PARAMETRES!$D$536:$D$586,MATCH(M92,PARAMETRES!$J$536:$J$586,0)),"")</f>
        <v/>
      </c>
      <c r="P92" s="34" t="str">
        <f>IFERROR(INDEX(PARAMETRES!$F$536:$F$586,MATCH(M92,PARAMETRES!$J$536:$J$586,0)),"")</f>
        <v/>
      </c>
      <c r="Q92" s="34" t="str">
        <f>IFERROR(INDEX(PARAMETRES!$H$536:$H$586,MATCH(M92,PARAMETRES!$J$536:$J$586,0)),"")</f>
        <v/>
      </c>
      <c r="R92" s="57"/>
      <c r="S92" s="57"/>
      <c r="T92" s="57"/>
      <c r="U92" s="57"/>
      <c r="V92" s="57"/>
      <c r="W92" s="57"/>
      <c r="X92" s="57"/>
      <c r="Y92" s="57"/>
      <c r="Z92" s="57"/>
      <c r="AA92" s="57"/>
      <c r="AB92" s="57"/>
      <c r="AC92" s="50"/>
      <c r="AD92" s="57"/>
      <c r="AE92" s="57"/>
      <c r="AF92" s="57"/>
      <c r="AG92" s="57"/>
      <c r="AH92" s="34" t="str">
        <f>IFERROR(INDEX(PARAMETRES!$B$536:$B$586,MATCH(AG92,PARAMETRES!$J$536:$J$586,0)),"")</f>
        <v/>
      </c>
      <c r="AI92" s="34" t="str">
        <f>IFERROR(INDEX(PARAMETRES!$D$536:$D$586,MATCH(AG92,PARAMETRES!$J$536:$J$586,0)),"")</f>
        <v/>
      </c>
      <c r="AJ92" s="34" t="str">
        <f>IFERROR(INDEX(PARAMETRES!$F$536:$F$586,MATCH(AG92,PARAMETRES!$J$536:$J$586,0)),"")</f>
        <v/>
      </c>
      <c r="AK92" s="34" t="str">
        <f>IFERROR(INDEX(PARAMETRES!$H$536:$H$586,MATCH(AG92,PARAMETRES!$J$536:$J$586,0)),"")</f>
        <v/>
      </c>
      <c r="AL92" s="50"/>
      <c r="AM92" s="50"/>
      <c r="AN92" s="57"/>
      <c r="AO92" s="57"/>
      <c r="AP92" s="51"/>
      <c r="AQ92" s="51"/>
      <c r="AR92" s="52" t="str">
        <f t="shared" si="3"/>
        <v/>
      </c>
      <c r="AS92" s="57"/>
      <c r="AT92" s="34">
        <f>IF(A92="",0,COUNTIF(tbl_Partenaires_Projets[ID Partenaire],A92))</f>
        <v>0</v>
      </c>
      <c r="AU92" s="34">
        <f>IF(A92="",0,COUNTIF(tbl_Partenaires_Conventions[ID Partenaire],A92))</f>
        <v>0</v>
      </c>
      <c r="AV92" s="34">
        <f>IF(A92="",0,COUNTIFS(tbl_Partenaires_Conventions[ID Partenaire],A92,tbl_Partenaires_Conventions[Statut],"Active"))</f>
        <v>0</v>
      </c>
      <c r="AW92" s="34" t="str">
        <f ca="1">IF(A92="","",IF(COUNTIFS(tbl_Partenaires_Conventions[ID Partenaire],A92,tbl_Partenaires_Conventions[Statut],"Active")=0,"NON",IF(_xlfn.MINIFS(tbl_Partenaires_Conventions[Date fin],tbl_Partenaires_Conventions[ID Partenaire],A92,tbl_Partenaires_Conventions[Statut],"Active")-TODAY()&lt;=60,"OUI","NON")))</f>
        <v/>
      </c>
      <c r="AX92" s="34">
        <f>IF(A92="",0,COUNTIF(tbl_Partenaires_Documents[ID Partenaire],A92))</f>
        <v>0</v>
      </c>
      <c r="AY92" s="63" t="str">
        <f>IFERROR(AVERAGEIFS(tbl_Partenaires_Evaluations[Note globale],tbl_Partenaires_Evaluations[ID Partenaire],A92),"")</f>
        <v/>
      </c>
      <c r="AZ92" s="71" t="str">
        <f ca="1">IFERROR(_xlfn.MAXIFS(tbl_Partenaires_Evaluations[Date evaluation],tbl_Partenaires_Evaluations[ID Partenaire],A92),"")</f>
        <v/>
      </c>
      <c r="BA92" s="34">
        <f>IF(A92="",0,COUNTIF(tbl_Partenaires_Risques[ID Partenaire],A92))</f>
        <v>0</v>
      </c>
      <c r="BB92" s="34" t="str">
        <f>IF(A92="","",IF(COUNTIFS(tbl_Partenaires_Risques[ID Partenaire],A92,tbl_Partenaires_Risques[Niveau],"Eleve")+COUNTIFS(tbl_Partenaires_Risques[ID Partenaire],A92,tbl_Partenaires_Risques[Niveau],"Critique")&gt;0,"OUI","NON"))</f>
        <v/>
      </c>
      <c r="BC92" s="34">
        <f>IF(A92="",0,COUNTIF(tbl_Partenaires_Contacts[ID Partenaire],A92))</f>
        <v>0</v>
      </c>
      <c r="BD92" s="34">
        <f>IF(A92="",0,COUNTIFS(tbl_Partenaires_Opportunites[ID Partenaire],A92,tbl_Partenaires_Opportunites[Statut],"&lt;&gt;Cloturee"))</f>
        <v>0</v>
      </c>
      <c r="BE92" s="34">
        <f>IF(A92="",0,COUNTIF(tbl_Partenaires_Prospection[ID Partenaire],A92))</f>
        <v>0</v>
      </c>
      <c r="BF92" s="57"/>
      <c r="BG92" s="57"/>
      <c r="BH92" s="57"/>
      <c r="BI92" s="57"/>
      <c r="BJ92" s="57"/>
      <c r="BK92" s="57"/>
      <c r="BL92" s="57"/>
      <c r="BM92" s="57"/>
      <c r="BN92" s="57"/>
      <c r="BO92" s="57"/>
      <c r="BP92" s="57"/>
      <c r="BQ92" s="57"/>
      <c r="BR92" s="34" t="str">
        <f>IF(C92="","",IF(OR(COUNTIF(C56:C115,C92)&gt;1,AND(E92&lt;&gt;"",COUNTIF(E56:E115,E92)&gt;1),AND(S92&lt;&gt;"",COUNTIF(S56:S115,S92)&gt;1),AND(U92&lt;&gt;"",COUNTIF(U56:U115,U92)&gt;1)),"OUI","NON"))</f>
        <v/>
      </c>
      <c r="BS92" s="57"/>
    </row>
    <row r="93" spans="1:71" ht="15" customHeight="1">
      <c r="A93" s="34" t="str">
        <f t="shared" si="2"/>
        <v/>
      </c>
      <c r="B93" s="57"/>
      <c r="C93" s="57"/>
      <c r="D93" s="57"/>
      <c r="E93" s="57"/>
      <c r="F93" s="57"/>
      <c r="G93" s="57"/>
      <c r="H93" s="57"/>
      <c r="I93" s="57"/>
      <c r="J93" s="70"/>
      <c r="K93" s="57"/>
      <c r="L93" s="57"/>
      <c r="M93" s="57"/>
      <c r="N93" s="34" t="str">
        <f>IFERROR(INDEX(PARAMETRES!$B$536:$B$586,MATCH(M93,PARAMETRES!$J$536:$J$586,0)),"")</f>
        <v/>
      </c>
      <c r="O93" s="34" t="str">
        <f>IFERROR(INDEX(PARAMETRES!$D$536:$D$586,MATCH(M93,PARAMETRES!$J$536:$J$586,0)),"")</f>
        <v/>
      </c>
      <c r="P93" s="34" t="str">
        <f>IFERROR(INDEX(PARAMETRES!$F$536:$F$586,MATCH(M93,PARAMETRES!$J$536:$J$586,0)),"")</f>
        <v/>
      </c>
      <c r="Q93" s="34" t="str">
        <f>IFERROR(INDEX(PARAMETRES!$H$536:$H$586,MATCH(M93,PARAMETRES!$J$536:$J$586,0)),"")</f>
        <v/>
      </c>
      <c r="R93" s="57"/>
      <c r="S93" s="57"/>
      <c r="T93" s="57"/>
      <c r="U93" s="57"/>
      <c r="V93" s="57"/>
      <c r="W93" s="57"/>
      <c r="X93" s="57"/>
      <c r="Y93" s="57"/>
      <c r="Z93" s="57"/>
      <c r="AA93" s="57"/>
      <c r="AB93" s="57"/>
      <c r="AC93" s="50"/>
      <c r="AD93" s="57"/>
      <c r="AE93" s="57"/>
      <c r="AF93" s="57"/>
      <c r="AG93" s="57"/>
      <c r="AH93" s="34" t="str">
        <f>IFERROR(INDEX(PARAMETRES!$B$536:$B$586,MATCH(AG93,PARAMETRES!$J$536:$J$586,0)),"")</f>
        <v/>
      </c>
      <c r="AI93" s="34" t="str">
        <f>IFERROR(INDEX(PARAMETRES!$D$536:$D$586,MATCH(AG93,PARAMETRES!$J$536:$J$586,0)),"")</f>
        <v/>
      </c>
      <c r="AJ93" s="34" t="str">
        <f>IFERROR(INDEX(PARAMETRES!$F$536:$F$586,MATCH(AG93,PARAMETRES!$J$536:$J$586,0)),"")</f>
        <v/>
      </c>
      <c r="AK93" s="34" t="str">
        <f>IFERROR(INDEX(PARAMETRES!$H$536:$H$586,MATCH(AG93,PARAMETRES!$J$536:$J$586,0)),"")</f>
        <v/>
      </c>
      <c r="AL93" s="50"/>
      <c r="AM93" s="50"/>
      <c r="AN93" s="57"/>
      <c r="AO93" s="57"/>
      <c r="AP93" s="51"/>
      <c r="AQ93" s="51"/>
      <c r="AR93" s="52" t="str">
        <f t="shared" si="3"/>
        <v/>
      </c>
      <c r="AS93" s="57"/>
      <c r="AT93" s="34">
        <f>IF(A93="",0,COUNTIF(tbl_Partenaires_Projets[ID Partenaire],A93))</f>
        <v>0</v>
      </c>
      <c r="AU93" s="34">
        <f>IF(A93="",0,COUNTIF(tbl_Partenaires_Conventions[ID Partenaire],A93))</f>
        <v>0</v>
      </c>
      <c r="AV93" s="34">
        <f>IF(A93="",0,COUNTIFS(tbl_Partenaires_Conventions[ID Partenaire],A93,tbl_Partenaires_Conventions[Statut],"Active"))</f>
        <v>0</v>
      </c>
      <c r="AW93" s="34" t="str">
        <f ca="1">IF(A93="","",IF(COUNTIFS(tbl_Partenaires_Conventions[ID Partenaire],A93,tbl_Partenaires_Conventions[Statut],"Active")=0,"NON",IF(_xlfn.MINIFS(tbl_Partenaires_Conventions[Date fin],tbl_Partenaires_Conventions[ID Partenaire],A93,tbl_Partenaires_Conventions[Statut],"Active")-TODAY()&lt;=60,"OUI","NON")))</f>
        <v/>
      </c>
      <c r="AX93" s="34">
        <f>IF(A93="",0,COUNTIF(tbl_Partenaires_Documents[ID Partenaire],A93))</f>
        <v>0</v>
      </c>
      <c r="AY93" s="63" t="str">
        <f>IFERROR(AVERAGEIFS(tbl_Partenaires_Evaluations[Note globale],tbl_Partenaires_Evaluations[ID Partenaire],A93),"")</f>
        <v/>
      </c>
      <c r="AZ93" s="71" t="str">
        <f ca="1">IFERROR(_xlfn.MAXIFS(tbl_Partenaires_Evaluations[Date evaluation],tbl_Partenaires_Evaluations[ID Partenaire],A93),"")</f>
        <v/>
      </c>
      <c r="BA93" s="34">
        <f>IF(A93="",0,COUNTIF(tbl_Partenaires_Risques[ID Partenaire],A93))</f>
        <v>0</v>
      </c>
      <c r="BB93" s="34" t="str">
        <f>IF(A93="","",IF(COUNTIFS(tbl_Partenaires_Risques[ID Partenaire],A93,tbl_Partenaires_Risques[Niveau],"Eleve")+COUNTIFS(tbl_Partenaires_Risques[ID Partenaire],A93,tbl_Partenaires_Risques[Niveau],"Critique")&gt;0,"OUI","NON"))</f>
        <v/>
      </c>
      <c r="BC93" s="34">
        <f>IF(A93="",0,COUNTIF(tbl_Partenaires_Contacts[ID Partenaire],A93))</f>
        <v>0</v>
      </c>
      <c r="BD93" s="34">
        <f>IF(A93="",0,COUNTIFS(tbl_Partenaires_Opportunites[ID Partenaire],A93,tbl_Partenaires_Opportunites[Statut],"&lt;&gt;Cloturee"))</f>
        <v>0</v>
      </c>
      <c r="BE93" s="34">
        <f>IF(A93="",0,COUNTIF(tbl_Partenaires_Prospection[ID Partenaire],A93))</f>
        <v>0</v>
      </c>
      <c r="BF93" s="57"/>
      <c r="BG93" s="57"/>
      <c r="BH93" s="57"/>
      <c r="BI93" s="57"/>
      <c r="BJ93" s="57"/>
      <c r="BK93" s="57"/>
      <c r="BL93" s="57"/>
      <c r="BM93" s="57"/>
      <c r="BN93" s="57"/>
      <c r="BO93" s="57"/>
      <c r="BP93" s="57"/>
      <c r="BQ93" s="57"/>
      <c r="BR93" s="34" t="str">
        <f>IF(C93="","",IF(OR(COUNTIF(C56:C115,C93)&gt;1,AND(E93&lt;&gt;"",COUNTIF(E56:E115,E93)&gt;1),AND(S93&lt;&gt;"",COUNTIF(S56:S115,S93)&gt;1),AND(U93&lt;&gt;"",COUNTIF(U56:U115,U93)&gt;1)),"OUI","NON"))</f>
        <v/>
      </c>
      <c r="BS93" s="57"/>
    </row>
    <row r="94" spans="1:71" ht="15" customHeight="1">
      <c r="A94" s="34" t="str">
        <f t="shared" si="2"/>
        <v/>
      </c>
      <c r="B94" s="57"/>
      <c r="C94" s="57"/>
      <c r="D94" s="57"/>
      <c r="E94" s="57"/>
      <c r="F94" s="57"/>
      <c r="G94" s="57"/>
      <c r="H94" s="57"/>
      <c r="I94" s="57"/>
      <c r="J94" s="70"/>
      <c r="K94" s="57"/>
      <c r="L94" s="57"/>
      <c r="M94" s="57"/>
      <c r="N94" s="34" t="str">
        <f>IFERROR(INDEX(PARAMETRES!$B$536:$B$586,MATCH(M94,PARAMETRES!$J$536:$J$586,0)),"")</f>
        <v/>
      </c>
      <c r="O94" s="34" t="str">
        <f>IFERROR(INDEX(PARAMETRES!$D$536:$D$586,MATCH(M94,PARAMETRES!$J$536:$J$586,0)),"")</f>
        <v/>
      </c>
      <c r="P94" s="34" t="str">
        <f>IFERROR(INDEX(PARAMETRES!$F$536:$F$586,MATCH(M94,PARAMETRES!$J$536:$J$586,0)),"")</f>
        <v/>
      </c>
      <c r="Q94" s="34" t="str">
        <f>IFERROR(INDEX(PARAMETRES!$H$536:$H$586,MATCH(M94,PARAMETRES!$J$536:$J$586,0)),"")</f>
        <v/>
      </c>
      <c r="R94" s="57"/>
      <c r="S94" s="57"/>
      <c r="T94" s="57"/>
      <c r="U94" s="57"/>
      <c r="V94" s="57"/>
      <c r="W94" s="57"/>
      <c r="X94" s="57"/>
      <c r="Y94" s="57"/>
      <c r="Z94" s="57"/>
      <c r="AA94" s="57"/>
      <c r="AB94" s="57"/>
      <c r="AC94" s="50"/>
      <c r="AD94" s="57"/>
      <c r="AE94" s="57"/>
      <c r="AF94" s="57"/>
      <c r="AG94" s="57"/>
      <c r="AH94" s="34" t="str">
        <f>IFERROR(INDEX(PARAMETRES!$B$536:$B$586,MATCH(AG94,PARAMETRES!$J$536:$J$586,0)),"")</f>
        <v/>
      </c>
      <c r="AI94" s="34" t="str">
        <f>IFERROR(INDEX(PARAMETRES!$D$536:$D$586,MATCH(AG94,PARAMETRES!$J$536:$J$586,0)),"")</f>
        <v/>
      </c>
      <c r="AJ94" s="34" t="str">
        <f>IFERROR(INDEX(PARAMETRES!$F$536:$F$586,MATCH(AG94,PARAMETRES!$J$536:$J$586,0)),"")</f>
        <v/>
      </c>
      <c r="AK94" s="34" t="str">
        <f>IFERROR(INDEX(PARAMETRES!$H$536:$H$586,MATCH(AG94,PARAMETRES!$J$536:$J$586,0)),"")</f>
        <v/>
      </c>
      <c r="AL94" s="50"/>
      <c r="AM94" s="50"/>
      <c r="AN94" s="57"/>
      <c r="AO94" s="57"/>
      <c r="AP94" s="51"/>
      <c r="AQ94" s="51"/>
      <c r="AR94" s="52" t="str">
        <f t="shared" si="3"/>
        <v/>
      </c>
      <c r="AS94" s="57"/>
      <c r="AT94" s="34">
        <f>IF(A94="",0,COUNTIF(tbl_Partenaires_Projets[ID Partenaire],A94))</f>
        <v>0</v>
      </c>
      <c r="AU94" s="34">
        <f>IF(A94="",0,COUNTIF(tbl_Partenaires_Conventions[ID Partenaire],A94))</f>
        <v>0</v>
      </c>
      <c r="AV94" s="34">
        <f>IF(A94="",0,COUNTIFS(tbl_Partenaires_Conventions[ID Partenaire],A94,tbl_Partenaires_Conventions[Statut],"Active"))</f>
        <v>0</v>
      </c>
      <c r="AW94" s="34" t="str">
        <f ca="1">IF(A94="","",IF(COUNTIFS(tbl_Partenaires_Conventions[ID Partenaire],A94,tbl_Partenaires_Conventions[Statut],"Active")=0,"NON",IF(_xlfn.MINIFS(tbl_Partenaires_Conventions[Date fin],tbl_Partenaires_Conventions[ID Partenaire],A94,tbl_Partenaires_Conventions[Statut],"Active")-TODAY()&lt;=60,"OUI","NON")))</f>
        <v/>
      </c>
      <c r="AX94" s="34">
        <f>IF(A94="",0,COUNTIF(tbl_Partenaires_Documents[ID Partenaire],A94))</f>
        <v>0</v>
      </c>
      <c r="AY94" s="63" t="str">
        <f>IFERROR(AVERAGEIFS(tbl_Partenaires_Evaluations[Note globale],tbl_Partenaires_Evaluations[ID Partenaire],A94),"")</f>
        <v/>
      </c>
      <c r="AZ94" s="71" t="str">
        <f ca="1">IFERROR(_xlfn.MAXIFS(tbl_Partenaires_Evaluations[Date evaluation],tbl_Partenaires_Evaluations[ID Partenaire],A94),"")</f>
        <v/>
      </c>
      <c r="BA94" s="34">
        <f>IF(A94="",0,COUNTIF(tbl_Partenaires_Risques[ID Partenaire],A94))</f>
        <v>0</v>
      </c>
      <c r="BB94" s="34" t="str">
        <f>IF(A94="","",IF(COUNTIFS(tbl_Partenaires_Risques[ID Partenaire],A94,tbl_Partenaires_Risques[Niveau],"Eleve")+COUNTIFS(tbl_Partenaires_Risques[ID Partenaire],A94,tbl_Partenaires_Risques[Niveau],"Critique")&gt;0,"OUI","NON"))</f>
        <v/>
      </c>
      <c r="BC94" s="34">
        <f>IF(A94="",0,COUNTIF(tbl_Partenaires_Contacts[ID Partenaire],A94))</f>
        <v>0</v>
      </c>
      <c r="BD94" s="34">
        <f>IF(A94="",0,COUNTIFS(tbl_Partenaires_Opportunites[ID Partenaire],A94,tbl_Partenaires_Opportunites[Statut],"&lt;&gt;Cloturee"))</f>
        <v>0</v>
      </c>
      <c r="BE94" s="34">
        <f>IF(A94="",0,COUNTIF(tbl_Partenaires_Prospection[ID Partenaire],A94))</f>
        <v>0</v>
      </c>
      <c r="BF94" s="57"/>
      <c r="BG94" s="57"/>
      <c r="BH94" s="57"/>
      <c r="BI94" s="57"/>
      <c r="BJ94" s="57"/>
      <c r="BK94" s="57"/>
      <c r="BL94" s="57"/>
      <c r="BM94" s="57"/>
      <c r="BN94" s="57"/>
      <c r="BO94" s="57"/>
      <c r="BP94" s="57"/>
      <c r="BQ94" s="57"/>
      <c r="BR94" s="34" t="str">
        <f>IF(C94="","",IF(OR(COUNTIF(C56:C115,C94)&gt;1,AND(E94&lt;&gt;"",COUNTIF(E56:E115,E94)&gt;1),AND(S94&lt;&gt;"",COUNTIF(S56:S115,S94)&gt;1),AND(U94&lt;&gt;"",COUNTIF(U56:U115,U94)&gt;1)),"OUI","NON"))</f>
        <v/>
      </c>
      <c r="BS94" s="57"/>
    </row>
    <row r="95" spans="1:71" ht="15" customHeight="1">
      <c r="A95" s="34" t="str">
        <f t="shared" si="2"/>
        <v/>
      </c>
      <c r="B95" s="57"/>
      <c r="C95" s="57"/>
      <c r="D95" s="57"/>
      <c r="E95" s="57"/>
      <c r="F95" s="57"/>
      <c r="G95" s="57"/>
      <c r="H95" s="57"/>
      <c r="I95" s="57"/>
      <c r="J95" s="70"/>
      <c r="K95" s="57"/>
      <c r="L95" s="57"/>
      <c r="M95" s="57"/>
      <c r="N95" s="34" t="str">
        <f>IFERROR(INDEX(PARAMETRES!$B$536:$B$586,MATCH(M95,PARAMETRES!$J$536:$J$586,0)),"")</f>
        <v/>
      </c>
      <c r="O95" s="34" t="str">
        <f>IFERROR(INDEX(PARAMETRES!$D$536:$D$586,MATCH(M95,PARAMETRES!$J$536:$J$586,0)),"")</f>
        <v/>
      </c>
      <c r="P95" s="34" t="str">
        <f>IFERROR(INDEX(PARAMETRES!$F$536:$F$586,MATCH(M95,PARAMETRES!$J$536:$J$586,0)),"")</f>
        <v/>
      </c>
      <c r="Q95" s="34" t="str">
        <f>IFERROR(INDEX(PARAMETRES!$H$536:$H$586,MATCH(M95,PARAMETRES!$J$536:$J$586,0)),"")</f>
        <v/>
      </c>
      <c r="R95" s="57"/>
      <c r="S95" s="57"/>
      <c r="T95" s="57"/>
      <c r="U95" s="57"/>
      <c r="V95" s="57"/>
      <c r="W95" s="57"/>
      <c r="X95" s="57"/>
      <c r="Y95" s="57"/>
      <c r="Z95" s="57"/>
      <c r="AA95" s="57"/>
      <c r="AB95" s="57"/>
      <c r="AC95" s="50"/>
      <c r="AD95" s="57"/>
      <c r="AE95" s="57"/>
      <c r="AF95" s="57"/>
      <c r="AG95" s="57"/>
      <c r="AH95" s="34" t="str">
        <f>IFERROR(INDEX(PARAMETRES!$B$536:$B$586,MATCH(AG95,PARAMETRES!$J$536:$J$586,0)),"")</f>
        <v/>
      </c>
      <c r="AI95" s="34" t="str">
        <f>IFERROR(INDEX(PARAMETRES!$D$536:$D$586,MATCH(AG95,PARAMETRES!$J$536:$J$586,0)),"")</f>
        <v/>
      </c>
      <c r="AJ95" s="34" t="str">
        <f>IFERROR(INDEX(PARAMETRES!$F$536:$F$586,MATCH(AG95,PARAMETRES!$J$536:$J$586,0)),"")</f>
        <v/>
      </c>
      <c r="AK95" s="34" t="str">
        <f>IFERROR(INDEX(PARAMETRES!$H$536:$H$586,MATCH(AG95,PARAMETRES!$J$536:$J$586,0)),"")</f>
        <v/>
      </c>
      <c r="AL95" s="50"/>
      <c r="AM95" s="50"/>
      <c r="AN95" s="57"/>
      <c r="AO95" s="57"/>
      <c r="AP95" s="51"/>
      <c r="AQ95" s="51"/>
      <c r="AR95" s="52" t="str">
        <f t="shared" si="3"/>
        <v/>
      </c>
      <c r="AS95" s="57"/>
      <c r="AT95" s="34">
        <f>IF(A95="",0,COUNTIF(tbl_Partenaires_Projets[ID Partenaire],A95))</f>
        <v>0</v>
      </c>
      <c r="AU95" s="34">
        <f>IF(A95="",0,COUNTIF(tbl_Partenaires_Conventions[ID Partenaire],A95))</f>
        <v>0</v>
      </c>
      <c r="AV95" s="34">
        <f>IF(A95="",0,COUNTIFS(tbl_Partenaires_Conventions[ID Partenaire],A95,tbl_Partenaires_Conventions[Statut],"Active"))</f>
        <v>0</v>
      </c>
      <c r="AW95" s="34" t="str">
        <f ca="1">IF(A95="","",IF(COUNTIFS(tbl_Partenaires_Conventions[ID Partenaire],A95,tbl_Partenaires_Conventions[Statut],"Active")=0,"NON",IF(_xlfn.MINIFS(tbl_Partenaires_Conventions[Date fin],tbl_Partenaires_Conventions[ID Partenaire],A95,tbl_Partenaires_Conventions[Statut],"Active")-TODAY()&lt;=60,"OUI","NON")))</f>
        <v/>
      </c>
      <c r="AX95" s="34">
        <f>IF(A95="",0,COUNTIF(tbl_Partenaires_Documents[ID Partenaire],A95))</f>
        <v>0</v>
      </c>
      <c r="AY95" s="63" t="str">
        <f>IFERROR(AVERAGEIFS(tbl_Partenaires_Evaluations[Note globale],tbl_Partenaires_Evaluations[ID Partenaire],A95),"")</f>
        <v/>
      </c>
      <c r="AZ95" s="71" t="str">
        <f ca="1">IFERROR(_xlfn.MAXIFS(tbl_Partenaires_Evaluations[Date evaluation],tbl_Partenaires_Evaluations[ID Partenaire],A95),"")</f>
        <v/>
      </c>
      <c r="BA95" s="34">
        <f>IF(A95="",0,COUNTIF(tbl_Partenaires_Risques[ID Partenaire],A95))</f>
        <v>0</v>
      </c>
      <c r="BB95" s="34" t="str">
        <f>IF(A95="","",IF(COUNTIFS(tbl_Partenaires_Risques[ID Partenaire],A95,tbl_Partenaires_Risques[Niveau],"Eleve")+COUNTIFS(tbl_Partenaires_Risques[ID Partenaire],A95,tbl_Partenaires_Risques[Niveau],"Critique")&gt;0,"OUI","NON"))</f>
        <v/>
      </c>
      <c r="BC95" s="34">
        <f>IF(A95="",0,COUNTIF(tbl_Partenaires_Contacts[ID Partenaire],A95))</f>
        <v>0</v>
      </c>
      <c r="BD95" s="34">
        <f>IF(A95="",0,COUNTIFS(tbl_Partenaires_Opportunites[ID Partenaire],A95,tbl_Partenaires_Opportunites[Statut],"&lt;&gt;Cloturee"))</f>
        <v>0</v>
      </c>
      <c r="BE95" s="34">
        <f>IF(A95="",0,COUNTIF(tbl_Partenaires_Prospection[ID Partenaire],A95))</f>
        <v>0</v>
      </c>
      <c r="BF95" s="57"/>
      <c r="BG95" s="57"/>
      <c r="BH95" s="57"/>
      <c r="BI95" s="57"/>
      <c r="BJ95" s="57"/>
      <c r="BK95" s="57"/>
      <c r="BL95" s="57"/>
      <c r="BM95" s="57"/>
      <c r="BN95" s="57"/>
      <c r="BO95" s="57"/>
      <c r="BP95" s="57"/>
      <c r="BQ95" s="57"/>
      <c r="BR95" s="34" t="str">
        <f>IF(C95="","",IF(OR(COUNTIF(C56:C115,C95)&gt;1,AND(E95&lt;&gt;"",COUNTIF(E56:E115,E95)&gt;1),AND(S95&lt;&gt;"",COUNTIF(S56:S115,S95)&gt;1),AND(U95&lt;&gt;"",COUNTIF(U56:U115,U95)&gt;1)),"OUI","NON"))</f>
        <v/>
      </c>
      <c r="BS95" s="57"/>
    </row>
    <row r="96" spans="1:71" ht="15" customHeight="1">
      <c r="A96" s="34" t="str">
        <f t="shared" si="2"/>
        <v/>
      </c>
      <c r="B96" s="57"/>
      <c r="C96" s="57"/>
      <c r="D96" s="57"/>
      <c r="E96" s="57"/>
      <c r="F96" s="57"/>
      <c r="G96" s="57"/>
      <c r="H96" s="57"/>
      <c r="I96" s="57"/>
      <c r="J96" s="70"/>
      <c r="K96" s="57"/>
      <c r="L96" s="57"/>
      <c r="M96" s="57"/>
      <c r="N96" s="34" t="str">
        <f>IFERROR(INDEX(PARAMETRES!$B$536:$B$586,MATCH(M96,PARAMETRES!$J$536:$J$586,0)),"")</f>
        <v/>
      </c>
      <c r="O96" s="34" t="str">
        <f>IFERROR(INDEX(PARAMETRES!$D$536:$D$586,MATCH(M96,PARAMETRES!$J$536:$J$586,0)),"")</f>
        <v/>
      </c>
      <c r="P96" s="34" t="str">
        <f>IFERROR(INDEX(PARAMETRES!$F$536:$F$586,MATCH(M96,PARAMETRES!$J$536:$J$586,0)),"")</f>
        <v/>
      </c>
      <c r="Q96" s="34" t="str">
        <f>IFERROR(INDEX(PARAMETRES!$H$536:$H$586,MATCH(M96,PARAMETRES!$J$536:$J$586,0)),"")</f>
        <v/>
      </c>
      <c r="R96" s="57"/>
      <c r="S96" s="57"/>
      <c r="T96" s="57"/>
      <c r="U96" s="57"/>
      <c r="V96" s="57"/>
      <c r="W96" s="57"/>
      <c r="X96" s="57"/>
      <c r="Y96" s="57"/>
      <c r="Z96" s="57"/>
      <c r="AA96" s="57"/>
      <c r="AB96" s="57"/>
      <c r="AC96" s="50"/>
      <c r="AD96" s="57"/>
      <c r="AE96" s="57"/>
      <c r="AF96" s="57"/>
      <c r="AG96" s="57"/>
      <c r="AH96" s="34" t="str">
        <f>IFERROR(INDEX(PARAMETRES!$B$536:$B$586,MATCH(AG96,PARAMETRES!$J$536:$J$586,0)),"")</f>
        <v/>
      </c>
      <c r="AI96" s="34" t="str">
        <f>IFERROR(INDEX(PARAMETRES!$D$536:$D$586,MATCH(AG96,PARAMETRES!$J$536:$J$586,0)),"")</f>
        <v/>
      </c>
      <c r="AJ96" s="34" t="str">
        <f>IFERROR(INDEX(PARAMETRES!$F$536:$F$586,MATCH(AG96,PARAMETRES!$J$536:$J$586,0)),"")</f>
        <v/>
      </c>
      <c r="AK96" s="34" t="str">
        <f>IFERROR(INDEX(PARAMETRES!$H$536:$H$586,MATCH(AG96,PARAMETRES!$J$536:$J$586,0)),"")</f>
        <v/>
      </c>
      <c r="AL96" s="50"/>
      <c r="AM96" s="50"/>
      <c r="AN96" s="57"/>
      <c r="AO96" s="57"/>
      <c r="AP96" s="51"/>
      <c r="AQ96" s="51"/>
      <c r="AR96" s="52" t="str">
        <f t="shared" si="3"/>
        <v/>
      </c>
      <c r="AS96" s="57"/>
      <c r="AT96" s="34">
        <f>IF(A96="",0,COUNTIF(tbl_Partenaires_Projets[ID Partenaire],A96))</f>
        <v>0</v>
      </c>
      <c r="AU96" s="34">
        <f>IF(A96="",0,COUNTIF(tbl_Partenaires_Conventions[ID Partenaire],A96))</f>
        <v>0</v>
      </c>
      <c r="AV96" s="34">
        <f>IF(A96="",0,COUNTIFS(tbl_Partenaires_Conventions[ID Partenaire],A96,tbl_Partenaires_Conventions[Statut],"Active"))</f>
        <v>0</v>
      </c>
      <c r="AW96" s="34" t="str">
        <f ca="1">IF(A96="","",IF(COUNTIFS(tbl_Partenaires_Conventions[ID Partenaire],A96,tbl_Partenaires_Conventions[Statut],"Active")=0,"NON",IF(_xlfn.MINIFS(tbl_Partenaires_Conventions[Date fin],tbl_Partenaires_Conventions[ID Partenaire],A96,tbl_Partenaires_Conventions[Statut],"Active")-TODAY()&lt;=60,"OUI","NON")))</f>
        <v/>
      </c>
      <c r="AX96" s="34">
        <f>IF(A96="",0,COUNTIF(tbl_Partenaires_Documents[ID Partenaire],A96))</f>
        <v>0</v>
      </c>
      <c r="AY96" s="63" t="str">
        <f>IFERROR(AVERAGEIFS(tbl_Partenaires_Evaluations[Note globale],tbl_Partenaires_Evaluations[ID Partenaire],A96),"")</f>
        <v/>
      </c>
      <c r="AZ96" s="71" t="str">
        <f ca="1">IFERROR(_xlfn.MAXIFS(tbl_Partenaires_Evaluations[Date evaluation],tbl_Partenaires_Evaluations[ID Partenaire],A96),"")</f>
        <v/>
      </c>
      <c r="BA96" s="34">
        <f>IF(A96="",0,COUNTIF(tbl_Partenaires_Risques[ID Partenaire],A96))</f>
        <v>0</v>
      </c>
      <c r="BB96" s="34" t="str">
        <f>IF(A96="","",IF(COUNTIFS(tbl_Partenaires_Risques[ID Partenaire],A96,tbl_Partenaires_Risques[Niveau],"Eleve")+COUNTIFS(tbl_Partenaires_Risques[ID Partenaire],A96,tbl_Partenaires_Risques[Niveau],"Critique")&gt;0,"OUI","NON"))</f>
        <v/>
      </c>
      <c r="BC96" s="34">
        <f>IF(A96="",0,COUNTIF(tbl_Partenaires_Contacts[ID Partenaire],A96))</f>
        <v>0</v>
      </c>
      <c r="BD96" s="34">
        <f>IF(A96="",0,COUNTIFS(tbl_Partenaires_Opportunites[ID Partenaire],A96,tbl_Partenaires_Opportunites[Statut],"&lt;&gt;Cloturee"))</f>
        <v>0</v>
      </c>
      <c r="BE96" s="34">
        <f>IF(A96="",0,COUNTIF(tbl_Partenaires_Prospection[ID Partenaire],A96))</f>
        <v>0</v>
      </c>
      <c r="BF96" s="57"/>
      <c r="BG96" s="57"/>
      <c r="BH96" s="57"/>
      <c r="BI96" s="57"/>
      <c r="BJ96" s="57"/>
      <c r="BK96" s="57"/>
      <c r="BL96" s="57"/>
      <c r="BM96" s="57"/>
      <c r="BN96" s="57"/>
      <c r="BO96" s="57"/>
      <c r="BP96" s="57"/>
      <c r="BQ96" s="57"/>
      <c r="BR96" s="34" t="str">
        <f>IF(C96="","",IF(OR(COUNTIF(C56:C115,C96)&gt;1,AND(E96&lt;&gt;"",COUNTIF(E56:E115,E96)&gt;1),AND(S96&lt;&gt;"",COUNTIF(S56:S115,S96)&gt;1),AND(U96&lt;&gt;"",COUNTIF(U56:U115,U96)&gt;1)),"OUI","NON"))</f>
        <v/>
      </c>
      <c r="BS96" s="57"/>
    </row>
    <row r="97" spans="1:71" ht="15" customHeight="1">
      <c r="A97" s="34" t="str">
        <f t="shared" si="2"/>
        <v/>
      </c>
      <c r="B97" s="57"/>
      <c r="C97" s="57"/>
      <c r="D97" s="57"/>
      <c r="E97" s="57"/>
      <c r="F97" s="57"/>
      <c r="G97" s="57"/>
      <c r="H97" s="57"/>
      <c r="I97" s="57"/>
      <c r="J97" s="70"/>
      <c r="K97" s="57"/>
      <c r="L97" s="57"/>
      <c r="M97" s="57"/>
      <c r="N97" s="34" t="str">
        <f>IFERROR(INDEX(PARAMETRES!$B$536:$B$586,MATCH(M97,PARAMETRES!$J$536:$J$586,0)),"")</f>
        <v/>
      </c>
      <c r="O97" s="34" t="str">
        <f>IFERROR(INDEX(PARAMETRES!$D$536:$D$586,MATCH(M97,PARAMETRES!$J$536:$J$586,0)),"")</f>
        <v/>
      </c>
      <c r="P97" s="34" t="str">
        <f>IFERROR(INDEX(PARAMETRES!$F$536:$F$586,MATCH(M97,PARAMETRES!$J$536:$J$586,0)),"")</f>
        <v/>
      </c>
      <c r="Q97" s="34" t="str">
        <f>IFERROR(INDEX(PARAMETRES!$H$536:$H$586,MATCH(M97,PARAMETRES!$J$536:$J$586,0)),"")</f>
        <v/>
      </c>
      <c r="R97" s="57"/>
      <c r="S97" s="57"/>
      <c r="T97" s="57"/>
      <c r="U97" s="57"/>
      <c r="V97" s="57"/>
      <c r="W97" s="57"/>
      <c r="X97" s="57"/>
      <c r="Y97" s="57"/>
      <c r="Z97" s="57"/>
      <c r="AA97" s="57"/>
      <c r="AB97" s="57"/>
      <c r="AC97" s="50"/>
      <c r="AD97" s="57"/>
      <c r="AE97" s="57"/>
      <c r="AF97" s="57"/>
      <c r="AG97" s="57"/>
      <c r="AH97" s="34" t="str">
        <f>IFERROR(INDEX(PARAMETRES!$B$536:$B$586,MATCH(AG97,PARAMETRES!$J$536:$J$586,0)),"")</f>
        <v/>
      </c>
      <c r="AI97" s="34" t="str">
        <f>IFERROR(INDEX(PARAMETRES!$D$536:$D$586,MATCH(AG97,PARAMETRES!$J$536:$J$586,0)),"")</f>
        <v/>
      </c>
      <c r="AJ97" s="34" t="str">
        <f>IFERROR(INDEX(PARAMETRES!$F$536:$F$586,MATCH(AG97,PARAMETRES!$J$536:$J$586,0)),"")</f>
        <v/>
      </c>
      <c r="AK97" s="34" t="str">
        <f>IFERROR(INDEX(PARAMETRES!$H$536:$H$586,MATCH(AG97,PARAMETRES!$J$536:$J$586,0)),"")</f>
        <v/>
      </c>
      <c r="AL97" s="50"/>
      <c r="AM97" s="50"/>
      <c r="AN97" s="57"/>
      <c r="AO97" s="57"/>
      <c r="AP97" s="51"/>
      <c r="AQ97" s="51"/>
      <c r="AR97" s="52" t="str">
        <f t="shared" si="3"/>
        <v/>
      </c>
      <c r="AS97" s="57"/>
      <c r="AT97" s="34">
        <f>IF(A97="",0,COUNTIF(tbl_Partenaires_Projets[ID Partenaire],A97))</f>
        <v>0</v>
      </c>
      <c r="AU97" s="34">
        <f>IF(A97="",0,COUNTIF(tbl_Partenaires_Conventions[ID Partenaire],A97))</f>
        <v>0</v>
      </c>
      <c r="AV97" s="34">
        <f>IF(A97="",0,COUNTIFS(tbl_Partenaires_Conventions[ID Partenaire],A97,tbl_Partenaires_Conventions[Statut],"Active"))</f>
        <v>0</v>
      </c>
      <c r="AW97" s="34" t="str">
        <f ca="1">IF(A97="","",IF(COUNTIFS(tbl_Partenaires_Conventions[ID Partenaire],A97,tbl_Partenaires_Conventions[Statut],"Active")=0,"NON",IF(_xlfn.MINIFS(tbl_Partenaires_Conventions[Date fin],tbl_Partenaires_Conventions[ID Partenaire],A97,tbl_Partenaires_Conventions[Statut],"Active")-TODAY()&lt;=60,"OUI","NON")))</f>
        <v/>
      </c>
      <c r="AX97" s="34">
        <f>IF(A97="",0,COUNTIF(tbl_Partenaires_Documents[ID Partenaire],A97))</f>
        <v>0</v>
      </c>
      <c r="AY97" s="63" t="str">
        <f>IFERROR(AVERAGEIFS(tbl_Partenaires_Evaluations[Note globale],tbl_Partenaires_Evaluations[ID Partenaire],A97),"")</f>
        <v/>
      </c>
      <c r="AZ97" s="71" t="str">
        <f ca="1">IFERROR(_xlfn.MAXIFS(tbl_Partenaires_Evaluations[Date evaluation],tbl_Partenaires_Evaluations[ID Partenaire],A97),"")</f>
        <v/>
      </c>
      <c r="BA97" s="34">
        <f>IF(A97="",0,COUNTIF(tbl_Partenaires_Risques[ID Partenaire],A97))</f>
        <v>0</v>
      </c>
      <c r="BB97" s="34" t="str">
        <f>IF(A97="","",IF(COUNTIFS(tbl_Partenaires_Risques[ID Partenaire],A97,tbl_Partenaires_Risques[Niveau],"Eleve")+COUNTIFS(tbl_Partenaires_Risques[ID Partenaire],A97,tbl_Partenaires_Risques[Niveau],"Critique")&gt;0,"OUI","NON"))</f>
        <v/>
      </c>
      <c r="BC97" s="34">
        <f>IF(A97="",0,COUNTIF(tbl_Partenaires_Contacts[ID Partenaire],A97))</f>
        <v>0</v>
      </c>
      <c r="BD97" s="34">
        <f>IF(A97="",0,COUNTIFS(tbl_Partenaires_Opportunites[ID Partenaire],A97,tbl_Partenaires_Opportunites[Statut],"&lt;&gt;Cloturee"))</f>
        <v>0</v>
      </c>
      <c r="BE97" s="34">
        <f>IF(A97="",0,COUNTIF(tbl_Partenaires_Prospection[ID Partenaire],A97))</f>
        <v>0</v>
      </c>
      <c r="BF97" s="57"/>
      <c r="BG97" s="57"/>
      <c r="BH97" s="57"/>
      <c r="BI97" s="57"/>
      <c r="BJ97" s="57"/>
      <c r="BK97" s="57"/>
      <c r="BL97" s="57"/>
      <c r="BM97" s="57"/>
      <c r="BN97" s="57"/>
      <c r="BO97" s="57"/>
      <c r="BP97" s="57"/>
      <c r="BQ97" s="57"/>
      <c r="BR97" s="34" t="str">
        <f>IF(C97="","",IF(OR(COUNTIF(C56:C115,C97)&gt;1,AND(E97&lt;&gt;"",COUNTIF(E56:E115,E97)&gt;1),AND(S97&lt;&gt;"",COUNTIF(S56:S115,S97)&gt;1),AND(U97&lt;&gt;"",COUNTIF(U56:U115,U97)&gt;1)),"OUI","NON"))</f>
        <v/>
      </c>
      <c r="BS97" s="57"/>
    </row>
    <row r="98" spans="1:71" ht="15" customHeight="1">
      <c r="A98" s="34" t="str">
        <f t="shared" si="2"/>
        <v/>
      </c>
      <c r="B98" s="57"/>
      <c r="C98" s="57"/>
      <c r="D98" s="57"/>
      <c r="E98" s="57"/>
      <c r="F98" s="57"/>
      <c r="G98" s="57"/>
      <c r="H98" s="57"/>
      <c r="I98" s="57"/>
      <c r="J98" s="70"/>
      <c r="K98" s="57"/>
      <c r="L98" s="57"/>
      <c r="M98" s="57"/>
      <c r="N98" s="34" t="str">
        <f>IFERROR(INDEX(PARAMETRES!$B$536:$B$586,MATCH(M98,PARAMETRES!$J$536:$J$586,0)),"")</f>
        <v/>
      </c>
      <c r="O98" s="34" t="str">
        <f>IFERROR(INDEX(PARAMETRES!$D$536:$D$586,MATCH(M98,PARAMETRES!$J$536:$J$586,0)),"")</f>
        <v/>
      </c>
      <c r="P98" s="34" t="str">
        <f>IFERROR(INDEX(PARAMETRES!$F$536:$F$586,MATCH(M98,PARAMETRES!$J$536:$J$586,0)),"")</f>
        <v/>
      </c>
      <c r="Q98" s="34" t="str">
        <f>IFERROR(INDEX(PARAMETRES!$H$536:$H$586,MATCH(M98,PARAMETRES!$J$536:$J$586,0)),"")</f>
        <v/>
      </c>
      <c r="R98" s="57"/>
      <c r="S98" s="57"/>
      <c r="T98" s="57"/>
      <c r="U98" s="57"/>
      <c r="V98" s="57"/>
      <c r="W98" s="57"/>
      <c r="X98" s="57"/>
      <c r="Y98" s="57"/>
      <c r="Z98" s="57"/>
      <c r="AA98" s="57"/>
      <c r="AB98" s="57"/>
      <c r="AC98" s="50"/>
      <c r="AD98" s="57"/>
      <c r="AE98" s="57"/>
      <c r="AF98" s="57"/>
      <c r="AG98" s="57"/>
      <c r="AH98" s="34" t="str">
        <f>IFERROR(INDEX(PARAMETRES!$B$536:$B$586,MATCH(AG98,PARAMETRES!$J$536:$J$586,0)),"")</f>
        <v/>
      </c>
      <c r="AI98" s="34" t="str">
        <f>IFERROR(INDEX(PARAMETRES!$D$536:$D$586,MATCH(AG98,PARAMETRES!$J$536:$J$586,0)),"")</f>
        <v/>
      </c>
      <c r="AJ98" s="34" t="str">
        <f>IFERROR(INDEX(PARAMETRES!$F$536:$F$586,MATCH(AG98,PARAMETRES!$J$536:$J$586,0)),"")</f>
        <v/>
      </c>
      <c r="AK98" s="34" t="str">
        <f>IFERROR(INDEX(PARAMETRES!$H$536:$H$586,MATCH(AG98,PARAMETRES!$J$536:$J$586,0)),"")</f>
        <v/>
      </c>
      <c r="AL98" s="50"/>
      <c r="AM98" s="50"/>
      <c r="AN98" s="57"/>
      <c r="AO98" s="57"/>
      <c r="AP98" s="51"/>
      <c r="AQ98" s="51"/>
      <c r="AR98" s="52" t="str">
        <f t="shared" si="3"/>
        <v/>
      </c>
      <c r="AS98" s="57"/>
      <c r="AT98" s="34">
        <f>IF(A98="",0,COUNTIF(tbl_Partenaires_Projets[ID Partenaire],A98))</f>
        <v>0</v>
      </c>
      <c r="AU98" s="34">
        <f>IF(A98="",0,COUNTIF(tbl_Partenaires_Conventions[ID Partenaire],A98))</f>
        <v>0</v>
      </c>
      <c r="AV98" s="34">
        <f>IF(A98="",0,COUNTIFS(tbl_Partenaires_Conventions[ID Partenaire],A98,tbl_Partenaires_Conventions[Statut],"Active"))</f>
        <v>0</v>
      </c>
      <c r="AW98" s="34" t="str">
        <f ca="1">IF(A98="","",IF(COUNTIFS(tbl_Partenaires_Conventions[ID Partenaire],A98,tbl_Partenaires_Conventions[Statut],"Active")=0,"NON",IF(_xlfn.MINIFS(tbl_Partenaires_Conventions[Date fin],tbl_Partenaires_Conventions[ID Partenaire],A98,tbl_Partenaires_Conventions[Statut],"Active")-TODAY()&lt;=60,"OUI","NON")))</f>
        <v/>
      </c>
      <c r="AX98" s="34">
        <f>IF(A98="",0,COUNTIF(tbl_Partenaires_Documents[ID Partenaire],A98))</f>
        <v>0</v>
      </c>
      <c r="AY98" s="63" t="str">
        <f>IFERROR(AVERAGEIFS(tbl_Partenaires_Evaluations[Note globale],tbl_Partenaires_Evaluations[ID Partenaire],A98),"")</f>
        <v/>
      </c>
      <c r="AZ98" s="71" t="str">
        <f ca="1">IFERROR(_xlfn.MAXIFS(tbl_Partenaires_Evaluations[Date evaluation],tbl_Partenaires_Evaluations[ID Partenaire],A98),"")</f>
        <v/>
      </c>
      <c r="BA98" s="34">
        <f>IF(A98="",0,COUNTIF(tbl_Partenaires_Risques[ID Partenaire],A98))</f>
        <v>0</v>
      </c>
      <c r="BB98" s="34" t="str">
        <f>IF(A98="","",IF(COUNTIFS(tbl_Partenaires_Risques[ID Partenaire],A98,tbl_Partenaires_Risques[Niveau],"Eleve")+COUNTIFS(tbl_Partenaires_Risques[ID Partenaire],A98,tbl_Partenaires_Risques[Niveau],"Critique")&gt;0,"OUI","NON"))</f>
        <v/>
      </c>
      <c r="BC98" s="34">
        <f>IF(A98="",0,COUNTIF(tbl_Partenaires_Contacts[ID Partenaire],A98))</f>
        <v>0</v>
      </c>
      <c r="BD98" s="34">
        <f>IF(A98="",0,COUNTIFS(tbl_Partenaires_Opportunites[ID Partenaire],A98,tbl_Partenaires_Opportunites[Statut],"&lt;&gt;Cloturee"))</f>
        <v>0</v>
      </c>
      <c r="BE98" s="34">
        <f>IF(A98="",0,COUNTIF(tbl_Partenaires_Prospection[ID Partenaire],A98))</f>
        <v>0</v>
      </c>
      <c r="BF98" s="57"/>
      <c r="BG98" s="57"/>
      <c r="BH98" s="57"/>
      <c r="BI98" s="57"/>
      <c r="BJ98" s="57"/>
      <c r="BK98" s="57"/>
      <c r="BL98" s="57"/>
      <c r="BM98" s="57"/>
      <c r="BN98" s="57"/>
      <c r="BO98" s="57"/>
      <c r="BP98" s="57"/>
      <c r="BQ98" s="57"/>
      <c r="BR98" s="34" t="str">
        <f>IF(C98="","",IF(OR(COUNTIF(C56:C115,C98)&gt;1,AND(E98&lt;&gt;"",COUNTIF(E56:E115,E98)&gt;1),AND(S98&lt;&gt;"",COUNTIF(S56:S115,S98)&gt;1),AND(U98&lt;&gt;"",COUNTIF(U56:U115,U98)&gt;1)),"OUI","NON"))</f>
        <v/>
      </c>
      <c r="BS98" s="57"/>
    </row>
    <row r="99" spans="1:71" ht="15" customHeight="1">
      <c r="A99" s="34" t="str">
        <f t="shared" si="2"/>
        <v/>
      </c>
      <c r="B99" s="57"/>
      <c r="C99" s="57"/>
      <c r="D99" s="57"/>
      <c r="E99" s="57"/>
      <c r="F99" s="57"/>
      <c r="G99" s="57"/>
      <c r="H99" s="57"/>
      <c r="I99" s="57"/>
      <c r="J99" s="70"/>
      <c r="K99" s="57"/>
      <c r="L99" s="57"/>
      <c r="M99" s="57"/>
      <c r="N99" s="34" t="str">
        <f>IFERROR(INDEX(PARAMETRES!$B$536:$B$586,MATCH(M99,PARAMETRES!$J$536:$J$586,0)),"")</f>
        <v/>
      </c>
      <c r="O99" s="34" t="str">
        <f>IFERROR(INDEX(PARAMETRES!$D$536:$D$586,MATCH(M99,PARAMETRES!$J$536:$J$586,0)),"")</f>
        <v/>
      </c>
      <c r="P99" s="34" t="str">
        <f>IFERROR(INDEX(PARAMETRES!$F$536:$F$586,MATCH(M99,PARAMETRES!$J$536:$J$586,0)),"")</f>
        <v/>
      </c>
      <c r="Q99" s="34" t="str">
        <f>IFERROR(INDEX(PARAMETRES!$H$536:$H$586,MATCH(M99,PARAMETRES!$J$536:$J$586,0)),"")</f>
        <v/>
      </c>
      <c r="R99" s="57"/>
      <c r="S99" s="57"/>
      <c r="T99" s="57"/>
      <c r="U99" s="57"/>
      <c r="V99" s="57"/>
      <c r="W99" s="57"/>
      <c r="X99" s="57"/>
      <c r="Y99" s="57"/>
      <c r="Z99" s="57"/>
      <c r="AA99" s="57"/>
      <c r="AB99" s="57"/>
      <c r="AC99" s="50"/>
      <c r="AD99" s="57"/>
      <c r="AE99" s="57"/>
      <c r="AF99" s="57"/>
      <c r="AG99" s="57"/>
      <c r="AH99" s="34" t="str">
        <f>IFERROR(INDEX(PARAMETRES!$B$536:$B$586,MATCH(AG99,PARAMETRES!$J$536:$J$586,0)),"")</f>
        <v/>
      </c>
      <c r="AI99" s="34" t="str">
        <f>IFERROR(INDEX(PARAMETRES!$D$536:$D$586,MATCH(AG99,PARAMETRES!$J$536:$J$586,0)),"")</f>
        <v/>
      </c>
      <c r="AJ99" s="34" t="str">
        <f>IFERROR(INDEX(PARAMETRES!$F$536:$F$586,MATCH(AG99,PARAMETRES!$J$536:$J$586,0)),"")</f>
        <v/>
      </c>
      <c r="AK99" s="34" t="str">
        <f>IFERROR(INDEX(PARAMETRES!$H$536:$H$586,MATCH(AG99,PARAMETRES!$J$536:$J$586,0)),"")</f>
        <v/>
      </c>
      <c r="AL99" s="50"/>
      <c r="AM99" s="50"/>
      <c r="AN99" s="57"/>
      <c r="AO99" s="57"/>
      <c r="AP99" s="51"/>
      <c r="AQ99" s="51"/>
      <c r="AR99" s="52" t="str">
        <f t="shared" si="3"/>
        <v/>
      </c>
      <c r="AS99" s="57"/>
      <c r="AT99" s="34">
        <f>IF(A99="",0,COUNTIF(tbl_Partenaires_Projets[ID Partenaire],A99))</f>
        <v>0</v>
      </c>
      <c r="AU99" s="34">
        <f>IF(A99="",0,COUNTIF(tbl_Partenaires_Conventions[ID Partenaire],A99))</f>
        <v>0</v>
      </c>
      <c r="AV99" s="34">
        <f>IF(A99="",0,COUNTIFS(tbl_Partenaires_Conventions[ID Partenaire],A99,tbl_Partenaires_Conventions[Statut],"Active"))</f>
        <v>0</v>
      </c>
      <c r="AW99" s="34" t="str">
        <f ca="1">IF(A99="","",IF(COUNTIFS(tbl_Partenaires_Conventions[ID Partenaire],A99,tbl_Partenaires_Conventions[Statut],"Active")=0,"NON",IF(_xlfn.MINIFS(tbl_Partenaires_Conventions[Date fin],tbl_Partenaires_Conventions[ID Partenaire],A99,tbl_Partenaires_Conventions[Statut],"Active")-TODAY()&lt;=60,"OUI","NON")))</f>
        <v/>
      </c>
      <c r="AX99" s="34">
        <f>IF(A99="",0,COUNTIF(tbl_Partenaires_Documents[ID Partenaire],A99))</f>
        <v>0</v>
      </c>
      <c r="AY99" s="63" t="str">
        <f>IFERROR(AVERAGEIFS(tbl_Partenaires_Evaluations[Note globale],tbl_Partenaires_Evaluations[ID Partenaire],A99),"")</f>
        <v/>
      </c>
      <c r="AZ99" s="71" t="str">
        <f ca="1">IFERROR(_xlfn.MAXIFS(tbl_Partenaires_Evaluations[Date evaluation],tbl_Partenaires_Evaluations[ID Partenaire],A99),"")</f>
        <v/>
      </c>
      <c r="BA99" s="34">
        <f>IF(A99="",0,COUNTIF(tbl_Partenaires_Risques[ID Partenaire],A99))</f>
        <v>0</v>
      </c>
      <c r="BB99" s="34" t="str">
        <f>IF(A99="","",IF(COUNTIFS(tbl_Partenaires_Risques[ID Partenaire],A99,tbl_Partenaires_Risques[Niveau],"Eleve")+COUNTIFS(tbl_Partenaires_Risques[ID Partenaire],A99,tbl_Partenaires_Risques[Niveau],"Critique")&gt;0,"OUI","NON"))</f>
        <v/>
      </c>
      <c r="BC99" s="34">
        <f>IF(A99="",0,COUNTIF(tbl_Partenaires_Contacts[ID Partenaire],A99))</f>
        <v>0</v>
      </c>
      <c r="BD99" s="34">
        <f>IF(A99="",0,COUNTIFS(tbl_Partenaires_Opportunites[ID Partenaire],A99,tbl_Partenaires_Opportunites[Statut],"&lt;&gt;Cloturee"))</f>
        <v>0</v>
      </c>
      <c r="BE99" s="34">
        <f>IF(A99="",0,COUNTIF(tbl_Partenaires_Prospection[ID Partenaire],A99))</f>
        <v>0</v>
      </c>
      <c r="BF99" s="57"/>
      <c r="BG99" s="57"/>
      <c r="BH99" s="57"/>
      <c r="BI99" s="57"/>
      <c r="BJ99" s="57"/>
      <c r="BK99" s="57"/>
      <c r="BL99" s="57"/>
      <c r="BM99" s="57"/>
      <c r="BN99" s="57"/>
      <c r="BO99" s="57"/>
      <c r="BP99" s="57"/>
      <c r="BQ99" s="57"/>
      <c r="BR99" s="34" t="str">
        <f>IF(C99="","",IF(OR(COUNTIF(C56:C115,C99)&gt;1,AND(E99&lt;&gt;"",COUNTIF(E56:E115,E99)&gt;1),AND(S99&lt;&gt;"",COUNTIF(S56:S115,S99)&gt;1),AND(U99&lt;&gt;"",COUNTIF(U56:U115,U99)&gt;1)),"OUI","NON"))</f>
        <v/>
      </c>
      <c r="BS99" s="57"/>
    </row>
    <row r="100" spans="1:71" ht="15" customHeight="1">
      <c r="A100" s="34" t="str">
        <f t="shared" si="2"/>
        <v/>
      </c>
      <c r="B100" s="57"/>
      <c r="C100" s="57"/>
      <c r="D100" s="57"/>
      <c r="E100" s="57"/>
      <c r="F100" s="57"/>
      <c r="G100" s="57"/>
      <c r="H100" s="57"/>
      <c r="I100" s="57"/>
      <c r="J100" s="70"/>
      <c r="K100" s="57"/>
      <c r="L100" s="57"/>
      <c r="M100" s="57"/>
      <c r="N100" s="34" t="str">
        <f>IFERROR(INDEX(PARAMETRES!$B$536:$B$586,MATCH(M100,PARAMETRES!$J$536:$J$586,0)),"")</f>
        <v/>
      </c>
      <c r="O100" s="34" t="str">
        <f>IFERROR(INDEX(PARAMETRES!$D$536:$D$586,MATCH(M100,PARAMETRES!$J$536:$J$586,0)),"")</f>
        <v/>
      </c>
      <c r="P100" s="34" t="str">
        <f>IFERROR(INDEX(PARAMETRES!$F$536:$F$586,MATCH(M100,PARAMETRES!$J$536:$J$586,0)),"")</f>
        <v/>
      </c>
      <c r="Q100" s="34" t="str">
        <f>IFERROR(INDEX(PARAMETRES!$H$536:$H$586,MATCH(M100,PARAMETRES!$J$536:$J$586,0)),"")</f>
        <v/>
      </c>
      <c r="R100" s="57"/>
      <c r="S100" s="57"/>
      <c r="T100" s="57"/>
      <c r="U100" s="57"/>
      <c r="V100" s="57"/>
      <c r="W100" s="57"/>
      <c r="X100" s="57"/>
      <c r="Y100" s="57"/>
      <c r="Z100" s="57"/>
      <c r="AA100" s="57"/>
      <c r="AB100" s="57"/>
      <c r="AC100" s="50"/>
      <c r="AD100" s="57"/>
      <c r="AE100" s="57"/>
      <c r="AF100" s="57"/>
      <c r="AG100" s="57"/>
      <c r="AH100" s="34" t="str">
        <f>IFERROR(INDEX(PARAMETRES!$B$536:$B$586,MATCH(AG100,PARAMETRES!$J$536:$J$586,0)),"")</f>
        <v/>
      </c>
      <c r="AI100" s="34" t="str">
        <f>IFERROR(INDEX(PARAMETRES!$D$536:$D$586,MATCH(AG100,PARAMETRES!$J$536:$J$586,0)),"")</f>
        <v/>
      </c>
      <c r="AJ100" s="34" t="str">
        <f>IFERROR(INDEX(PARAMETRES!$F$536:$F$586,MATCH(AG100,PARAMETRES!$J$536:$J$586,0)),"")</f>
        <v/>
      </c>
      <c r="AK100" s="34" t="str">
        <f>IFERROR(INDEX(PARAMETRES!$H$536:$H$586,MATCH(AG100,PARAMETRES!$J$536:$J$586,0)),"")</f>
        <v/>
      </c>
      <c r="AL100" s="50"/>
      <c r="AM100" s="50"/>
      <c r="AN100" s="57"/>
      <c r="AO100" s="57"/>
      <c r="AP100" s="51"/>
      <c r="AQ100" s="51"/>
      <c r="AR100" s="52" t="str">
        <f t="shared" si="3"/>
        <v/>
      </c>
      <c r="AS100" s="57"/>
      <c r="AT100" s="34">
        <f>IF(A100="",0,COUNTIF(tbl_Partenaires_Projets[ID Partenaire],A100))</f>
        <v>0</v>
      </c>
      <c r="AU100" s="34">
        <f>IF(A100="",0,COUNTIF(tbl_Partenaires_Conventions[ID Partenaire],A100))</f>
        <v>0</v>
      </c>
      <c r="AV100" s="34">
        <f>IF(A100="",0,COUNTIFS(tbl_Partenaires_Conventions[ID Partenaire],A100,tbl_Partenaires_Conventions[Statut],"Active"))</f>
        <v>0</v>
      </c>
      <c r="AW100" s="34" t="str">
        <f ca="1">IF(A100="","",IF(COUNTIFS(tbl_Partenaires_Conventions[ID Partenaire],A100,tbl_Partenaires_Conventions[Statut],"Active")=0,"NON",IF(_xlfn.MINIFS(tbl_Partenaires_Conventions[Date fin],tbl_Partenaires_Conventions[ID Partenaire],A100,tbl_Partenaires_Conventions[Statut],"Active")-TODAY()&lt;=60,"OUI","NON")))</f>
        <v/>
      </c>
      <c r="AX100" s="34">
        <f>IF(A100="",0,COUNTIF(tbl_Partenaires_Documents[ID Partenaire],A100))</f>
        <v>0</v>
      </c>
      <c r="AY100" s="63" t="str">
        <f>IFERROR(AVERAGEIFS(tbl_Partenaires_Evaluations[Note globale],tbl_Partenaires_Evaluations[ID Partenaire],A100),"")</f>
        <v/>
      </c>
      <c r="AZ100" s="71" t="str">
        <f ca="1">IFERROR(_xlfn.MAXIFS(tbl_Partenaires_Evaluations[Date evaluation],tbl_Partenaires_Evaluations[ID Partenaire],A100),"")</f>
        <v/>
      </c>
      <c r="BA100" s="34">
        <f>IF(A100="",0,COUNTIF(tbl_Partenaires_Risques[ID Partenaire],A100))</f>
        <v>0</v>
      </c>
      <c r="BB100" s="34" t="str">
        <f>IF(A100="","",IF(COUNTIFS(tbl_Partenaires_Risques[ID Partenaire],A100,tbl_Partenaires_Risques[Niveau],"Eleve")+COUNTIFS(tbl_Partenaires_Risques[ID Partenaire],A100,tbl_Partenaires_Risques[Niveau],"Critique")&gt;0,"OUI","NON"))</f>
        <v/>
      </c>
      <c r="BC100" s="34">
        <f>IF(A100="",0,COUNTIF(tbl_Partenaires_Contacts[ID Partenaire],A100))</f>
        <v>0</v>
      </c>
      <c r="BD100" s="34">
        <f>IF(A100="",0,COUNTIFS(tbl_Partenaires_Opportunites[ID Partenaire],A100,tbl_Partenaires_Opportunites[Statut],"&lt;&gt;Cloturee"))</f>
        <v>0</v>
      </c>
      <c r="BE100" s="34">
        <f>IF(A100="",0,COUNTIF(tbl_Partenaires_Prospection[ID Partenaire],A100))</f>
        <v>0</v>
      </c>
      <c r="BF100" s="57"/>
      <c r="BG100" s="57"/>
      <c r="BH100" s="57"/>
      <c r="BI100" s="57"/>
      <c r="BJ100" s="57"/>
      <c r="BK100" s="57"/>
      <c r="BL100" s="57"/>
      <c r="BM100" s="57"/>
      <c r="BN100" s="57"/>
      <c r="BO100" s="57"/>
      <c r="BP100" s="57"/>
      <c r="BQ100" s="57"/>
      <c r="BR100" s="34" t="str">
        <f>IF(C100="","",IF(OR(COUNTIF(C56:C115,C100)&gt;1,AND(E100&lt;&gt;"",COUNTIF(E56:E115,E100)&gt;1),AND(S100&lt;&gt;"",COUNTIF(S56:S115,S100)&gt;1),AND(U100&lt;&gt;"",COUNTIF(U56:U115,U100)&gt;1)),"OUI","NON"))</f>
        <v/>
      </c>
      <c r="BS100" s="57"/>
    </row>
    <row r="101" spans="1:71" ht="15" customHeight="1">
      <c r="A101" s="34" t="str">
        <f t="shared" si="2"/>
        <v/>
      </c>
      <c r="B101" s="57"/>
      <c r="C101" s="57"/>
      <c r="D101" s="57"/>
      <c r="E101" s="57"/>
      <c r="F101" s="57"/>
      <c r="G101" s="57"/>
      <c r="H101" s="57"/>
      <c r="I101" s="57"/>
      <c r="J101" s="70"/>
      <c r="K101" s="57"/>
      <c r="L101" s="57"/>
      <c r="M101" s="57"/>
      <c r="N101" s="34" t="str">
        <f>IFERROR(INDEX(PARAMETRES!$B$536:$B$586,MATCH(M101,PARAMETRES!$J$536:$J$586,0)),"")</f>
        <v/>
      </c>
      <c r="O101" s="34" t="str">
        <f>IFERROR(INDEX(PARAMETRES!$D$536:$D$586,MATCH(M101,PARAMETRES!$J$536:$J$586,0)),"")</f>
        <v/>
      </c>
      <c r="P101" s="34" t="str">
        <f>IFERROR(INDEX(PARAMETRES!$F$536:$F$586,MATCH(M101,PARAMETRES!$J$536:$J$586,0)),"")</f>
        <v/>
      </c>
      <c r="Q101" s="34" t="str">
        <f>IFERROR(INDEX(PARAMETRES!$H$536:$H$586,MATCH(M101,PARAMETRES!$J$536:$J$586,0)),"")</f>
        <v/>
      </c>
      <c r="R101" s="57"/>
      <c r="S101" s="57"/>
      <c r="T101" s="57"/>
      <c r="U101" s="57"/>
      <c r="V101" s="57"/>
      <c r="W101" s="57"/>
      <c r="X101" s="57"/>
      <c r="Y101" s="57"/>
      <c r="Z101" s="57"/>
      <c r="AA101" s="57"/>
      <c r="AB101" s="57"/>
      <c r="AC101" s="50"/>
      <c r="AD101" s="57"/>
      <c r="AE101" s="57"/>
      <c r="AF101" s="57"/>
      <c r="AG101" s="57"/>
      <c r="AH101" s="34" t="str">
        <f>IFERROR(INDEX(PARAMETRES!$B$536:$B$586,MATCH(AG101,PARAMETRES!$J$536:$J$586,0)),"")</f>
        <v/>
      </c>
      <c r="AI101" s="34" t="str">
        <f>IFERROR(INDEX(PARAMETRES!$D$536:$D$586,MATCH(AG101,PARAMETRES!$J$536:$J$586,0)),"")</f>
        <v/>
      </c>
      <c r="AJ101" s="34" t="str">
        <f>IFERROR(INDEX(PARAMETRES!$F$536:$F$586,MATCH(AG101,PARAMETRES!$J$536:$J$586,0)),"")</f>
        <v/>
      </c>
      <c r="AK101" s="34" t="str">
        <f>IFERROR(INDEX(PARAMETRES!$H$536:$H$586,MATCH(AG101,PARAMETRES!$J$536:$J$586,0)),"")</f>
        <v/>
      </c>
      <c r="AL101" s="50"/>
      <c r="AM101" s="50"/>
      <c r="AN101" s="57"/>
      <c r="AO101" s="57"/>
      <c r="AP101" s="51"/>
      <c r="AQ101" s="51"/>
      <c r="AR101" s="52" t="str">
        <f t="shared" si="3"/>
        <v/>
      </c>
      <c r="AS101" s="57"/>
      <c r="AT101" s="34">
        <f>IF(A101="",0,COUNTIF(tbl_Partenaires_Projets[ID Partenaire],A101))</f>
        <v>0</v>
      </c>
      <c r="AU101" s="34">
        <f>IF(A101="",0,COUNTIF(tbl_Partenaires_Conventions[ID Partenaire],A101))</f>
        <v>0</v>
      </c>
      <c r="AV101" s="34">
        <f>IF(A101="",0,COUNTIFS(tbl_Partenaires_Conventions[ID Partenaire],A101,tbl_Partenaires_Conventions[Statut],"Active"))</f>
        <v>0</v>
      </c>
      <c r="AW101" s="34" t="str">
        <f ca="1">IF(A101="","",IF(COUNTIFS(tbl_Partenaires_Conventions[ID Partenaire],A101,tbl_Partenaires_Conventions[Statut],"Active")=0,"NON",IF(_xlfn.MINIFS(tbl_Partenaires_Conventions[Date fin],tbl_Partenaires_Conventions[ID Partenaire],A101,tbl_Partenaires_Conventions[Statut],"Active")-TODAY()&lt;=60,"OUI","NON")))</f>
        <v/>
      </c>
      <c r="AX101" s="34">
        <f>IF(A101="",0,COUNTIF(tbl_Partenaires_Documents[ID Partenaire],A101))</f>
        <v>0</v>
      </c>
      <c r="AY101" s="63" t="str">
        <f>IFERROR(AVERAGEIFS(tbl_Partenaires_Evaluations[Note globale],tbl_Partenaires_Evaluations[ID Partenaire],A101),"")</f>
        <v/>
      </c>
      <c r="AZ101" s="71" t="str">
        <f ca="1">IFERROR(_xlfn.MAXIFS(tbl_Partenaires_Evaluations[Date evaluation],tbl_Partenaires_Evaluations[ID Partenaire],A101),"")</f>
        <v/>
      </c>
      <c r="BA101" s="34">
        <f>IF(A101="",0,COUNTIF(tbl_Partenaires_Risques[ID Partenaire],A101))</f>
        <v>0</v>
      </c>
      <c r="BB101" s="34" t="str">
        <f>IF(A101="","",IF(COUNTIFS(tbl_Partenaires_Risques[ID Partenaire],A101,tbl_Partenaires_Risques[Niveau],"Eleve")+COUNTIFS(tbl_Partenaires_Risques[ID Partenaire],A101,tbl_Partenaires_Risques[Niveau],"Critique")&gt;0,"OUI","NON"))</f>
        <v/>
      </c>
      <c r="BC101" s="34">
        <f>IF(A101="",0,COUNTIF(tbl_Partenaires_Contacts[ID Partenaire],A101))</f>
        <v>0</v>
      </c>
      <c r="BD101" s="34">
        <f>IF(A101="",0,COUNTIFS(tbl_Partenaires_Opportunites[ID Partenaire],A101,tbl_Partenaires_Opportunites[Statut],"&lt;&gt;Cloturee"))</f>
        <v>0</v>
      </c>
      <c r="BE101" s="34">
        <f>IF(A101="",0,COUNTIF(tbl_Partenaires_Prospection[ID Partenaire],A101))</f>
        <v>0</v>
      </c>
      <c r="BF101" s="57"/>
      <c r="BG101" s="57"/>
      <c r="BH101" s="57"/>
      <c r="BI101" s="57"/>
      <c r="BJ101" s="57"/>
      <c r="BK101" s="57"/>
      <c r="BL101" s="57"/>
      <c r="BM101" s="57"/>
      <c r="BN101" s="57"/>
      <c r="BO101" s="57"/>
      <c r="BP101" s="57"/>
      <c r="BQ101" s="57"/>
      <c r="BR101" s="34" t="str">
        <f>IF(C101="","",IF(OR(COUNTIF(C56:C115,C101)&gt;1,AND(E101&lt;&gt;"",COUNTIF(E56:E115,E101)&gt;1),AND(S101&lt;&gt;"",COUNTIF(S56:S115,S101)&gt;1),AND(U101&lt;&gt;"",COUNTIF(U56:U115,U101)&gt;1)),"OUI","NON"))</f>
        <v/>
      </c>
      <c r="BS101" s="57"/>
    </row>
    <row r="102" spans="1:71" ht="15" customHeight="1">
      <c r="A102" s="34" t="str">
        <f t="shared" si="2"/>
        <v/>
      </c>
      <c r="B102" s="57"/>
      <c r="C102" s="57"/>
      <c r="D102" s="57"/>
      <c r="E102" s="57"/>
      <c r="F102" s="57"/>
      <c r="G102" s="57"/>
      <c r="H102" s="57"/>
      <c r="I102" s="57"/>
      <c r="J102" s="70"/>
      <c r="K102" s="57"/>
      <c r="L102" s="57"/>
      <c r="M102" s="57"/>
      <c r="N102" s="34" t="str">
        <f>IFERROR(INDEX(PARAMETRES!$B$536:$B$586,MATCH(M102,PARAMETRES!$J$536:$J$586,0)),"")</f>
        <v/>
      </c>
      <c r="O102" s="34" t="str">
        <f>IFERROR(INDEX(PARAMETRES!$D$536:$D$586,MATCH(M102,PARAMETRES!$J$536:$J$586,0)),"")</f>
        <v/>
      </c>
      <c r="P102" s="34" t="str">
        <f>IFERROR(INDEX(PARAMETRES!$F$536:$F$586,MATCH(M102,PARAMETRES!$J$536:$J$586,0)),"")</f>
        <v/>
      </c>
      <c r="Q102" s="34" t="str">
        <f>IFERROR(INDEX(PARAMETRES!$H$536:$H$586,MATCH(M102,PARAMETRES!$J$536:$J$586,0)),"")</f>
        <v/>
      </c>
      <c r="R102" s="57"/>
      <c r="S102" s="57"/>
      <c r="T102" s="57"/>
      <c r="U102" s="57"/>
      <c r="V102" s="57"/>
      <c r="W102" s="57"/>
      <c r="X102" s="57"/>
      <c r="Y102" s="57"/>
      <c r="Z102" s="57"/>
      <c r="AA102" s="57"/>
      <c r="AB102" s="57"/>
      <c r="AC102" s="50"/>
      <c r="AD102" s="57"/>
      <c r="AE102" s="57"/>
      <c r="AF102" s="57"/>
      <c r="AG102" s="57"/>
      <c r="AH102" s="34" t="str">
        <f>IFERROR(INDEX(PARAMETRES!$B$536:$B$586,MATCH(AG102,PARAMETRES!$J$536:$J$586,0)),"")</f>
        <v/>
      </c>
      <c r="AI102" s="34" t="str">
        <f>IFERROR(INDEX(PARAMETRES!$D$536:$D$586,MATCH(AG102,PARAMETRES!$J$536:$J$586,0)),"")</f>
        <v/>
      </c>
      <c r="AJ102" s="34" t="str">
        <f>IFERROR(INDEX(PARAMETRES!$F$536:$F$586,MATCH(AG102,PARAMETRES!$J$536:$J$586,0)),"")</f>
        <v/>
      </c>
      <c r="AK102" s="34" t="str">
        <f>IFERROR(INDEX(PARAMETRES!$H$536:$H$586,MATCH(AG102,PARAMETRES!$J$536:$J$586,0)),"")</f>
        <v/>
      </c>
      <c r="AL102" s="50"/>
      <c r="AM102" s="50"/>
      <c r="AN102" s="57"/>
      <c r="AO102" s="57"/>
      <c r="AP102" s="51"/>
      <c r="AQ102" s="51"/>
      <c r="AR102" s="52" t="str">
        <f t="shared" si="3"/>
        <v/>
      </c>
      <c r="AS102" s="57"/>
      <c r="AT102" s="34">
        <f>IF(A102="",0,COUNTIF(tbl_Partenaires_Projets[ID Partenaire],A102))</f>
        <v>0</v>
      </c>
      <c r="AU102" s="34">
        <f>IF(A102="",0,COUNTIF(tbl_Partenaires_Conventions[ID Partenaire],A102))</f>
        <v>0</v>
      </c>
      <c r="AV102" s="34">
        <f>IF(A102="",0,COUNTIFS(tbl_Partenaires_Conventions[ID Partenaire],A102,tbl_Partenaires_Conventions[Statut],"Active"))</f>
        <v>0</v>
      </c>
      <c r="AW102" s="34" t="str">
        <f ca="1">IF(A102="","",IF(COUNTIFS(tbl_Partenaires_Conventions[ID Partenaire],A102,tbl_Partenaires_Conventions[Statut],"Active")=0,"NON",IF(_xlfn.MINIFS(tbl_Partenaires_Conventions[Date fin],tbl_Partenaires_Conventions[ID Partenaire],A102,tbl_Partenaires_Conventions[Statut],"Active")-TODAY()&lt;=60,"OUI","NON")))</f>
        <v/>
      </c>
      <c r="AX102" s="34">
        <f>IF(A102="",0,COUNTIF(tbl_Partenaires_Documents[ID Partenaire],A102))</f>
        <v>0</v>
      </c>
      <c r="AY102" s="63" t="str">
        <f>IFERROR(AVERAGEIFS(tbl_Partenaires_Evaluations[Note globale],tbl_Partenaires_Evaluations[ID Partenaire],A102),"")</f>
        <v/>
      </c>
      <c r="AZ102" s="71" t="str">
        <f ca="1">IFERROR(_xlfn.MAXIFS(tbl_Partenaires_Evaluations[Date evaluation],tbl_Partenaires_Evaluations[ID Partenaire],A102),"")</f>
        <v/>
      </c>
      <c r="BA102" s="34">
        <f>IF(A102="",0,COUNTIF(tbl_Partenaires_Risques[ID Partenaire],A102))</f>
        <v>0</v>
      </c>
      <c r="BB102" s="34" t="str">
        <f>IF(A102="","",IF(COUNTIFS(tbl_Partenaires_Risques[ID Partenaire],A102,tbl_Partenaires_Risques[Niveau],"Eleve")+COUNTIFS(tbl_Partenaires_Risques[ID Partenaire],A102,tbl_Partenaires_Risques[Niveau],"Critique")&gt;0,"OUI","NON"))</f>
        <v/>
      </c>
      <c r="BC102" s="34">
        <f>IF(A102="",0,COUNTIF(tbl_Partenaires_Contacts[ID Partenaire],A102))</f>
        <v>0</v>
      </c>
      <c r="BD102" s="34">
        <f>IF(A102="",0,COUNTIFS(tbl_Partenaires_Opportunites[ID Partenaire],A102,tbl_Partenaires_Opportunites[Statut],"&lt;&gt;Cloturee"))</f>
        <v>0</v>
      </c>
      <c r="BE102" s="34">
        <f>IF(A102="",0,COUNTIF(tbl_Partenaires_Prospection[ID Partenaire],A102))</f>
        <v>0</v>
      </c>
      <c r="BF102" s="57"/>
      <c r="BG102" s="57"/>
      <c r="BH102" s="57"/>
      <c r="BI102" s="57"/>
      <c r="BJ102" s="57"/>
      <c r="BK102" s="57"/>
      <c r="BL102" s="57"/>
      <c r="BM102" s="57"/>
      <c r="BN102" s="57"/>
      <c r="BO102" s="57"/>
      <c r="BP102" s="57"/>
      <c r="BQ102" s="57"/>
      <c r="BR102" s="34" t="str">
        <f>IF(C102="","",IF(OR(COUNTIF(C56:C115,C102)&gt;1,AND(E102&lt;&gt;"",COUNTIF(E56:E115,E102)&gt;1),AND(S102&lt;&gt;"",COUNTIF(S56:S115,S102)&gt;1),AND(U102&lt;&gt;"",COUNTIF(U56:U115,U102)&gt;1)),"OUI","NON"))</f>
        <v/>
      </c>
      <c r="BS102" s="57"/>
    </row>
    <row r="103" spans="1:71" ht="15" customHeight="1">
      <c r="A103" s="34" t="str">
        <f t="shared" si="2"/>
        <v/>
      </c>
      <c r="B103" s="57"/>
      <c r="C103" s="57"/>
      <c r="D103" s="57"/>
      <c r="E103" s="57"/>
      <c r="F103" s="57"/>
      <c r="G103" s="57"/>
      <c r="H103" s="57"/>
      <c r="I103" s="57"/>
      <c r="J103" s="70"/>
      <c r="K103" s="57"/>
      <c r="L103" s="57"/>
      <c r="M103" s="57"/>
      <c r="N103" s="34" t="str">
        <f>IFERROR(INDEX(PARAMETRES!$B$536:$B$586,MATCH(M103,PARAMETRES!$J$536:$J$586,0)),"")</f>
        <v/>
      </c>
      <c r="O103" s="34" t="str">
        <f>IFERROR(INDEX(PARAMETRES!$D$536:$D$586,MATCH(M103,PARAMETRES!$J$536:$J$586,0)),"")</f>
        <v/>
      </c>
      <c r="P103" s="34" t="str">
        <f>IFERROR(INDEX(PARAMETRES!$F$536:$F$586,MATCH(M103,PARAMETRES!$J$536:$J$586,0)),"")</f>
        <v/>
      </c>
      <c r="Q103" s="34" t="str">
        <f>IFERROR(INDEX(PARAMETRES!$H$536:$H$586,MATCH(M103,PARAMETRES!$J$536:$J$586,0)),"")</f>
        <v/>
      </c>
      <c r="R103" s="57"/>
      <c r="S103" s="57"/>
      <c r="T103" s="57"/>
      <c r="U103" s="57"/>
      <c r="V103" s="57"/>
      <c r="W103" s="57"/>
      <c r="X103" s="57"/>
      <c r="Y103" s="57"/>
      <c r="Z103" s="57"/>
      <c r="AA103" s="57"/>
      <c r="AB103" s="57"/>
      <c r="AC103" s="50"/>
      <c r="AD103" s="57"/>
      <c r="AE103" s="57"/>
      <c r="AF103" s="57"/>
      <c r="AG103" s="57"/>
      <c r="AH103" s="34" t="str">
        <f>IFERROR(INDEX(PARAMETRES!$B$536:$B$586,MATCH(AG103,PARAMETRES!$J$536:$J$586,0)),"")</f>
        <v/>
      </c>
      <c r="AI103" s="34" t="str">
        <f>IFERROR(INDEX(PARAMETRES!$D$536:$D$586,MATCH(AG103,PARAMETRES!$J$536:$J$586,0)),"")</f>
        <v/>
      </c>
      <c r="AJ103" s="34" t="str">
        <f>IFERROR(INDEX(PARAMETRES!$F$536:$F$586,MATCH(AG103,PARAMETRES!$J$536:$J$586,0)),"")</f>
        <v/>
      </c>
      <c r="AK103" s="34" t="str">
        <f>IFERROR(INDEX(PARAMETRES!$H$536:$H$586,MATCH(AG103,PARAMETRES!$J$536:$J$586,0)),"")</f>
        <v/>
      </c>
      <c r="AL103" s="50"/>
      <c r="AM103" s="50"/>
      <c r="AN103" s="57"/>
      <c r="AO103" s="57"/>
      <c r="AP103" s="51"/>
      <c r="AQ103" s="51"/>
      <c r="AR103" s="52" t="str">
        <f t="shared" si="3"/>
        <v/>
      </c>
      <c r="AS103" s="57"/>
      <c r="AT103" s="34">
        <f>IF(A103="",0,COUNTIF(tbl_Partenaires_Projets[ID Partenaire],A103))</f>
        <v>0</v>
      </c>
      <c r="AU103" s="34">
        <f>IF(A103="",0,COUNTIF(tbl_Partenaires_Conventions[ID Partenaire],A103))</f>
        <v>0</v>
      </c>
      <c r="AV103" s="34">
        <f>IF(A103="",0,COUNTIFS(tbl_Partenaires_Conventions[ID Partenaire],A103,tbl_Partenaires_Conventions[Statut],"Active"))</f>
        <v>0</v>
      </c>
      <c r="AW103" s="34" t="str">
        <f ca="1">IF(A103="","",IF(COUNTIFS(tbl_Partenaires_Conventions[ID Partenaire],A103,tbl_Partenaires_Conventions[Statut],"Active")=0,"NON",IF(_xlfn.MINIFS(tbl_Partenaires_Conventions[Date fin],tbl_Partenaires_Conventions[ID Partenaire],A103,tbl_Partenaires_Conventions[Statut],"Active")-TODAY()&lt;=60,"OUI","NON")))</f>
        <v/>
      </c>
      <c r="AX103" s="34">
        <f>IF(A103="",0,COUNTIF(tbl_Partenaires_Documents[ID Partenaire],A103))</f>
        <v>0</v>
      </c>
      <c r="AY103" s="63" t="str">
        <f>IFERROR(AVERAGEIFS(tbl_Partenaires_Evaluations[Note globale],tbl_Partenaires_Evaluations[ID Partenaire],A103),"")</f>
        <v/>
      </c>
      <c r="AZ103" s="71" t="str">
        <f ca="1">IFERROR(_xlfn.MAXIFS(tbl_Partenaires_Evaluations[Date evaluation],tbl_Partenaires_Evaluations[ID Partenaire],A103),"")</f>
        <v/>
      </c>
      <c r="BA103" s="34">
        <f>IF(A103="",0,COUNTIF(tbl_Partenaires_Risques[ID Partenaire],A103))</f>
        <v>0</v>
      </c>
      <c r="BB103" s="34" t="str">
        <f>IF(A103="","",IF(COUNTIFS(tbl_Partenaires_Risques[ID Partenaire],A103,tbl_Partenaires_Risques[Niveau],"Eleve")+COUNTIFS(tbl_Partenaires_Risques[ID Partenaire],A103,tbl_Partenaires_Risques[Niveau],"Critique")&gt;0,"OUI","NON"))</f>
        <v/>
      </c>
      <c r="BC103" s="34">
        <f>IF(A103="",0,COUNTIF(tbl_Partenaires_Contacts[ID Partenaire],A103))</f>
        <v>0</v>
      </c>
      <c r="BD103" s="34">
        <f>IF(A103="",0,COUNTIFS(tbl_Partenaires_Opportunites[ID Partenaire],A103,tbl_Partenaires_Opportunites[Statut],"&lt;&gt;Cloturee"))</f>
        <v>0</v>
      </c>
      <c r="BE103" s="34">
        <f>IF(A103="",0,COUNTIF(tbl_Partenaires_Prospection[ID Partenaire],A103))</f>
        <v>0</v>
      </c>
      <c r="BF103" s="57"/>
      <c r="BG103" s="57"/>
      <c r="BH103" s="57"/>
      <c r="BI103" s="57"/>
      <c r="BJ103" s="57"/>
      <c r="BK103" s="57"/>
      <c r="BL103" s="57"/>
      <c r="BM103" s="57"/>
      <c r="BN103" s="57"/>
      <c r="BO103" s="57"/>
      <c r="BP103" s="57"/>
      <c r="BQ103" s="57"/>
      <c r="BR103" s="34" t="str">
        <f>IF(C103="","",IF(OR(COUNTIF(C56:C115,C103)&gt;1,AND(E103&lt;&gt;"",COUNTIF(E56:E115,E103)&gt;1),AND(S103&lt;&gt;"",COUNTIF(S56:S115,S103)&gt;1),AND(U103&lt;&gt;"",COUNTIF(U56:U115,U103)&gt;1)),"OUI","NON"))</f>
        <v/>
      </c>
      <c r="BS103" s="57"/>
    </row>
    <row r="104" spans="1:71" ht="15" customHeight="1">
      <c r="A104" s="34" t="str">
        <f t="shared" si="2"/>
        <v/>
      </c>
      <c r="B104" s="57"/>
      <c r="C104" s="57"/>
      <c r="D104" s="57"/>
      <c r="E104" s="57"/>
      <c r="F104" s="57"/>
      <c r="G104" s="57"/>
      <c r="H104" s="57"/>
      <c r="I104" s="57"/>
      <c r="J104" s="70"/>
      <c r="K104" s="57"/>
      <c r="L104" s="57"/>
      <c r="M104" s="57"/>
      <c r="N104" s="34" t="str">
        <f>IFERROR(INDEX(PARAMETRES!$B$536:$B$586,MATCH(M104,PARAMETRES!$J$536:$J$586,0)),"")</f>
        <v/>
      </c>
      <c r="O104" s="34" t="str">
        <f>IFERROR(INDEX(PARAMETRES!$D$536:$D$586,MATCH(M104,PARAMETRES!$J$536:$J$586,0)),"")</f>
        <v/>
      </c>
      <c r="P104" s="34" t="str">
        <f>IFERROR(INDEX(PARAMETRES!$F$536:$F$586,MATCH(M104,PARAMETRES!$J$536:$J$586,0)),"")</f>
        <v/>
      </c>
      <c r="Q104" s="34" t="str">
        <f>IFERROR(INDEX(PARAMETRES!$H$536:$H$586,MATCH(M104,PARAMETRES!$J$536:$J$586,0)),"")</f>
        <v/>
      </c>
      <c r="R104" s="57"/>
      <c r="S104" s="57"/>
      <c r="T104" s="57"/>
      <c r="U104" s="57"/>
      <c r="V104" s="57"/>
      <c r="W104" s="57"/>
      <c r="X104" s="57"/>
      <c r="Y104" s="57"/>
      <c r="Z104" s="57"/>
      <c r="AA104" s="57"/>
      <c r="AB104" s="57"/>
      <c r="AC104" s="50"/>
      <c r="AD104" s="57"/>
      <c r="AE104" s="57"/>
      <c r="AF104" s="57"/>
      <c r="AG104" s="57"/>
      <c r="AH104" s="34" t="str">
        <f>IFERROR(INDEX(PARAMETRES!$B$536:$B$586,MATCH(AG104,PARAMETRES!$J$536:$J$586,0)),"")</f>
        <v/>
      </c>
      <c r="AI104" s="34" t="str">
        <f>IFERROR(INDEX(PARAMETRES!$D$536:$D$586,MATCH(AG104,PARAMETRES!$J$536:$J$586,0)),"")</f>
        <v/>
      </c>
      <c r="AJ104" s="34" t="str">
        <f>IFERROR(INDEX(PARAMETRES!$F$536:$F$586,MATCH(AG104,PARAMETRES!$J$536:$J$586,0)),"")</f>
        <v/>
      </c>
      <c r="AK104" s="34" t="str">
        <f>IFERROR(INDEX(PARAMETRES!$H$536:$H$586,MATCH(AG104,PARAMETRES!$J$536:$J$586,0)),"")</f>
        <v/>
      </c>
      <c r="AL104" s="50"/>
      <c r="AM104" s="50"/>
      <c r="AN104" s="57"/>
      <c r="AO104" s="57"/>
      <c r="AP104" s="51"/>
      <c r="AQ104" s="51"/>
      <c r="AR104" s="52" t="str">
        <f t="shared" si="3"/>
        <v/>
      </c>
      <c r="AS104" s="57"/>
      <c r="AT104" s="34">
        <f>IF(A104="",0,COUNTIF(tbl_Partenaires_Projets[ID Partenaire],A104))</f>
        <v>0</v>
      </c>
      <c r="AU104" s="34">
        <f>IF(A104="",0,COUNTIF(tbl_Partenaires_Conventions[ID Partenaire],A104))</f>
        <v>0</v>
      </c>
      <c r="AV104" s="34">
        <f>IF(A104="",0,COUNTIFS(tbl_Partenaires_Conventions[ID Partenaire],A104,tbl_Partenaires_Conventions[Statut],"Active"))</f>
        <v>0</v>
      </c>
      <c r="AW104" s="34" t="str">
        <f ca="1">IF(A104="","",IF(COUNTIFS(tbl_Partenaires_Conventions[ID Partenaire],A104,tbl_Partenaires_Conventions[Statut],"Active")=0,"NON",IF(_xlfn.MINIFS(tbl_Partenaires_Conventions[Date fin],tbl_Partenaires_Conventions[ID Partenaire],A104,tbl_Partenaires_Conventions[Statut],"Active")-TODAY()&lt;=60,"OUI","NON")))</f>
        <v/>
      </c>
      <c r="AX104" s="34">
        <f>IF(A104="",0,COUNTIF(tbl_Partenaires_Documents[ID Partenaire],A104))</f>
        <v>0</v>
      </c>
      <c r="AY104" s="63" t="str">
        <f>IFERROR(AVERAGEIFS(tbl_Partenaires_Evaluations[Note globale],tbl_Partenaires_Evaluations[ID Partenaire],A104),"")</f>
        <v/>
      </c>
      <c r="AZ104" s="71" t="str">
        <f ca="1">IFERROR(_xlfn.MAXIFS(tbl_Partenaires_Evaluations[Date evaluation],tbl_Partenaires_Evaluations[ID Partenaire],A104),"")</f>
        <v/>
      </c>
      <c r="BA104" s="34">
        <f>IF(A104="",0,COUNTIF(tbl_Partenaires_Risques[ID Partenaire],A104))</f>
        <v>0</v>
      </c>
      <c r="BB104" s="34" t="str">
        <f>IF(A104="","",IF(COUNTIFS(tbl_Partenaires_Risques[ID Partenaire],A104,tbl_Partenaires_Risques[Niveau],"Eleve")+COUNTIFS(tbl_Partenaires_Risques[ID Partenaire],A104,tbl_Partenaires_Risques[Niveau],"Critique")&gt;0,"OUI","NON"))</f>
        <v/>
      </c>
      <c r="BC104" s="34">
        <f>IF(A104="",0,COUNTIF(tbl_Partenaires_Contacts[ID Partenaire],A104))</f>
        <v>0</v>
      </c>
      <c r="BD104" s="34">
        <f>IF(A104="",0,COUNTIFS(tbl_Partenaires_Opportunites[ID Partenaire],A104,tbl_Partenaires_Opportunites[Statut],"&lt;&gt;Cloturee"))</f>
        <v>0</v>
      </c>
      <c r="BE104" s="34">
        <f>IF(A104="",0,COUNTIF(tbl_Partenaires_Prospection[ID Partenaire],A104))</f>
        <v>0</v>
      </c>
      <c r="BF104" s="57"/>
      <c r="BG104" s="57"/>
      <c r="BH104" s="57"/>
      <c r="BI104" s="57"/>
      <c r="BJ104" s="57"/>
      <c r="BK104" s="57"/>
      <c r="BL104" s="57"/>
      <c r="BM104" s="57"/>
      <c r="BN104" s="57"/>
      <c r="BO104" s="57"/>
      <c r="BP104" s="57"/>
      <c r="BQ104" s="57"/>
      <c r="BR104" s="34" t="str">
        <f>IF(C104="","",IF(OR(COUNTIF(C56:C115,C104)&gt;1,AND(E104&lt;&gt;"",COUNTIF(E56:E115,E104)&gt;1),AND(S104&lt;&gt;"",COUNTIF(S56:S115,S104)&gt;1),AND(U104&lt;&gt;"",COUNTIF(U56:U115,U104)&gt;1)),"OUI","NON"))</f>
        <v/>
      </c>
      <c r="BS104" s="57"/>
    </row>
    <row r="105" spans="1:71" ht="15" customHeight="1">
      <c r="A105" s="34" t="str">
        <f t="shared" si="2"/>
        <v/>
      </c>
      <c r="B105" s="57"/>
      <c r="C105" s="57"/>
      <c r="D105" s="57"/>
      <c r="E105" s="57"/>
      <c r="F105" s="57"/>
      <c r="G105" s="57"/>
      <c r="H105" s="57"/>
      <c r="I105" s="57"/>
      <c r="J105" s="70"/>
      <c r="K105" s="57"/>
      <c r="L105" s="57"/>
      <c r="M105" s="57"/>
      <c r="N105" s="34" t="str">
        <f>IFERROR(INDEX(PARAMETRES!$B$536:$B$586,MATCH(M105,PARAMETRES!$J$536:$J$586,0)),"")</f>
        <v/>
      </c>
      <c r="O105" s="34" t="str">
        <f>IFERROR(INDEX(PARAMETRES!$D$536:$D$586,MATCH(M105,PARAMETRES!$J$536:$J$586,0)),"")</f>
        <v/>
      </c>
      <c r="P105" s="34" t="str">
        <f>IFERROR(INDEX(PARAMETRES!$F$536:$F$586,MATCH(M105,PARAMETRES!$J$536:$J$586,0)),"")</f>
        <v/>
      </c>
      <c r="Q105" s="34" t="str">
        <f>IFERROR(INDEX(PARAMETRES!$H$536:$H$586,MATCH(M105,PARAMETRES!$J$536:$J$586,0)),"")</f>
        <v/>
      </c>
      <c r="R105" s="57"/>
      <c r="S105" s="57"/>
      <c r="T105" s="57"/>
      <c r="U105" s="57"/>
      <c r="V105" s="57"/>
      <c r="W105" s="57"/>
      <c r="X105" s="57"/>
      <c r="Y105" s="57"/>
      <c r="Z105" s="57"/>
      <c r="AA105" s="57"/>
      <c r="AB105" s="57"/>
      <c r="AC105" s="50"/>
      <c r="AD105" s="57"/>
      <c r="AE105" s="57"/>
      <c r="AF105" s="57"/>
      <c r="AG105" s="57"/>
      <c r="AH105" s="34" t="str">
        <f>IFERROR(INDEX(PARAMETRES!$B$536:$B$586,MATCH(AG105,PARAMETRES!$J$536:$J$586,0)),"")</f>
        <v/>
      </c>
      <c r="AI105" s="34" t="str">
        <f>IFERROR(INDEX(PARAMETRES!$D$536:$D$586,MATCH(AG105,PARAMETRES!$J$536:$J$586,0)),"")</f>
        <v/>
      </c>
      <c r="AJ105" s="34" t="str">
        <f>IFERROR(INDEX(PARAMETRES!$F$536:$F$586,MATCH(AG105,PARAMETRES!$J$536:$J$586,0)),"")</f>
        <v/>
      </c>
      <c r="AK105" s="34" t="str">
        <f>IFERROR(INDEX(PARAMETRES!$H$536:$H$586,MATCH(AG105,PARAMETRES!$J$536:$J$586,0)),"")</f>
        <v/>
      </c>
      <c r="AL105" s="50"/>
      <c r="AM105" s="50"/>
      <c r="AN105" s="57"/>
      <c r="AO105" s="57"/>
      <c r="AP105" s="51"/>
      <c r="AQ105" s="51"/>
      <c r="AR105" s="52" t="str">
        <f t="shared" si="3"/>
        <v/>
      </c>
      <c r="AS105" s="57"/>
      <c r="AT105" s="34">
        <f>IF(A105="",0,COUNTIF(tbl_Partenaires_Projets[ID Partenaire],A105))</f>
        <v>0</v>
      </c>
      <c r="AU105" s="34">
        <f>IF(A105="",0,COUNTIF(tbl_Partenaires_Conventions[ID Partenaire],A105))</f>
        <v>0</v>
      </c>
      <c r="AV105" s="34">
        <f>IF(A105="",0,COUNTIFS(tbl_Partenaires_Conventions[ID Partenaire],A105,tbl_Partenaires_Conventions[Statut],"Active"))</f>
        <v>0</v>
      </c>
      <c r="AW105" s="34" t="str">
        <f ca="1">IF(A105="","",IF(COUNTIFS(tbl_Partenaires_Conventions[ID Partenaire],A105,tbl_Partenaires_Conventions[Statut],"Active")=0,"NON",IF(_xlfn.MINIFS(tbl_Partenaires_Conventions[Date fin],tbl_Partenaires_Conventions[ID Partenaire],A105,tbl_Partenaires_Conventions[Statut],"Active")-TODAY()&lt;=60,"OUI","NON")))</f>
        <v/>
      </c>
      <c r="AX105" s="34">
        <f>IF(A105="",0,COUNTIF(tbl_Partenaires_Documents[ID Partenaire],A105))</f>
        <v>0</v>
      </c>
      <c r="AY105" s="63" t="str">
        <f>IFERROR(AVERAGEIFS(tbl_Partenaires_Evaluations[Note globale],tbl_Partenaires_Evaluations[ID Partenaire],A105),"")</f>
        <v/>
      </c>
      <c r="AZ105" s="71" t="str">
        <f ca="1">IFERROR(_xlfn.MAXIFS(tbl_Partenaires_Evaluations[Date evaluation],tbl_Partenaires_Evaluations[ID Partenaire],A105),"")</f>
        <v/>
      </c>
      <c r="BA105" s="34">
        <f>IF(A105="",0,COUNTIF(tbl_Partenaires_Risques[ID Partenaire],A105))</f>
        <v>0</v>
      </c>
      <c r="BB105" s="34" t="str">
        <f>IF(A105="","",IF(COUNTIFS(tbl_Partenaires_Risques[ID Partenaire],A105,tbl_Partenaires_Risques[Niveau],"Eleve")+COUNTIFS(tbl_Partenaires_Risques[ID Partenaire],A105,tbl_Partenaires_Risques[Niveau],"Critique")&gt;0,"OUI","NON"))</f>
        <v/>
      </c>
      <c r="BC105" s="34">
        <f>IF(A105="",0,COUNTIF(tbl_Partenaires_Contacts[ID Partenaire],A105))</f>
        <v>0</v>
      </c>
      <c r="BD105" s="34">
        <f>IF(A105="",0,COUNTIFS(tbl_Partenaires_Opportunites[ID Partenaire],A105,tbl_Partenaires_Opportunites[Statut],"&lt;&gt;Cloturee"))</f>
        <v>0</v>
      </c>
      <c r="BE105" s="34">
        <f>IF(A105="",0,COUNTIF(tbl_Partenaires_Prospection[ID Partenaire],A105))</f>
        <v>0</v>
      </c>
      <c r="BF105" s="57"/>
      <c r="BG105" s="57"/>
      <c r="BH105" s="57"/>
      <c r="BI105" s="57"/>
      <c r="BJ105" s="57"/>
      <c r="BK105" s="57"/>
      <c r="BL105" s="57"/>
      <c r="BM105" s="57"/>
      <c r="BN105" s="57"/>
      <c r="BO105" s="57"/>
      <c r="BP105" s="57"/>
      <c r="BQ105" s="57"/>
      <c r="BR105" s="34" t="str">
        <f>IF(C105="","",IF(OR(COUNTIF(C56:C115,C105)&gt;1,AND(E105&lt;&gt;"",COUNTIF(E56:E115,E105)&gt;1),AND(S105&lt;&gt;"",COUNTIF(S56:S115,S105)&gt;1),AND(U105&lt;&gt;"",COUNTIF(U56:U115,U105)&gt;1)),"OUI","NON"))</f>
        <v/>
      </c>
      <c r="BS105" s="57"/>
    </row>
    <row r="106" spans="1:71" ht="15" customHeight="1">
      <c r="A106" s="34" t="str">
        <f t="shared" si="2"/>
        <v/>
      </c>
      <c r="B106" s="57"/>
      <c r="C106" s="57"/>
      <c r="D106" s="57"/>
      <c r="E106" s="57"/>
      <c r="F106" s="57"/>
      <c r="G106" s="57"/>
      <c r="H106" s="57"/>
      <c r="I106" s="57"/>
      <c r="J106" s="70"/>
      <c r="K106" s="57"/>
      <c r="L106" s="57"/>
      <c r="M106" s="57"/>
      <c r="N106" s="34" t="str">
        <f>IFERROR(INDEX(PARAMETRES!$B$536:$B$586,MATCH(M106,PARAMETRES!$J$536:$J$586,0)),"")</f>
        <v/>
      </c>
      <c r="O106" s="34" t="str">
        <f>IFERROR(INDEX(PARAMETRES!$D$536:$D$586,MATCH(M106,PARAMETRES!$J$536:$J$586,0)),"")</f>
        <v/>
      </c>
      <c r="P106" s="34" t="str">
        <f>IFERROR(INDEX(PARAMETRES!$F$536:$F$586,MATCH(M106,PARAMETRES!$J$536:$J$586,0)),"")</f>
        <v/>
      </c>
      <c r="Q106" s="34" t="str">
        <f>IFERROR(INDEX(PARAMETRES!$H$536:$H$586,MATCH(M106,PARAMETRES!$J$536:$J$586,0)),"")</f>
        <v/>
      </c>
      <c r="R106" s="57"/>
      <c r="S106" s="57"/>
      <c r="T106" s="57"/>
      <c r="U106" s="57"/>
      <c r="V106" s="57"/>
      <c r="W106" s="57"/>
      <c r="X106" s="57"/>
      <c r="Y106" s="57"/>
      <c r="Z106" s="57"/>
      <c r="AA106" s="57"/>
      <c r="AB106" s="57"/>
      <c r="AC106" s="50"/>
      <c r="AD106" s="57"/>
      <c r="AE106" s="57"/>
      <c r="AF106" s="57"/>
      <c r="AG106" s="57"/>
      <c r="AH106" s="34" t="str">
        <f>IFERROR(INDEX(PARAMETRES!$B$536:$B$586,MATCH(AG106,PARAMETRES!$J$536:$J$586,0)),"")</f>
        <v/>
      </c>
      <c r="AI106" s="34" t="str">
        <f>IFERROR(INDEX(PARAMETRES!$D$536:$D$586,MATCH(AG106,PARAMETRES!$J$536:$J$586,0)),"")</f>
        <v/>
      </c>
      <c r="AJ106" s="34" t="str">
        <f>IFERROR(INDEX(PARAMETRES!$F$536:$F$586,MATCH(AG106,PARAMETRES!$J$536:$J$586,0)),"")</f>
        <v/>
      </c>
      <c r="AK106" s="34" t="str">
        <f>IFERROR(INDEX(PARAMETRES!$H$536:$H$586,MATCH(AG106,PARAMETRES!$J$536:$J$586,0)),"")</f>
        <v/>
      </c>
      <c r="AL106" s="50"/>
      <c r="AM106" s="50"/>
      <c r="AN106" s="57"/>
      <c r="AO106" s="57"/>
      <c r="AP106" s="51"/>
      <c r="AQ106" s="51"/>
      <c r="AR106" s="52" t="str">
        <f t="shared" si="3"/>
        <v/>
      </c>
      <c r="AS106" s="57"/>
      <c r="AT106" s="34">
        <f>IF(A106="",0,COUNTIF(tbl_Partenaires_Projets[ID Partenaire],A106))</f>
        <v>0</v>
      </c>
      <c r="AU106" s="34">
        <f>IF(A106="",0,COUNTIF(tbl_Partenaires_Conventions[ID Partenaire],A106))</f>
        <v>0</v>
      </c>
      <c r="AV106" s="34">
        <f>IF(A106="",0,COUNTIFS(tbl_Partenaires_Conventions[ID Partenaire],A106,tbl_Partenaires_Conventions[Statut],"Active"))</f>
        <v>0</v>
      </c>
      <c r="AW106" s="34" t="str">
        <f ca="1">IF(A106="","",IF(COUNTIFS(tbl_Partenaires_Conventions[ID Partenaire],A106,tbl_Partenaires_Conventions[Statut],"Active")=0,"NON",IF(_xlfn.MINIFS(tbl_Partenaires_Conventions[Date fin],tbl_Partenaires_Conventions[ID Partenaire],A106,tbl_Partenaires_Conventions[Statut],"Active")-TODAY()&lt;=60,"OUI","NON")))</f>
        <v/>
      </c>
      <c r="AX106" s="34">
        <f>IF(A106="",0,COUNTIF(tbl_Partenaires_Documents[ID Partenaire],A106))</f>
        <v>0</v>
      </c>
      <c r="AY106" s="63" t="str">
        <f>IFERROR(AVERAGEIFS(tbl_Partenaires_Evaluations[Note globale],tbl_Partenaires_Evaluations[ID Partenaire],A106),"")</f>
        <v/>
      </c>
      <c r="AZ106" s="71" t="str">
        <f ca="1">IFERROR(_xlfn.MAXIFS(tbl_Partenaires_Evaluations[Date evaluation],tbl_Partenaires_Evaluations[ID Partenaire],A106),"")</f>
        <v/>
      </c>
      <c r="BA106" s="34">
        <f>IF(A106="",0,COUNTIF(tbl_Partenaires_Risques[ID Partenaire],A106))</f>
        <v>0</v>
      </c>
      <c r="BB106" s="34" t="str">
        <f>IF(A106="","",IF(COUNTIFS(tbl_Partenaires_Risques[ID Partenaire],A106,tbl_Partenaires_Risques[Niveau],"Eleve")+COUNTIFS(tbl_Partenaires_Risques[ID Partenaire],A106,tbl_Partenaires_Risques[Niveau],"Critique")&gt;0,"OUI","NON"))</f>
        <v/>
      </c>
      <c r="BC106" s="34">
        <f>IF(A106="",0,COUNTIF(tbl_Partenaires_Contacts[ID Partenaire],A106))</f>
        <v>0</v>
      </c>
      <c r="BD106" s="34">
        <f>IF(A106="",0,COUNTIFS(tbl_Partenaires_Opportunites[ID Partenaire],A106,tbl_Partenaires_Opportunites[Statut],"&lt;&gt;Cloturee"))</f>
        <v>0</v>
      </c>
      <c r="BE106" s="34">
        <f>IF(A106="",0,COUNTIF(tbl_Partenaires_Prospection[ID Partenaire],A106))</f>
        <v>0</v>
      </c>
      <c r="BF106" s="57"/>
      <c r="BG106" s="57"/>
      <c r="BH106" s="57"/>
      <c r="BI106" s="57"/>
      <c r="BJ106" s="57"/>
      <c r="BK106" s="57"/>
      <c r="BL106" s="57"/>
      <c r="BM106" s="57"/>
      <c r="BN106" s="57"/>
      <c r="BO106" s="57"/>
      <c r="BP106" s="57"/>
      <c r="BQ106" s="57"/>
      <c r="BR106" s="34" t="str">
        <f>IF(C106="","",IF(OR(COUNTIF(C56:C115,C106)&gt;1,AND(E106&lt;&gt;"",COUNTIF(E56:E115,E106)&gt;1),AND(S106&lt;&gt;"",COUNTIF(S56:S115,S106)&gt;1),AND(U106&lt;&gt;"",COUNTIF(U56:U115,U106)&gt;1)),"OUI","NON"))</f>
        <v/>
      </c>
      <c r="BS106" s="57"/>
    </row>
    <row r="107" spans="1:71" ht="15" customHeight="1">
      <c r="A107" s="34" t="str">
        <f t="shared" si="2"/>
        <v/>
      </c>
      <c r="B107" s="57"/>
      <c r="C107" s="57"/>
      <c r="D107" s="57"/>
      <c r="E107" s="57"/>
      <c r="F107" s="57"/>
      <c r="G107" s="57"/>
      <c r="H107" s="57"/>
      <c r="I107" s="57"/>
      <c r="J107" s="70"/>
      <c r="K107" s="57"/>
      <c r="L107" s="57"/>
      <c r="M107" s="57"/>
      <c r="N107" s="34" t="str">
        <f>IFERROR(INDEX(PARAMETRES!$B$536:$B$586,MATCH(M107,PARAMETRES!$J$536:$J$586,0)),"")</f>
        <v/>
      </c>
      <c r="O107" s="34" t="str">
        <f>IFERROR(INDEX(PARAMETRES!$D$536:$D$586,MATCH(M107,PARAMETRES!$J$536:$J$586,0)),"")</f>
        <v/>
      </c>
      <c r="P107" s="34" t="str">
        <f>IFERROR(INDEX(PARAMETRES!$F$536:$F$586,MATCH(M107,PARAMETRES!$J$536:$J$586,0)),"")</f>
        <v/>
      </c>
      <c r="Q107" s="34" t="str">
        <f>IFERROR(INDEX(PARAMETRES!$H$536:$H$586,MATCH(M107,PARAMETRES!$J$536:$J$586,0)),"")</f>
        <v/>
      </c>
      <c r="R107" s="57"/>
      <c r="S107" s="57"/>
      <c r="T107" s="57"/>
      <c r="U107" s="57"/>
      <c r="V107" s="57"/>
      <c r="W107" s="57"/>
      <c r="X107" s="57"/>
      <c r="Y107" s="57"/>
      <c r="Z107" s="57"/>
      <c r="AA107" s="57"/>
      <c r="AB107" s="57"/>
      <c r="AC107" s="50"/>
      <c r="AD107" s="57"/>
      <c r="AE107" s="57"/>
      <c r="AF107" s="57"/>
      <c r="AG107" s="57"/>
      <c r="AH107" s="34" t="str">
        <f>IFERROR(INDEX(PARAMETRES!$B$536:$B$586,MATCH(AG107,PARAMETRES!$J$536:$J$586,0)),"")</f>
        <v/>
      </c>
      <c r="AI107" s="34" t="str">
        <f>IFERROR(INDEX(PARAMETRES!$D$536:$D$586,MATCH(AG107,PARAMETRES!$J$536:$J$586,0)),"")</f>
        <v/>
      </c>
      <c r="AJ107" s="34" t="str">
        <f>IFERROR(INDEX(PARAMETRES!$F$536:$F$586,MATCH(AG107,PARAMETRES!$J$536:$J$586,0)),"")</f>
        <v/>
      </c>
      <c r="AK107" s="34" t="str">
        <f>IFERROR(INDEX(PARAMETRES!$H$536:$H$586,MATCH(AG107,PARAMETRES!$J$536:$J$586,0)),"")</f>
        <v/>
      </c>
      <c r="AL107" s="50"/>
      <c r="AM107" s="50"/>
      <c r="AN107" s="57"/>
      <c r="AO107" s="57"/>
      <c r="AP107" s="51"/>
      <c r="AQ107" s="51"/>
      <c r="AR107" s="52" t="str">
        <f t="shared" si="3"/>
        <v/>
      </c>
      <c r="AS107" s="57"/>
      <c r="AT107" s="34">
        <f>IF(A107="",0,COUNTIF(tbl_Partenaires_Projets[ID Partenaire],A107))</f>
        <v>0</v>
      </c>
      <c r="AU107" s="34">
        <f>IF(A107="",0,COUNTIF(tbl_Partenaires_Conventions[ID Partenaire],A107))</f>
        <v>0</v>
      </c>
      <c r="AV107" s="34">
        <f>IF(A107="",0,COUNTIFS(tbl_Partenaires_Conventions[ID Partenaire],A107,tbl_Partenaires_Conventions[Statut],"Active"))</f>
        <v>0</v>
      </c>
      <c r="AW107" s="34" t="str">
        <f ca="1">IF(A107="","",IF(COUNTIFS(tbl_Partenaires_Conventions[ID Partenaire],A107,tbl_Partenaires_Conventions[Statut],"Active")=0,"NON",IF(_xlfn.MINIFS(tbl_Partenaires_Conventions[Date fin],tbl_Partenaires_Conventions[ID Partenaire],A107,tbl_Partenaires_Conventions[Statut],"Active")-TODAY()&lt;=60,"OUI","NON")))</f>
        <v/>
      </c>
      <c r="AX107" s="34">
        <f>IF(A107="",0,COUNTIF(tbl_Partenaires_Documents[ID Partenaire],A107))</f>
        <v>0</v>
      </c>
      <c r="AY107" s="63" t="str">
        <f>IFERROR(AVERAGEIFS(tbl_Partenaires_Evaluations[Note globale],tbl_Partenaires_Evaluations[ID Partenaire],A107),"")</f>
        <v/>
      </c>
      <c r="AZ107" s="71" t="str">
        <f ca="1">IFERROR(_xlfn.MAXIFS(tbl_Partenaires_Evaluations[Date evaluation],tbl_Partenaires_Evaluations[ID Partenaire],A107),"")</f>
        <v/>
      </c>
      <c r="BA107" s="34">
        <f>IF(A107="",0,COUNTIF(tbl_Partenaires_Risques[ID Partenaire],A107))</f>
        <v>0</v>
      </c>
      <c r="BB107" s="34" t="str">
        <f>IF(A107="","",IF(COUNTIFS(tbl_Partenaires_Risques[ID Partenaire],A107,tbl_Partenaires_Risques[Niveau],"Eleve")+COUNTIFS(tbl_Partenaires_Risques[ID Partenaire],A107,tbl_Partenaires_Risques[Niveau],"Critique")&gt;0,"OUI","NON"))</f>
        <v/>
      </c>
      <c r="BC107" s="34">
        <f>IF(A107="",0,COUNTIF(tbl_Partenaires_Contacts[ID Partenaire],A107))</f>
        <v>0</v>
      </c>
      <c r="BD107" s="34">
        <f>IF(A107="",0,COUNTIFS(tbl_Partenaires_Opportunites[ID Partenaire],A107,tbl_Partenaires_Opportunites[Statut],"&lt;&gt;Cloturee"))</f>
        <v>0</v>
      </c>
      <c r="BE107" s="34">
        <f>IF(A107="",0,COUNTIF(tbl_Partenaires_Prospection[ID Partenaire],A107))</f>
        <v>0</v>
      </c>
      <c r="BF107" s="57"/>
      <c r="BG107" s="57"/>
      <c r="BH107" s="57"/>
      <c r="BI107" s="57"/>
      <c r="BJ107" s="57"/>
      <c r="BK107" s="57"/>
      <c r="BL107" s="57"/>
      <c r="BM107" s="57"/>
      <c r="BN107" s="57"/>
      <c r="BO107" s="57"/>
      <c r="BP107" s="57"/>
      <c r="BQ107" s="57"/>
      <c r="BR107" s="34" t="str">
        <f>IF(C107="","",IF(OR(COUNTIF(C56:C115,C107)&gt;1,AND(E107&lt;&gt;"",COUNTIF(E56:E115,E107)&gt;1),AND(S107&lt;&gt;"",COUNTIF(S56:S115,S107)&gt;1),AND(U107&lt;&gt;"",COUNTIF(U56:U115,U107)&gt;1)),"OUI","NON"))</f>
        <v/>
      </c>
      <c r="BS107" s="57"/>
    </row>
    <row r="108" spans="1:71" ht="15" customHeight="1">
      <c r="A108" s="34" t="str">
        <f t="shared" si="2"/>
        <v/>
      </c>
      <c r="B108" s="57"/>
      <c r="C108" s="57"/>
      <c r="D108" s="57"/>
      <c r="E108" s="57"/>
      <c r="F108" s="57"/>
      <c r="G108" s="57"/>
      <c r="H108" s="57"/>
      <c r="I108" s="57"/>
      <c r="J108" s="70"/>
      <c r="K108" s="57"/>
      <c r="L108" s="57"/>
      <c r="M108" s="57"/>
      <c r="N108" s="34" t="str">
        <f>IFERROR(INDEX(PARAMETRES!$B$536:$B$586,MATCH(M108,PARAMETRES!$J$536:$J$586,0)),"")</f>
        <v/>
      </c>
      <c r="O108" s="34" t="str">
        <f>IFERROR(INDEX(PARAMETRES!$D$536:$D$586,MATCH(M108,PARAMETRES!$J$536:$J$586,0)),"")</f>
        <v/>
      </c>
      <c r="P108" s="34" t="str">
        <f>IFERROR(INDEX(PARAMETRES!$F$536:$F$586,MATCH(M108,PARAMETRES!$J$536:$J$586,0)),"")</f>
        <v/>
      </c>
      <c r="Q108" s="34" t="str">
        <f>IFERROR(INDEX(PARAMETRES!$H$536:$H$586,MATCH(M108,PARAMETRES!$J$536:$J$586,0)),"")</f>
        <v/>
      </c>
      <c r="R108" s="57"/>
      <c r="S108" s="57"/>
      <c r="T108" s="57"/>
      <c r="U108" s="57"/>
      <c r="V108" s="57"/>
      <c r="W108" s="57"/>
      <c r="X108" s="57"/>
      <c r="Y108" s="57"/>
      <c r="Z108" s="57"/>
      <c r="AA108" s="57"/>
      <c r="AB108" s="57"/>
      <c r="AC108" s="50"/>
      <c r="AD108" s="57"/>
      <c r="AE108" s="57"/>
      <c r="AF108" s="57"/>
      <c r="AG108" s="57"/>
      <c r="AH108" s="34" t="str">
        <f>IFERROR(INDEX(PARAMETRES!$B$536:$B$586,MATCH(AG108,PARAMETRES!$J$536:$J$586,0)),"")</f>
        <v/>
      </c>
      <c r="AI108" s="34" t="str">
        <f>IFERROR(INDEX(PARAMETRES!$D$536:$D$586,MATCH(AG108,PARAMETRES!$J$536:$J$586,0)),"")</f>
        <v/>
      </c>
      <c r="AJ108" s="34" t="str">
        <f>IFERROR(INDEX(PARAMETRES!$F$536:$F$586,MATCH(AG108,PARAMETRES!$J$536:$J$586,0)),"")</f>
        <v/>
      </c>
      <c r="AK108" s="34" t="str">
        <f>IFERROR(INDEX(PARAMETRES!$H$536:$H$586,MATCH(AG108,PARAMETRES!$J$536:$J$586,0)),"")</f>
        <v/>
      </c>
      <c r="AL108" s="50"/>
      <c r="AM108" s="50"/>
      <c r="AN108" s="57"/>
      <c r="AO108" s="57"/>
      <c r="AP108" s="51"/>
      <c r="AQ108" s="51"/>
      <c r="AR108" s="52" t="str">
        <f t="shared" si="3"/>
        <v/>
      </c>
      <c r="AS108" s="57"/>
      <c r="AT108" s="34">
        <f>IF(A108="",0,COUNTIF(tbl_Partenaires_Projets[ID Partenaire],A108))</f>
        <v>0</v>
      </c>
      <c r="AU108" s="34">
        <f>IF(A108="",0,COUNTIF(tbl_Partenaires_Conventions[ID Partenaire],A108))</f>
        <v>0</v>
      </c>
      <c r="AV108" s="34">
        <f>IF(A108="",0,COUNTIFS(tbl_Partenaires_Conventions[ID Partenaire],A108,tbl_Partenaires_Conventions[Statut],"Active"))</f>
        <v>0</v>
      </c>
      <c r="AW108" s="34" t="str">
        <f ca="1">IF(A108="","",IF(COUNTIFS(tbl_Partenaires_Conventions[ID Partenaire],A108,tbl_Partenaires_Conventions[Statut],"Active")=0,"NON",IF(_xlfn.MINIFS(tbl_Partenaires_Conventions[Date fin],tbl_Partenaires_Conventions[ID Partenaire],A108,tbl_Partenaires_Conventions[Statut],"Active")-TODAY()&lt;=60,"OUI","NON")))</f>
        <v/>
      </c>
      <c r="AX108" s="34">
        <f>IF(A108="",0,COUNTIF(tbl_Partenaires_Documents[ID Partenaire],A108))</f>
        <v>0</v>
      </c>
      <c r="AY108" s="63" t="str">
        <f>IFERROR(AVERAGEIFS(tbl_Partenaires_Evaluations[Note globale],tbl_Partenaires_Evaluations[ID Partenaire],A108),"")</f>
        <v/>
      </c>
      <c r="AZ108" s="71" t="str">
        <f ca="1">IFERROR(_xlfn.MAXIFS(tbl_Partenaires_Evaluations[Date evaluation],tbl_Partenaires_Evaluations[ID Partenaire],A108),"")</f>
        <v/>
      </c>
      <c r="BA108" s="34">
        <f>IF(A108="",0,COUNTIF(tbl_Partenaires_Risques[ID Partenaire],A108))</f>
        <v>0</v>
      </c>
      <c r="BB108" s="34" t="str">
        <f>IF(A108="","",IF(COUNTIFS(tbl_Partenaires_Risques[ID Partenaire],A108,tbl_Partenaires_Risques[Niveau],"Eleve")+COUNTIFS(tbl_Partenaires_Risques[ID Partenaire],A108,tbl_Partenaires_Risques[Niveau],"Critique")&gt;0,"OUI","NON"))</f>
        <v/>
      </c>
      <c r="BC108" s="34">
        <f>IF(A108="",0,COUNTIF(tbl_Partenaires_Contacts[ID Partenaire],A108))</f>
        <v>0</v>
      </c>
      <c r="BD108" s="34">
        <f>IF(A108="",0,COUNTIFS(tbl_Partenaires_Opportunites[ID Partenaire],A108,tbl_Partenaires_Opportunites[Statut],"&lt;&gt;Cloturee"))</f>
        <v>0</v>
      </c>
      <c r="BE108" s="34">
        <f>IF(A108="",0,COUNTIF(tbl_Partenaires_Prospection[ID Partenaire],A108))</f>
        <v>0</v>
      </c>
      <c r="BF108" s="57"/>
      <c r="BG108" s="57"/>
      <c r="BH108" s="57"/>
      <c r="BI108" s="57"/>
      <c r="BJ108" s="57"/>
      <c r="BK108" s="57"/>
      <c r="BL108" s="57"/>
      <c r="BM108" s="57"/>
      <c r="BN108" s="57"/>
      <c r="BO108" s="57"/>
      <c r="BP108" s="57"/>
      <c r="BQ108" s="57"/>
      <c r="BR108" s="34" t="str">
        <f>IF(C108="","",IF(OR(COUNTIF(C56:C115,C108)&gt;1,AND(E108&lt;&gt;"",COUNTIF(E56:E115,E108)&gt;1),AND(S108&lt;&gt;"",COUNTIF(S56:S115,S108)&gt;1),AND(U108&lt;&gt;"",COUNTIF(U56:U115,U108)&gt;1)),"OUI","NON"))</f>
        <v/>
      </c>
      <c r="BS108" s="57"/>
    </row>
    <row r="109" spans="1:71" ht="15" customHeight="1">
      <c r="A109" s="34" t="str">
        <f t="shared" si="2"/>
        <v/>
      </c>
      <c r="B109" s="57"/>
      <c r="C109" s="57"/>
      <c r="D109" s="57"/>
      <c r="E109" s="57"/>
      <c r="F109" s="57"/>
      <c r="G109" s="57"/>
      <c r="H109" s="57"/>
      <c r="I109" s="57"/>
      <c r="J109" s="70"/>
      <c r="K109" s="57"/>
      <c r="L109" s="57"/>
      <c r="M109" s="57"/>
      <c r="N109" s="34" t="str">
        <f>IFERROR(INDEX(PARAMETRES!$B$536:$B$586,MATCH(M109,PARAMETRES!$J$536:$J$586,0)),"")</f>
        <v/>
      </c>
      <c r="O109" s="34" t="str">
        <f>IFERROR(INDEX(PARAMETRES!$D$536:$D$586,MATCH(M109,PARAMETRES!$J$536:$J$586,0)),"")</f>
        <v/>
      </c>
      <c r="P109" s="34" t="str">
        <f>IFERROR(INDEX(PARAMETRES!$F$536:$F$586,MATCH(M109,PARAMETRES!$J$536:$J$586,0)),"")</f>
        <v/>
      </c>
      <c r="Q109" s="34" t="str">
        <f>IFERROR(INDEX(PARAMETRES!$H$536:$H$586,MATCH(M109,PARAMETRES!$J$536:$J$586,0)),"")</f>
        <v/>
      </c>
      <c r="R109" s="57"/>
      <c r="S109" s="57"/>
      <c r="T109" s="57"/>
      <c r="U109" s="57"/>
      <c r="V109" s="57"/>
      <c r="W109" s="57"/>
      <c r="X109" s="57"/>
      <c r="Y109" s="57"/>
      <c r="Z109" s="57"/>
      <c r="AA109" s="57"/>
      <c r="AB109" s="57"/>
      <c r="AC109" s="50"/>
      <c r="AD109" s="57"/>
      <c r="AE109" s="57"/>
      <c r="AF109" s="57"/>
      <c r="AG109" s="57"/>
      <c r="AH109" s="34" t="str">
        <f>IFERROR(INDEX(PARAMETRES!$B$536:$B$586,MATCH(AG109,PARAMETRES!$J$536:$J$586,0)),"")</f>
        <v/>
      </c>
      <c r="AI109" s="34" t="str">
        <f>IFERROR(INDEX(PARAMETRES!$D$536:$D$586,MATCH(AG109,PARAMETRES!$J$536:$J$586,0)),"")</f>
        <v/>
      </c>
      <c r="AJ109" s="34" t="str">
        <f>IFERROR(INDEX(PARAMETRES!$F$536:$F$586,MATCH(AG109,PARAMETRES!$J$536:$J$586,0)),"")</f>
        <v/>
      </c>
      <c r="AK109" s="34" t="str">
        <f>IFERROR(INDEX(PARAMETRES!$H$536:$H$586,MATCH(AG109,PARAMETRES!$J$536:$J$586,0)),"")</f>
        <v/>
      </c>
      <c r="AL109" s="50"/>
      <c r="AM109" s="50"/>
      <c r="AN109" s="57"/>
      <c r="AO109" s="57"/>
      <c r="AP109" s="51"/>
      <c r="AQ109" s="51"/>
      <c r="AR109" s="52" t="str">
        <f t="shared" si="3"/>
        <v/>
      </c>
      <c r="AS109" s="57"/>
      <c r="AT109" s="34">
        <f>IF(A109="",0,COUNTIF(tbl_Partenaires_Projets[ID Partenaire],A109))</f>
        <v>0</v>
      </c>
      <c r="AU109" s="34">
        <f>IF(A109="",0,COUNTIF(tbl_Partenaires_Conventions[ID Partenaire],A109))</f>
        <v>0</v>
      </c>
      <c r="AV109" s="34">
        <f>IF(A109="",0,COUNTIFS(tbl_Partenaires_Conventions[ID Partenaire],A109,tbl_Partenaires_Conventions[Statut],"Active"))</f>
        <v>0</v>
      </c>
      <c r="AW109" s="34" t="str">
        <f ca="1">IF(A109="","",IF(COUNTIFS(tbl_Partenaires_Conventions[ID Partenaire],A109,tbl_Partenaires_Conventions[Statut],"Active")=0,"NON",IF(_xlfn.MINIFS(tbl_Partenaires_Conventions[Date fin],tbl_Partenaires_Conventions[ID Partenaire],A109,tbl_Partenaires_Conventions[Statut],"Active")-TODAY()&lt;=60,"OUI","NON")))</f>
        <v/>
      </c>
      <c r="AX109" s="34">
        <f>IF(A109="",0,COUNTIF(tbl_Partenaires_Documents[ID Partenaire],A109))</f>
        <v>0</v>
      </c>
      <c r="AY109" s="63" t="str">
        <f>IFERROR(AVERAGEIFS(tbl_Partenaires_Evaluations[Note globale],tbl_Partenaires_Evaluations[ID Partenaire],A109),"")</f>
        <v/>
      </c>
      <c r="AZ109" s="71" t="str">
        <f ca="1">IFERROR(_xlfn.MAXIFS(tbl_Partenaires_Evaluations[Date evaluation],tbl_Partenaires_Evaluations[ID Partenaire],A109),"")</f>
        <v/>
      </c>
      <c r="BA109" s="34">
        <f>IF(A109="",0,COUNTIF(tbl_Partenaires_Risques[ID Partenaire],A109))</f>
        <v>0</v>
      </c>
      <c r="BB109" s="34" t="str">
        <f>IF(A109="","",IF(COUNTIFS(tbl_Partenaires_Risques[ID Partenaire],A109,tbl_Partenaires_Risques[Niveau],"Eleve")+COUNTIFS(tbl_Partenaires_Risques[ID Partenaire],A109,tbl_Partenaires_Risques[Niveau],"Critique")&gt;0,"OUI","NON"))</f>
        <v/>
      </c>
      <c r="BC109" s="34">
        <f>IF(A109="",0,COUNTIF(tbl_Partenaires_Contacts[ID Partenaire],A109))</f>
        <v>0</v>
      </c>
      <c r="BD109" s="34">
        <f>IF(A109="",0,COUNTIFS(tbl_Partenaires_Opportunites[ID Partenaire],A109,tbl_Partenaires_Opportunites[Statut],"&lt;&gt;Cloturee"))</f>
        <v>0</v>
      </c>
      <c r="BE109" s="34">
        <f>IF(A109="",0,COUNTIF(tbl_Partenaires_Prospection[ID Partenaire],A109))</f>
        <v>0</v>
      </c>
      <c r="BF109" s="57"/>
      <c r="BG109" s="57"/>
      <c r="BH109" s="57"/>
      <c r="BI109" s="57"/>
      <c r="BJ109" s="57"/>
      <c r="BK109" s="57"/>
      <c r="BL109" s="57"/>
      <c r="BM109" s="57"/>
      <c r="BN109" s="57"/>
      <c r="BO109" s="57"/>
      <c r="BP109" s="57"/>
      <c r="BQ109" s="57"/>
      <c r="BR109" s="34" t="str">
        <f>IF(C109="","",IF(OR(COUNTIF(C56:C115,C109)&gt;1,AND(E109&lt;&gt;"",COUNTIF(E56:E115,E109)&gt;1),AND(S109&lt;&gt;"",COUNTIF(S56:S115,S109)&gt;1),AND(U109&lt;&gt;"",COUNTIF(U56:U115,U109)&gt;1)),"OUI","NON"))</f>
        <v/>
      </c>
      <c r="BS109" s="57"/>
    </row>
    <row r="110" spans="1:71" ht="15" customHeight="1">
      <c r="A110" s="34" t="str">
        <f t="shared" si="2"/>
        <v/>
      </c>
      <c r="B110" s="57"/>
      <c r="C110" s="57"/>
      <c r="D110" s="57"/>
      <c r="E110" s="57"/>
      <c r="F110" s="57"/>
      <c r="G110" s="57"/>
      <c r="H110" s="57"/>
      <c r="I110" s="57"/>
      <c r="J110" s="70"/>
      <c r="K110" s="57"/>
      <c r="L110" s="57"/>
      <c r="M110" s="57"/>
      <c r="N110" s="34" t="str">
        <f>IFERROR(INDEX(PARAMETRES!$B$536:$B$586,MATCH(M110,PARAMETRES!$J$536:$J$586,0)),"")</f>
        <v/>
      </c>
      <c r="O110" s="34" t="str">
        <f>IFERROR(INDEX(PARAMETRES!$D$536:$D$586,MATCH(M110,PARAMETRES!$J$536:$J$586,0)),"")</f>
        <v/>
      </c>
      <c r="P110" s="34" t="str">
        <f>IFERROR(INDEX(PARAMETRES!$F$536:$F$586,MATCH(M110,PARAMETRES!$J$536:$J$586,0)),"")</f>
        <v/>
      </c>
      <c r="Q110" s="34" t="str">
        <f>IFERROR(INDEX(PARAMETRES!$H$536:$H$586,MATCH(M110,PARAMETRES!$J$536:$J$586,0)),"")</f>
        <v/>
      </c>
      <c r="R110" s="57"/>
      <c r="S110" s="57"/>
      <c r="T110" s="57"/>
      <c r="U110" s="57"/>
      <c r="V110" s="57"/>
      <c r="W110" s="57"/>
      <c r="X110" s="57"/>
      <c r="Y110" s="57"/>
      <c r="Z110" s="57"/>
      <c r="AA110" s="57"/>
      <c r="AB110" s="57"/>
      <c r="AC110" s="50"/>
      <c r="AD110" s="57"/>
      <c r="AE110" s="57"/>
      <c r="AF110" s="57"/>
      <c r="AG110" s="57"/>
      <c r="AH110" s="34" t="str">
        <f>IFERROR(INDEX(PARAMETRES!$B$536:$B$586,MATCH(AG110,PARAMETRES!$J$536:$J$586,0)),"")</f>
        <v/>
      </c>
      <c r="AI110" s="34" t="str">
        <f>IFERROR(INDEX(PARAMETRES!$D$536:$D$586,MATCH(AG110,PARAMETRES!$J$536:$J$586,0)),"")</f>
        <v/>
      </c>
      <c r="AJ110" s="34" t="str">
        <f>IFERROR(INDEX(PARAMETRES!$F$536:$F$586,MATCH(AG110,PARAMETRES!$J$536:$J$586,0)),"")</f>
        <v/>
      </c>
      <c r="AK110" s="34" t="str">
        <f>IFERROR(INDEX(PARAMETRES!$H$536:$H$586,MATCH(AG110,PARAMETRES!$J$536:$J$586,0)),"")</f>
        <v/>
      </c>
      <c r="AL110" s="50"/>
      <c r="AM110" s="50"/>
      <c r="AN110" s="57"/>
      <c r="AO110" s="57"/>
      <c r="AP110" s="51"/>
      <c r="AQ110" s="51"/>
      <c r="AR110" s="52" t="str">
        <f t="shared" si="3"/>
        <v/>
      </c>
      <c r="AS110" s="57"/>
      <c r="AT110" s="34">
        <f>IF(A110="",0,COUNTIF(tbl_Partenaires_Projets[ID Partenaire],A110))</f>
        <v>0</v>
      </c>
      <c r="AU110" s="34">
        <f>IF(A110="",0,COUNTIF(tbl_Partenaires_Conventions[ID Partenaire],A110))</f>
        <v>0</v>
      </c>
      <c r="AV110" s="34">
        <f>IF(A110="",0,COUNTIFS(tbl_Partenaires_Conventions[ID Partenaire],A110,tbl_Partenaires_Conventions[Statut],"Active"))</f>
        <v>0</v>
      </c>
      <c r="AW110" s="34" t="str">
        <f ca="1">IF(A110="","",IF(COUNTIFS(tbl_Partenaires_Conventions[ID Partenaire],A110,tbl_Partenaires_Conventions[Statut],"Active")=0,"NON",IF(_xlfn.MINIFS(tbl_Partenaires_Conventions[Date fin],tbl_Partenaires_Conventions[ID Partenaire],A110,tbl_Partenaires_Conventions[Statut],"Active")-TODAY()&lt;=60,"OUI","NON")))</f>
        <v/>
      </c>
      <c r="AX110" s="34">
        <f>IF(A110="",0,COUNTIF(tbl_Partenaires_Documents[ID Partenaire],A110))</f>
        <v>0</v>
      </c>
      <c r="AY110" s="63" t="str">
        <f>IFERROR(AVERAGEIFS(tbl_Partenaires_Evaluations[Note globale],tbl_Partenaires_Evaluations[ID Partenaire],A110),"")</f>
        <v/>
      </c>
      <c r="AZ110" s="71" t="str">
        <f ca="1">IFERROR(_xlfn.MAXIFS(tbl_Partenaires_Evaluations[Date evaluation],tbl_Partenaires_Evaluations[ID Partenaire],A110),"")</f>
        <v/>
      </c>
      <c r="BA110" s="34">
        <f>IF(A110="",0,COUNTIF(tbl_Partenaires_Risques[ID Partenaire],A110))</f>
        <v>0</v>
      </c>
      <c r="BB110" s="34" t="str">
        <f>IF(A110="","",IF(COUNTIFS(tbl_Partenaires_Risques[ID Partenaire],A110,tbl_Partenaires_Risques[Niveau],"Eleve")+COUNTIFS(tbl_Partenaires_Risques[ID Partenaire],A110,tbl_Partenaires_Risques[Niveau],"Critique")&gt;0,"OUI","NON"))</f>
        <v/>
      </c>
      <c r="BC110" s="34">
        <f>IF(A110="",0,COUNTIF(tbl_Partenaires_Contacts[ID Partenaire],A110))</f>
        <v>0</v>
      </c>
      <c r="BD110" s="34">
        <f>IF(A110="",0,COUNTIFS(tbl_Partenaires_Opportunites[ID Partenaire],A110,tbl_Partenaires_Opportunites[Statut],"&lt;&gt;Cloturee"))</f>
        <v>0</v>
      </c>
      <c r="BE110" s="34">
        <f>IF(A110="",0,COUNTIF(tbl_Partenaires_Prospection[ID Partenaire],A110))</f>
        <v>0</v>
      </c>
      <c r="BF110" s="57"/>
      <c r="BG110" s="57"/>
      <c r="BH110" s="57"/>
      <c r="BI110" s="57"/>
      <c r="BJ110" s="57"/>
      <c r="BK110" s="57"/>
      <c r="BL110" s="57"/>
      <c r="BM110" s="57"/>
      <c r="BN110" s="57"/>
      <c r="BO110" s="57"/>
      <c r="BP110" s="57"/>
      <c r="BQ110" s="57"/>
      <c r="BR110" s="34" t="str">
        <f>IF(C110="","",IF(OR(COUNTIF(C56:C115,C110)&gt;1,AND(E110&lt;&gt;"",COUNTIF(E56:E115,E110)&gt;1),AND(S110&lt;&gt;"",COUNTIF(S56:S115,S110)&gt;1),AND(U110&lt;&gt;"",COUNTIF(U56:U115,U110)&gt;1)),"OUI","NON"))</f>
        <v/>
      </c>
      <c r="BS110" s="57"/>
    </row>
    <row r="111" spans="1:71" ht="15" customHeight="1">
      <c r="A111" s="34" t="str">
        <f t="shared" si="2"/>
        <v/>
      </c>
      <c r="B111" s="57"/>
      <c r="C111" s="57"/>
      <c r="D111" s="57"/>
      <c r="E111" s="57"/>
      <c r="F111" s="57"/>
      <c r="G111" s="57"/>
      <c r="H111" s="57"/>
      <c r="I111" s="57"/>
      <c r="J111" s="70"/>
      <c r="K111" s="57"/>
      <c r="L111" s="57"/>
      <c r="M111" s="57"/>
      <c r="N111" s="34" t="str">
        <f>IFERROR(INDEX(PARAMETRES!$B$536:$B$586,MATCH(M111,PARAMETRES!$J$536:$J$586,0)),"")</f>
        <v/>
      </c>
      <c r="O111" s="34" t="str">
        <f>IFERROR(INDEX(PARAMETRES!$D$536:$D$586,MATCH(M111,PARAMETRES!$J$536:$J$586,0)),"")</f>
        <v/>
      </c>
      <c r="P111" s="34" t="str">
        <f>IFERROR(INDEX(PARAMETRES!$F$536:$F$586,MATCH(M111,PARAMETRES!$J$536:$J$586,0)),"")</f>
        <v/>
      </c>
      <c r="Q111" s="34" t="str">
        <f>IFERROR(INDEX(PARAMETRES!$H$536:$H$586,MATCH(M111,PARAMETRES!$J$536:$J$586,0)),"")</f>
        <v/>
      </c>
      <c r="R111" s="57"/>
      <c r="S111" s="57"/>
      <c r="T111" s="57"/>
      <c r="U111" s="57"/>
      <c r="V111" s="57"/>
      <c r="W111" s="57"/>
      <c r="X111" s="57"/>
      <c r="Y111" s="57"/>
      <c r="Z111" s="57"/>
      <c r="AA111" s="57"/>
      <c r="AB111" s="57"/>
      <c r="AC111" s="50"/>
      <c r="AD111" s="57"/>
      <c r="AE111" s="57"/>
      <c r="AF111" s="57"/>
      <c r="AG111" s="57"/>
      <c r="AH111" s="34" t="str">
        <f>IFERROR(INDEX(PARAMETRES!$B$536:$B$586,MATCH(AG111,PARAMETRES!$J$536:$J$586,0)),"")</f>
        <v/>
      </c>
      <c r="AI111" s="34" t="str">
        <f>IFERROR(INDEX(PARAMETRES!$D$536:$D$586,MATCH(AG111,PARAMETRES!$J$536:$J$586,0)),"")</f>
        <v/>
      </c>
      <c r="AJ111" s="34" t="str">
        <f>IFERROR(INDEX(PARAMETRES!$F$536:$F$586,MATCH(AG111,PARAMETRES!$J$536:$J$586,0)),"")</f>
        <v/>
      </c>
      <c r="AK111" s="34" t="str">
        <f>IFERROR(INDEX(PARAMETRES!$H$536:$H$586,MATCH(AG111,PARAMETRES!$J$536:$J$586,0)),"")</f>
        <v/>
      </c>
      <c r="AL111" s="50"/>
      <c r="AM111" s="50"/>
      <c r="AN111" s="57"/>
      <c r="AO111" s="57"/>
      <c r="AP111" s="51"/>
      <c r="AQ111" s="51"/>
      <c r="AR111" s="52" t="str">
        <f t="shared" si="3"/>
        <v/>
      </c>
      <c r="AS111" s="57"/>
      <c r="AT111" s="34">
        <f>IF(A111="",0,COUNTIF(tbl_Partenaires_Projets[ID Partenaire],A111))</f>
        <v>0</v>
      </c>
      <c r="AU111" s="34">
        <f>IF(A111="",0,COUNTIF(tbl_Partenaires_Conventions[ID Partenaire],A111))</f>
        <v>0</v>
      </c>
      <c r="AV111" s="34">
        <f>IF(A111="",0,COUNTIFS(tbl_Partenaires_Conventions[ID Partenaire],A111,tbl_Partenaires_Conventions[Statut],"Active"))</f>
        <v>0</v>
      </c>
      <c r="AW111" s="34" t="str">
        <f ca="1">IF(A111="","",IF(COUNTIFS(tbl_Partenaires_Conventions[ID Partenaire],A111,tbl_Partenaires_Conventions[Statut],"Active")=0,"NON",IF(_xlfn.MINIFS(tbl_Partenaires_Conventions[Date fin],tbl_Partenaires_Conventions[ID Partenaire],A111,tbl_Partenaires_Conventions[Statut],"Active")-TODAY()&lt;=60,"OUI","NON")))</f>
        <v/>
      </c>
      <c r="AX111" s="34">
        <f>IF(A111="",0,COUNTIF(tbl_Partenaires_Documents[ID Partenaire],A111))</f>
        <v>0</v>
      </c>
      <c r="AY111" s="63" t="str">
        <f>IFERROR(AVERAGEIFS(tbl_Partenaires_Evaluations[Note globale],tbl_Partenaires_Evaluations[ID Partenaire],A111),"")</f>
        <v/>
      </c>
      <c r="AZ111" s="71" t="str">
        <f ca="1">IFERROR(_xlfn.MAXIFS(tbl_Partenaires_Evaluations[Date evaluation],tbl_Partenaires_Evaluations[ID Partenaire],A111),"")</f>
        <v/>
      </c>
      <c r="BA111" s="34">
        <f>IF(A111="",0,COUNTIF(tbl_Partenaires_Risques[ID Partenaire],A111))</f>
        <v>0</v>
      </c>
      <c r="BB111" s="34" t="str">
        <f>IF(A111="","",IF(COUNTIFS(tbl_Partenaires_Risques[ID Partenaire],A111,tbl_Partenaires_Risques[Niveau],"Eleve")+COUNTIFS(tbl_Partenaires_Risques[ID Partenaire],A111,tbl_Partenaires_Risques[Niveau],"Critique")&gt;0,"OUI","NON"))</f>
        <v/>
      </c>
      <c r="BC111" s="34">
        <f>IF(A111="",0,COUNTIF(tbl_Partenaires_Contacts[ID Partenaire],A111))</f>
        <v>0</v>
      </c>
      <c r="BD111" s="34">
        <f>IF(A111="",0,COUNTIFS(tbl_Partenaires_Opportunites[ID Partenaire],A111,tbl_Partenaires_Opportunites[Statut],"&lt;&gt;Cloturee"))</f>
        <v>0</v>
      </c>
      <c r="BE111" s="34">
        <f>IF(A111="",0,COUNTIF(tbl_Partenaires_Prospection[ID Partenaire],A111))</f>
        <v>0</v>
      </c>
      <c r="BF111" s="57"/>
      <c r="BG111" s="57"/>
      <c r="BH111" s="57"/>
      <c r="BI111" s="57"/>
      <c r="BJ111" s="57"/>
      <c r="BK111" s="57"/>
      <c r="BL111" s="57"/>
      <c r="BM111" s="57"/>
      <c r="BN111" s="57"/>
      <c r="BO111" s="57"/>
      <c r="BP111" s="57"/>
      <c r="BQ111" s="57"/>
      <c r="BR111" s="34" t="str">
        <f>IF(C111="","",IF(OR(COUNTIF(C56:C115,C111)&gt;1,AND(E111&lt;&gt;"",COUNTIF(E56:E115,E111)&gt;1),AND(S111&lt;&gt;"",COUNTIF(S56:S115,S111)&gt;1),AND(U111&lt;&gt;"",COUNTIF(U56:U115,U111)&gt;1)),"OUI","NON"))</f>
        <v/>
      </c>
      <c r="BS111" s="57"/>
    </row>
    <row r="112" spans="1:71" ht="15" customHeight="1">
      <c r="A112" s="34" t="str">
        <f t="shared" si="2"/>
        <v/>
      </c>
      <c r="B112" s="57"/>
      <c r="C112" s="57"/>
      <c r="D112" s="57"/>
      <c r="E112" s="57"/>
      <c r="F112" s="57"/>
      <c r="G112" s="57"/>
      <c r="H112" s="57"/>
      <c r="I112" s="57"/>
      <c r="J112" s="70"/>
      <c r="K112" s="57"/>
      <c r="L112" s="57"/>
      <c r="M112" s="57"/>
      <c r="N112" s="34" t="str">
        <f>IFERROR(INDEX(PARAMETRES!$B$536:$B$586,MATCH(M112,PARAMETRES!$J$536:$J$586,0)),"")</f>
        <v/>
      </c>
      <c r="O112" s="34" t="str">
        <f>IFERROR(INDEX(PARAMETRES!$D$536:$D$586,MATCH(M112,PARAMETRES!$J$536:$J$586,0)),"")</f>
        <v/>
      </c>
      <c r="P112" s="34" t="str">
        <f>IFERROR(INDEX(PARAMETRES!$F$536:$F$586,MATCH(M112,PARAMETRES!$J$536:$J$586,0)),"")</f>
        <v/>
      </c>
      <c r="Q112" s="34" t="str">
        <f>IFERROR(INDEX(PARAMETRES!$H$536:$H$586,MATCH(M112,PARAMETRES!$J$536:$J$586,0)),"")</f>
        <v/>
      </c>
      <c r="R112" s="57"/>
      <c r="S112" s="57"/>
      <c r="T112" s="57"/>
      <c r="U112" s="57"/>
      <c r="V112" s="57"/>
      <c r="W112" s="57"/>
      <c r="X112" s="57"/>
      <c r="Y112" s="57"/>
      <c r="Z112" s="57"/>
      <c r="AA112" s="57"/>
      <c r="AB112" s="57"/>
      <c r="AC112" s="50"/>
      <c r="AD112" s="57"/>
      <c r="AE112" s="57"/>
      <c r="AF112" s="57"/>
      <c r="AG112" s="57"/>
      <c r="AH112" s="34" t="str">
        <f>IFERROR(INDEX(PARAMETRES!$B$536:$B$586,MATCH(AG112,PARAMETRES!$J$536:$J$586,0)),"")</f>
        <v/>
      </c>
      <c r="AI112" s="34" t="str">
        <f>IFERROR(INDEX(PARAMETRES!$D$536:$D$586,MATCH(AG112,PARAMETRES!$J$536:$J$586,0)),"")</f>
        <v/>
      </c>
      <c r="AJ112" s="34" t="str">
        <f>IFERROR(INDEX(PARAMETRES!$F$536:$F$586,MATCH(AG112,PARAMETRES!$J$536:$J$586,0)),"")</f>
        <v/>
      </c>
      <c r="AK112" s="34" t="str">
        <f>IFERROR(INDEX(PARAMETRES!$H$536:$H$586,MATCH(AG112,PARAMETRES!$J$536:$J$586,0)),"")</f>
        <v/>
      </c>
      <c r="AL112" s="50"/>
      <c r="AM112" s="50"/>
      <c r="AN112" s="57"/>
      <c r="AO112" s="57"/>
      <c r="AP112" s="51"/>
      <c r="AQ112" s="51"/>
      <c r="AR112" s="52" t="str">
        <f t="shared" si="3"/>
        <v/>
      </c>
      <c r="AS112" s="57"/>
      <c r="AT112" s="34">
        <f>IF(A112="",0,COUNTIF(tbl_Partenaires_Projets[ID Partenaire],A112))</f>
        <v>0</v>
      </c>
      <c r="AU112" s="34">
        <f>IF(A112="",0,COUNTIF(tbl_Partenaires_Conventions[ID Partenaire],A112))</f>
        <v>0</v>
      </c>
      <c r="AV112" s="34">
        <f>IF(A112="",0,COUNTIFS(tbl_Partenaires_Conventions[ID Partenaire],A112,tbl_Partenaires_Conventions[Statut],"Active"))</f>
        <v>0</v>
      </c>
      <c r="AW112" s="34" t="str">
        <f ca="1">IF(A112="","",IF(COUNTIFS(tbl_Partenaires_Conventions[ID Partenaire],A112,tbl_Partenaires_Conventions[Statut],"Active")=0,"NON",IF(_xlfn.MINIFS(tbl_Partenaires_Conventions[Date fin],tbl_Partenaires_Conventions[ID Partenaire],A112,tbl_Partenaires_Conventions[Statut],"Active")-TODAY()&lt;=60,"OUI","NON")))</f>
        <v/>
      </c>
      <c r="AX112" s="34">
        <f>IF(A112="",0,COUNTIF(tbl_Partenaires_Documents[ID Partenaire],A112))</f>
        <v>0</v>
      </c>
      <c r="AY112" s="63" t="str">
        <f>IFERROR(AVERAGEIFS(tbl_Partenaires_Evaluations[Note globale],tbl_Partenaires_Evaluations[ID Partenaire],A112),"")</f>
        <v/>
      </c>
      <c r="AZ112" s="71" t="str">
        <f ca="1">IFERROR(_xlfn.MAXIFS(tbl_Partenaires_Evaluations[Date evaluation],tbl_Partenaires_Evaluations[ID Partenaire],A112),"")</f>
        <v/>
      </c>
      <c r="BA112" s="34">
        <f>IF(A112="",0,COUNTIF(tbl_Partenaires_Risques[ID Partenaire],A112))</f>
        <v>0</v>
      </c>
      <c r="BB112" s="34" t="str">
        <f>IF(A112="","",IF(COUNTIFS(tbl_Partenaires_Risques[ID Partenaire],A112,tbl_Partenaires_Risques[Niveau],"Eleve")+COUNTIFS(tbl_Partenaires_Risques[ID Partenaire],A112,tbl_Partenaires_Risques[Niveau],"Critique")&gt;0,"OUI","NON"))</f>
        <v/>
      </c>
      <c r="BC112" s="34">
        <f>IF(A112="",0,COUNTIF(tbl_Partenaires_Contacts[ID Partenaire],A112))</f>
        <v>0</v>
      </c>
      <c r="BD112" s="34">
        <f>IF(A112="",0,COUNTIFS(tbl_Partenaires_Opportunites[ID Partenaire],A112,tbl_Partenaires_Opportunites[Statut],"&lt;&gt;Cloturee"))</f>
        <v>0</v>
      </c>
      <c r="BE112" s="34">
        <f>IF(A112="",0,COUNTIF(tbl_Partenaires_Prospection[ID Partenaire],A112))</f>
        <v>0</v>
      </c>
      <c r="BF112" s="57"/>
      <c r="BG112" s="57"/>
      <c r="BH112" s="57"/>
      <c r="BI112" s="57"/>
      <c r="BJ112" s="57"/>
      <c r="BK112" s="57"/>
      <c r="BL112" s="57"/>
      <c r="BM112" s="57"/>
      <c r="BN112" s="57"/>
      <c r="BO112" s="57"/>
      <c r="BP112" s="57"/>
      <c r="BQ112" s="57"/>
      <c r="BR112" s="34" t="str">
        <f>IF(C112="","",IF(OR(COUNTIF(C56:C115,C112)&gt;1,AND(E112&lt;&gt;"",COUNTIF(E56:E115,E112)&gt;1),AND(S112&lt;&gt;"",COUNTIF(S56:S115,S112)&gt;1),AND(U112&lt;&gt;"",COUNTIF(U56:U115,U112)&gt;1)),"OUI","NON"))</f>
        <v/>
      </c>
      <c r="BS112" s="57"/>
    </row>
    <row r="113" spans="1:71" ht="15" customHeight="1">
      <c r="A113" s="34" t="str">
        <f t="shared" si="2"/>
        <v/>
      </c>
      <c r="B113" s="57"/>
      <c r="C113" s="57"/>
      <c r="D113" s="57"/>
      <c r="E113" s="57"/>
      <c r="F113" s="57"/>
      <c r="G113" s="57"/>
      <c r="H113" s="57"/>
      <c r="I113" s="57"/>
      <c r="J113" s="70"/>
      <c r="K113" s="57"/>
      <c r="L113" s="57"/>
      <c r="M113" s="57"/>
      <c r="N113" s="34" t="str">
        <f>IFERROR(INDEX(PARAMETRES!$B$536:$B$586,MATCH(M113,PARAMETRES!$J$536:$J$586,0)),"")</f>
        <v/>
      </c>
      <c r="O113" s="34" t="str">
        <f>IFERROR(INDEX(PARAMETRES!$D$536:$D$586,MATCH(M113,PARAMETRES!$J$536:$J$586,0)),"")</f>
        <v/>
      </c>
      <c r="P113" s="34" t="str">
        <f>IFERROR(INDEX(PARAMETRES!$F$536:$F$586,MATCH(M113,PARAMETRES!$J$536:$J$586,0)),"")</f>
        <v/>
      </c>
      <c r="Q113" s="34" t="str">
        <f>IFERROR(INDEX(PARAMETRES!$H$536:$H$586,MATCH(M113,PARAMETRES!$J$536:$J$586,0)),"")</f>
        <v/>
      </c>
      <c r="R113" s="57"/>
      <c r="S113" s="57"/>
      <c r="T113" s="57"/>
      <c r="U113" s="57"/>
      <c r="V113" s="57"/>
      <c r="W113" s="57"/>
      <c r="X113" s="57"/>
      <c r="Y113" s="57"/>
      <c r="Z113" s="57"/>
      <c r="AA113" s="57"/>
      <c r="AB113" s="57"/>
      <c r="AC113" s="50"/>
      <c r="AD113" s="57"/>
      <c r="AE113" s="57"/>
      <c r="AF113" s="57"/>
      <c r="AG113" s="57"/>
      <c r="AH113" s="34" t="str">
        <f>IFERROR(INDEX(PARAMETRES!$B$536:$B$586,MATCH(AG113,PARAMETRES!$J$536:$J$586,0)),"")</f>
        <v/>
      </c>
      <c r="AI113" s="34" t="str">
        <f>IFERROR(INDEX(PARAMETRES!$D$536:$D$586,MATCH(AG113,PARAMETRES!$J$536:$J$586,0)),"")</f>
        <v/>
      </c>
      <c r="AJ113" s="34" t="str">
        <f>IFERROR(INDEX(PARAMETRES!$F$536:$F$586,MATCH(AG113,PARAMETRES!$J$536:$J$586,0)),"")</f>
        <v/>
      </c>
      <c r="AK113" s="34" t="str">
        <f>IFERROR(INDEX(PARAMETRES!$H$536:$H$586,MATCH(AG113,PARAMETRES!$J$536:$J$586,0)),"")</f>
        <v/>
      </c>
      <c r="AL113" s="50"/>
      <c r="AM113" s="50"/>
      <c r="AN113" s="57"/>
      <c r="AO113" s="57"/>
      <c r="AP113" s="51"/>
      <c r="AQ113" s="51"/>
      <c r="AR113" s="52" t="str">
        <f t="shared" si="3"/>
        <v/>
      </c>
      <c r="AS113" s="57"/>
      <c r="AT113" s="34">
        <f>IF(A113="",0,COUNTIF(tbl_Partenaires_Projets[ID Partenaire],A113))</f>
        <v>0</v>
      </c>
      <c r="AU113" s="34">
        <f>IF(A113="",0,COUNTIF(tbl_Partenaires_Conventions[ID Partenaire],A113))</f>
        <v>0</v>
      </c>
      <c r="AV113" s="34">
        <f>IF(A113="",0,COUNTIFS(tbl_Partenaires_Conventions[ID Partenaire],A113,tbl_Partenaires_Conventions[Statut],"Active"))</f>
        <v>0</v>
      </c>
      <c r="AW113" s="34" t="str">
        <f ca="1">IF(A113="","",IF(COUNTIFS(tbl_Partenaires_Conventions[ID Partenaire],A113,tbl_Partenaires_Conventions[Statut],"Active")=0,"NON",IF(_xlfn.MINIFS(tbl_Partenaires_Conventions[Date fin],tbl_Partenaires_Conventions[ID Partenaire],A113,tbl_Partenaires_Conventions[Statut],"Active")-TODAY()&lt;=60,"OUI","NON")))</f>
        <v/>
      </c>
      <c r="AX113" s="34">
        <f>IF(A113="",0,COUNTIF(tbl_Partenaires_Documents[ID Partenaire],A113))</f>
        <v>0</v>
      </c>
      <c r="AY113" s="63" t="str">
        <f>IFERROR(AVERAGEIFS(tbl_Partenaires_Evaluations[Note globale],tbl_Partenaires_Evaluations[ID Partenaire],A113),"")</f>
        <v/>
      </c>
      <c r="AZ113" s="71" t="str">
        <f ca="1">IFERROR(_xlfn.MAXIFS(tbl_Partenaires_Evaluations[Date evaluation],tbl_Partenaires_Evaluations[ID Partenaire],A113),"")</f>
        <v/>
      </c>
      <c r="BA113" s="34">
        <f>IF(A113="",0,COUNTIF(tbl_Partenaires_Risques[ID Partenaire],A113))</f>
        <v>0</v>
      </c>
      <c r="BB113" s="34" t="str">
        <f>IF(A113="","",IF(COUNTIFS(tbl_Partenaires_Risques[ID Partenaire],A113,tbl_Partenaires_Risques[Niveau],"Eleve")+COUNTIFS(tbl_Partenaires_Risques[ID Partenaire],A113,tbl_Partenaires_Risques[Niveau],"Critique")&gt;0,"OUI","NON"))</f>
        <v/>
      </c>
      <c r="BC113" s="34">
        <f>IF(A113="",0,COUNTIF(tbl_Partenaires_Contacts[ID Partenaire],A113))</f>
        <v>0</v>
      </c>
      <c r="BD113" s="34">
        <f>IF(A113="",0,COUNTIFS(tbl_Partenaires_Opportunites[ID Partenaire],A113,tbl_Partenaires_Opportunites[Statut],"&lt;&gt;Cloturee"))</f>
        <v>0</v>
      </c>
      <c r="BE113" s="34">
        <f>IF(A113="",0,COUNTIF(tbl_Partenaires_Prospection[ID Partenaire],A113))</f>
        <v>0</v>
      </c>
      <c r="BF113" s="57"/>
      <c r="BG113" s="57"/>
      <c r="BH113" s="57"/>
      <c r="BI113" s="57"/>
      <c r="BJ113" s="57"/>
      <c r="BK113" s="57"/>
      <c r="BL113" s="57"/>
      <c r="BM113" s="57"/>
      <c r="BN113" s="57"/>
      <c r="BO113" s="57"/>
      <c r="BP113" s="57"/>
      <c r="BQ113" s="57"/>
      <c r="BR113" s="34" t="str">
        <f>IF(C113="","",IF(OR(COUNTIF(C56:C115,C113)&gt;1,AND(E113&lt;&gt;"",COUNTIF(E56:E115,E113)&gt;1),AND(S113&lt;&gt;"",COUNTIF(S56:S115,S113)&gt;1),AND(U113&lt;&gt;"",COUNTIF(U56:U115,U113)&gt;1)),"OUI","NON"))</f>
        <v/>
      </c>
      <c r="BS113" s="57"/>
    </row>
    <row r="114" spans="1:71" ht="15" customHeight="1">
      <c r="A114" s="34" t="str">
        <f t="shared" si="2"/>
        <v/>
      </c>
      <c r="B114" s="57"/>
      <c r="C114" s="57"/>
      <c r="D114" s="57"/>
      <c r="E114" s="57"/>
      <c r="F114" s="57"/>
      <c r="G114" s="57"/>
      <c r="H114" s="57"/>
      <c r="I114" s="57"/>
      <c r="J114" s="70"/>
      <c r="K114" s="57"/>
      <c r="L114" s="57"/>
      <c r="M114" s="57"/>
      <c r="N114" s="34" t="str">
        <f>IFERROR(INDEX(PARAMETRES!$B$536:$B$586,MATCH(M114,PARAMETRES!$J$536:$J$586,0)),"")</f>
        <v/>
      </c>
      <c r="O114" s="34" t="str">
        <f>IFERROR(INDEX(PARAMETRES!$D$536:$D$586,MATCH(M114,PARAMETRES!$J$536:$J$586,0)),"")</f>
        <v/>
      </c>
      <c r="P114" s="34" t="str">
        <f>IFERROR(INDEX(PARAMETRES!$F$536:$F$586,MATCH(M114,PARAMETRES!$J$536:$J$586,0)),"")</f>
        <v/>
      </c>
      <c r="Q114" s="34" t="str">
        <f>IFERROR(INDEX(PARAMETRES!$H$536:$H$586,MATCH(M114,PARAMETRES!$J$536:$J$586,0)),"")</f>
        <v/>
      </c>
      <c r="R114" s="57"/>
      <c r="S114" s="57"/>
      <c r="T114" s="57"/>
      <c r="U114" s="57"/>
      <c r="V114" s="57"/>
      <c r="W114" s="57"/>
      <c r="X114" s="57"/>
      <c r="Y114" s="57"/>
      <c r="Z114" s="57"/>
      <c r="AA114" s="57"/>
      <c r="AB114" s="57"/>
      <c r="AC114" s="50"/>
      <c r="AD114" s="57"/>
      <c r="AE114" s="57"/>
      <c r="AF114" s="57"/>
      <c r="AG114" s="57"/>
      <c r="AH114" s="34" t="str">
        <f>IFERROR(INDEX(PARAMETRES!$B$536:$B$586,MATCH(AG114,PARAMETRES!$J$536:$J$586,0)),"")</f>
        <v/>
      </c>
      <c r="AI114" s="34" t="str">
        <f>IFERROR(INDEX(PARAMETRES!$D$536:$D$586,MATCH(AG114,PARAMETRES!$J$536:$J$586,0)),"")</f>
        <v/>
      </c>
      <c r="AJ114" s="34" t="str">
        <f>IFERROR(INDEX(PARAMETRES!$F$536:$F$586,MATCH(AG114,PARAMETRES!$J$536:$J$586,0)),"")</f>
        <v/>
      </c>
      <c r="AK114" s="34" t="str">
        <f>IFERROR(INDEX(PARAMETRES!$H$536:$H$586,MATCH(AG114,PARAMETRES!$J$536:$J$586,0)),"")</f>
        <v/>
      </c>
      <c r="AL114" s="50"/>
      <c r="AM114" s="50"/>
      <c r="AN114" s="57"/>
      <c r="AO114" s="57"/>
      <c r="AP114" s="51"/>
      <c r="AQ114" s="51"/>
      <c r="AR114" s="52" t="str">
        <f t="shared" si="3"/>
        <v/>
      </c>
      <c r="AS114" s="57"/>
      <c r="AT114" s="34">
        <f>IF(A114="",0,COUNTIF(tbl_Partenaires_Projets[ID Partenaire],A114))</f>
        <v>0</v>
      </c>
      <c r="AU114" s="34">
        <f>IF(A114="",0,COUNTIF(tbl_Partenaires_Conventions[ID Partenaire],A114))</f>
        <v>0</v>
      </c>
      <c r="AV114" s="34">
        <f>IF(A114="",0,COUNTIFS(tbl_Partenaires_Conventions[ID Partenaire],A114,tbl_Partenaires_Conventions[Statut],"Active"))</f>
        <v>0</v>
      </c>
      <c r="AW114" s="34" t="str">
        <f ca="1">IF(A114="","",IF(COUNTIFS(tbl_Partenaires_Conventions[ID Partenaire],A114,tbl_Partenaires_Conventions[Statut],"Active")=0,"NON",IF(_xlfn.MINIFS(tbl_Partenaires_Conventions[Date fin],tbl_Partenaires_Conventions[ID Partenaire],A114,tbl_Partenaires_Conventions[Statut],"Active")-TODAY()&lt;=60,"OUI","NON")))</f>
        <v/>
      </c>
      <c r="AX114" s="34">
        <f>IF(A114="",0,COUNTIF(tbl_Partenaires_Documents[ID Partenaire],A114))</f>
        <v>0</v>
      </c>
      <c r="AY114" s="63" t="str">
        <f>IFERROR(AVERAGEIFS(tbl_Partenaires_Evaluations[Note globale],tbl_Partenaires_Evaluations[ID Partenaire],A114),"")</f>
        <v/>
      </c>
      <c r="AZ114" s="71" t="str">
        <f ca="1">IFERROR(_xlfn.MAXIFS(tbl_Partenaires_Evaluations[Date evaluation],tbl_Partenaires_Evaluations[ID Partenaire],A114),"")</f>
        <v/>
      </c>
      <c r="BA114" s="34">
        <f>IF(A114="",0,COUNTIF(tbl_Partenaires_Risques[ID Partenaire],A114))</f>
        <v>0</v>
      </c>
      <c r="BB114" s="34" t="str">
        <f>IF(A114="","",IF(COUNTIFS(tbl_Partenaires_Risques[ID Partenaire],A114,tbl_Partenaires_Risques[Niveau],"Eleve")+COUNTIFS(tbl_Partenaires_Risques[ID Partenaire],A114,tbl_Partenaires_Risques[Niveau],"Critique")&gt;0,"OUI","NON"))</f>
        <v/>
      </c>
      <c r="BC114" s="34">
        <f>IF(A114="",0,COUNTIF(tbl_Partenaires_Contacts[ID Partenaire],A114))</f>
        <v>0</v>
      </c>
      <c r="BD114" s="34">
        <f>IF(A114="",0,COUNTIFS(tbl_Partenaires_Opportunites[ID Partenaire],A114,tbl_Partenaires_Opportunites[Statut],"&lt;&gt;Cloturee"))</f>
        <v>0</v>
      </c>
      <c r="BE114" s="34">
        <f>IF(A114="",0,COUNTIF(tbl_Partenaires_Prospection[ID Partenaire],A114))</f>
        <v>0</v>
      </c>
      <c r="BF114" s="57"/>
      <c r="BG114" s="57"/>
      <c r="BH114" s="57"/>
      <c r="BI114" s="57"/>
      <c r="BJ114" s="57"/>
      <c r="BK114" s="57"/>
      <c r="BL114" s="57"/>
      <c r="BM114" s="57"/>
      <c r="BN114" s="57"/>
      <c r="BO114" s="57"/>
      <c r="BP114" s="57"/>
      <c r="BQ114" s="57"/>
      <c r="BR114" s="34" t="str">
        <f>IF(C114="","",IF(OR(COUNTIF(C56:C115,C114)&gt;1,AND(E114&lt;&gt;"",COUNTIF(E56:E115,E114)&gt;1),AND(S114&lt;&gt;"",COUNTIF(S56:S115,S114)&gt;1),AND(U114&lt;&gt;"",COUNTIF(U56:U115,U114)&gt;1)),"OUI","NON"))</f>
        <v/>
      </c>
      <c r="BS114" s="57"/>
    </row>
    <row r="115" spans="1:71" ht="15" customHeight="1">
      <c r="A115" s="34" t="str">
        <f t="shared" si="2"/>
        <v/>
      </c>
      <c r="B115" s="57"/>
      <c r="C115" s="57"/>
      <c r="D115" s="57"/>
      <c r="E115" s="57"/>
      <c r="F115" s="57"/>
      <c r="G115" s="57"/>
      <c r="H115" s="57"/>
      <c r="I115" s="57"/>
      <c r="J115" s="70"/>
      <c r="K115" s="57"/>
      <c r="L115" s="57"/>
      <c r="M115" s="57"/>
      <c r="N115" s="34" t="str">
        <f>IFERROR(INDEX(PARAMETRES!$B$536:$B$586,MATCH(M115,PARAMETRES!$J$536:$J$586,0)),"")</f>
        <v/>
      </c>
      <c r="O115" s="34" t="str">
        <f>IFERROR(INDEX(PARAMETRES!$D$536:$D$586,MATCH(M115,PARAMETRES!$J$536:$J$586,0)),"")</f>
        <v/>
      </c>
      <c r="P115" s="34" t="str">
        <f>IFERROR(INDEX(PARAMETRES!$F$536:$F$586,MATCH(M115,PARAMETRES!$J$536:$J$586,0)),"")</f>
        <v/>
      </c>
      <c r="Q115" s="34" t="str">
        <f>IFERROR(INDEX(PARAMETRES!$H$536:$H$586,MATCH(M115,PARAMETRES!$J$536:$J$586,0)),"")</f>
        <v/>
      </c>
      <c r="R115" s="57"/>
      <c r="S115" s="57"/>
      <c r="T115" s="57"/>
      <c r="U115" s="57"/>
      <c r="V115" s="57"/>
      <c r="W115" s="57"/>
      <c r="X115" s="57"/>
      <c r="Y115" s="57"/>
      <c r="Z115" s="57"/>
      <c r="AA115" s="57"/>
      <c r="AB115" s="57"/>
      <c r="AC115" s="50"/>
      <c r="AD115" s="57"/>
      <c r="AE115" s="57"/>
      <c r="AF115" s="57"/>
      <c r="AG115" s="57"/>
      <c r="AH115" s="34" t="str">
        <f>IFERROR(INDEX(PARAMETRES!$B$536:$B$586,MATCH(AG115,PARAMETRES!$J$536:$J$586,0)),"")</f>
        <v/>
      </c>
      <c r="AI115" s="34" t="str">
        <f>IFERROR(INDEX(PARAMETRES!$D$536:$D$586,MATCH(AG115,PARAMETRES!$J$536:$J$586,0)),"")</f>
        <v/>
      </c>
      <c r="AJ115" s="34" t="str">
        <f>IFERROR(INDEX(PARAMETRES!$F$536:$F$586,MATCH(AG115,PARAMETRES!$J$536:$J$586,0)),"")</f>
        <v/>
      </c>
      <c r="AK115" s="34" t="str">
        <f>IFERROR(INDEX(PARAMETRES!$H$536:$H$586,MATCH(AG115,PARAMETRES!$J$536:$J$586,0)),"")</f>
        <v/>
      </c>
      <c r="AL115" s="50"/>
      <c r="AM115" s="50"/>
      <c r="AN115" s="57"/>
      <c r="AO115" s="57"/>
      <c r="AP115" s="51"/>
      <c r="AQ115" s="51"/>
      <c r="AR115" s="52" t="str">
        <f t="shared" si="3"/>
        <v/>
      </c>
      <c r="AS115" s="57"/>
      <c r="AT115" s="34">
        <f>IF(A115="",0,COUNTIF(tbl_Partenaires_Projets[ID Partenaire],A115))</f>
        <v>0</v>
      </c>
      <c r="AU115" s="34">
        <f>IF(A115="",0,COUNTIF(tbl_Partenaires_Conventions[ID Partenaire],A115))</f>
        <v>0</v>
      </c>
      <c r="AV115" s="34">
        <f>IF(A115="",0,COUNTIFS(tbl_Partenaires_Conventions[ID Partenaire],A115,tbl_Partenaires_Conventions[Statut],"Active"))</f>
        <v>0</v>
      </c>
      <c r="AW115" s="34" t="str">
        <f ca="1">IF(A115="","",IF(COUNTIFS(tbl_Partenaires_Conventions[ID Partenaire],A115,tbl_Partenaires_Conventions[Statut],"Active")=0,"NON",IF(_xlfn.MINIFS(tbl_Partenaires_Conventions[Date fin],tbl_Partenaires_Conventions[ID Partenaire],A115,tbl_Partenaires_Conventions[Statut],"Active")-TODAY()&lt;=60,"OUI","NON")))</f>
        <v/>
      </c>
      <c r="AX115" s="34">
        <f>IF(A115="",0,COUNTIF(tbl_Partenaires_Documents[ID Partenaire],A115))</f>
        <v>0</v>
      </c>
      <c r="AY115" s="63" t="str">
        <f>IFERROR(AVERAGEIFS(tbl_Partenaires_Evaluations[Note globale],tbl_Partenaires_Evaluations[ID Partenaire],A115),"")</f>
        <v/>
      </c>
      <c r="AZ115" s="71" t="str">
        <f ca="1">IFERROR(_xlfn.MAXIFS(tbl_Partenaires_Evaluations[Date evaluation],tbl_Partenaires_Evaluations[ID Partenaire],A115),"")</f>
        <v/>
      </c>
      <c r="BA115" s="34">
        <f>IF(A115="",0,COUNTIF(tbl_Partenaires_Risques[ID Partenaire],A115))</f>
        <v>0</v>
      </c>
      <c r="BB115" s="34" t="str">
        <f>IF(A115="","",IF(COUNTIFS(tbl_Partenaires_Risques[ID Partenaire],A115,tbl_Partenaires_Risques[Niveau],"Eleve")+COUNTIFS(tbl_Partenaires_Risques[ID Partenaire],A115,tbl_Partenaires_Risques[Niveau],"Critique")&gt;0,"OUI","NON"))</f>
        <v/>
      </c>
      <c r="BC115" s="34">
        <f>IF(A115="",0,COUNTIF(tbl_Partenaires_Contacts[ID Partenaire],A115))</f>
        <v>0</v>
      </c>
      <c r="BD115" s="34">
        <f>IF(A115="",0,COUNTIFS(tbl_Partenaires_Opportunites[ID Partenaire],A115,tbl_Partenaires_Opportunites[Statut],"&lt;&gt;Cloturee"))</f>
        <v>0</v>
      </c>
      <c r="BE115" s="34">
        <f>IF(A115="",0,COUNTIF(tbl_Partenaires_Prospection[ID Partenaire],A115))</f>
        <v>0</v>
      </c>
      <c r="BF115" s="57"/>
      <c r="BG115" s="57"/>
      <c r="BH115" s="57"/>
      <c r="BI115" s="57"/>
      <c r="BJ115" s="57"/>
      <c r="BK115" s="57"/>
      <c r="BL115" s="57"/>
      <c r="BM115" s="57"/>
      <c r="BN115" s="57"/>
      <c r="BO115" s="57"/>
      <c r="BP115" s="57"/>
      <c r="BQ115" s="57"/>
      <c r="BR115" s="34" t="str">
        <f>IF(C115="","",IF(OR(COUNTIF(C56:C115,C115)&gt;1,AND(E115&lt;&gt;"",COUNTIF(E56:E115,E115)&gt;1),AND(S115&lt;&gt;"",COUNTIF(S56:S115,S115)&gt;1),AND(U115&lt;&gt;"",COUNTIF(U56:U115,U115)&gt;1)),"OUI","NON"))</f>
        <v/>
      </c>
      <c r="BS115" s="57"/>
    </row>
    <row r="118" spans="1:71" ht="19.5" customHeight="1">
      <c r="A118" s="296" t="s">
        <v>1928</v>
      </c>
      <c r="B118" s="262"/>
    </row>
    <row r="119" spans="1:71" ht="25.5" customHeight="1">
      <c r="A119" s="32" t="s">
        <v>1881</v>
      </c>
      <c r="B119" s="32" t="s">
        <v>1868</v>
      </c>
    </row>
    <row r="120" spans="1:71" ht="15" customHeight="1">
      <c r="A120" s="72" t="s">
        <v>954</v>
      </c>
      <c r="B120" s="34">
        <f>COUNTIF(tbl_Partenaires[Departement (siege)],A120)</f>
        <v>0</v>
      </c>
    </row>
    <row r="121" spans="1:71" ht="15" customHeight="1">
      <c r="A121" s="72" t="s">
        <v>984</v>
      </c>
      <c r="B121" s="34">
        <f>COUNTIF(tbl_Partenaires[Departement (siege)],A121)</f>
        <v>0</v>
      </c>
    </row>
    <row r="122" spans="1:71" ht="15" customHeight="1">
      <c r="A122" s="72" t="s">
        <v>1005</v>
      </c>
      <c r="B122" s="34">
        <f>COUNTIF(tbl_Partenaires[Departement (siege)],A122)</f>
        <v>0</v>
      </c>
    </row>
    <row r="123" spans="1:71" ht="15" customHeight="1">
      <c r="A123" s="72" t="s">
        <v>1017</v>
      </c>
      <c r="B123" s="34">
        <f>COUNTIF(tbl_Partenaires[Departement (siege)],A123)</f>
        <v>0</v>
      </c>
    </row>
    <row r="124" spans="1:71" ht="15" customHeight="1">
      <c r="A124" s="72" t="s">
        <v>1028</v>
      </c>
      <c r="B124" s="34">
        <f>COUNTIF(tbl_Partenaires[Departement (siege)],A124)</f>
        <v>0</v>
      </c>
    </row>
    <row r="125" spans="1:71" ht="15" customHeight="1">
      <c r="A125" s="72" t="s">
        <v>1037</v>
      </c>
      <c r="B125" s="34">
        <f>COUNTIF(tbl_Partenaires[Departement (siege)],A125)</f>
        <v>0</v>
      </c>
    </row>
    <row r="126" spans="1:71" ht="15" customHeight="1">
      <c r="A126" s="72" t="s">
        <v>1929</v>
      </c>
      <c r="B126" s="34">
        <f>COUNTIF(tbl_Partenaires[Departement (siege)],A126)</f>
        <v>0</v>
      </c>
    </row>
    <row r="127" spans="1:71" ht="15" customHeight="1">
      <c r="A127" s="72" t="s">
        <v>1057</v>
      </c>
      <c r="B127" s="34">
        <f>COUNTIF(tbl_Partenaires[Departement (siege)],A127)</f>
        <v>0</v>
      </c>
    </row>
    <row r="128" spans="1:71" ht="15" customHeight="1">
      <c r="A128" s="72" t="s">
        <v>1068</v>
      </c>
      <c r="B128" s="34">
        <f>COUNTIF(tbl_Partenaires[Departement (siege)],A128)</f>
        <v>0</v>
      </c>
    </row>
    <row r="129" spans="1:8" ht="15" customHeight="1">
      <c r="A129" s="72" t="s">
        <v>1078</v>
      </c>
      <c r="B129" s="34">
        <f>COUNTIF(tbl_Partenaires[Departement (siege)],A129)</f>
        <v>0</v>
      </c>
    </row>
    <row r="130" spans="1:8" ht="15" customHeight="1">
      <c r="A130" s="72" t="s">
        <v>1089</v>
      </c>
      <c r="B130" s="34">
        <f>COUNTIF(tbl_Partenaires[Departement (siege)],A130)</f>
        <v>0</v>
      </c>
    </row>
    <row r="131" spans="1:8" ht="15" customHeight="1">
      <c r="A131" s="72" t="s">
        <v>1098</v>
      </c>
      <c r="B131" s="34">
        <f>COUNTIF(tbl_Partenaires[Departement (siege)],A131)</f>
        <v>0</v>
      </c>
    </row>
    <row r="134" spans="1:8" ht="19.5" customHeight="1">
      <c r="A134" s="296" t="s">
        <v>1930</v>
      </c>
      <c r="B134" s="262"/>
      <c r="C134" s="262"/>
      <c r="D134" s="262"/>
      <c r="E134" s="262"/>
      <c r="F134" s="262"/>
      <c r="G134" s="262"/>
      <c r="H134" s="262"/>
    </row>
    <row r="135" spans="1:8" ht="25.5" customHeight="1">
      <c r="A135" s="32" t="s">
        <v>1875</v>
      </c>
      <c r="B135" s="32" t="s">
        <v>1931</v>
      </c>
      <c r="C135" s="32" t="s">
        <v>1512</v>
      </c>
      <c r="D135" s="32" t="s">
        <v>1371</v>
      </c>
      <c r="E135" s="32" t="s">
        <v>1368</v>
      </c>
      <c r="F135" s="32" t="s">
        <v>1373</v>
      </c>
      <c r="G135" s="32" t="s">
        <v>1932</v>
      </c>
      <c r="H135" s="32" t="s">
        <v>175</v>
      </c>
    </row>
    <row r="136" spans="1:8" ht="15" customHeight="1">
      <c r="A136" s="57"/>
      <c r="B136" s="34" t="str">
        <f t="shared" ref="B136:B165" si="4">IF(A136="","",A136&amp;"-C"&amp;TEXT(ROW()-135,"00"))</f>
        <v/>
      </c>
      <c r="C136" s="57"/>
      <c r="D136" s="57"/>
      <c r="E136" s="57"/>
      <c r="F136" s="57"/>
      <c r="G136" s="57"/>
      <c r="H136" s="57"/>
    </row>
    <row r="137" spans="1:8" ht="15" customHeight="1">
      <c r="A137" s="57"/>
      <c r="B137" s="34" t="str">
        <f t="shared" si="4"/>
        <v/>
      </c>
      <c r="C137" s="57"/>
      <c r="D137" s="57"/>
      <c r="E137" s="57"/>
      <c r="F137" s="57"/>
      <c r="G137" s="57"/>
      <c r="H137" s="57"/>
    </row>
    <row r="138" spans="1:8" ht="15" customHeight="1">
      <c r="A138" s="57"/>
      <c r="B138" s="34" t="str">
        <f t="shared" si="4"/>
        <v/>
      </c>
      <c r="C138" s="57"/>
      <c r="D138" s="57"/>
      <c r="E138" s="57"/>
      <c r="F138" s="57"/>
      <c r="G138" s="57"/>
      <c r="H138" s="57"/>
    </row>
    <row r="139" spans="1:8" ht="15" customHeight="1">
      <c r="A139" s="57"/>
      <c r="B139" s="34" t="str">
        <f t="shared" si="4"/>
        <v/>
      </c>
      <c r="C139" s="57"/>
      <c r="D139" s="57"/>
      <c r="E139" s="57"/>
      <c r="F139" s="57"/>
      <c r="G139" s="57"/>
      <c r="H139" s="57"/>
    </row>
    <row r="140" spans="1:8" ht="15" customHeight="1">
      <c r="A140" s="57"/>
      <c r="B140" s="34" t="str">
        <f t="shared" si="4"/>
        <v/>
      </c>
      <c r="C140" s="57"/>
      <c r="D140" s="57"/>
      <c r="E140" s="57"/>
      <c r="F140" s="57"/>
      <c r="G140" s="57"/>
      <c r="H140" s="57"/>
    </row>
    <row r="141" spans="1:8" ht="15" customHeight="1">
      <c r="A141" s="57"/>
      <c r="B141" s="34" t="str">
        <f t="shared" si="4"/>
        <v/>
      </c>
      <c r="C141" s="57"/>
      <c r="D141" s="57"/>
      <c r="E141" s="57"/>
      <c r="F141" s="57"/>
      <c r="G141" s="57"/>
      <c r="H141" s="57"/>
    </row>
    <row r="142" spans="1:8" ht="15" customHeight="1">
      <c r="A142" s="57"/>
      <c r="B142" s="34" t="str">
        <f t="shared" si="4"/>
        <v/>
      </c>
      <c r="C142" s="57"/>
      <c r="D142" s="57"/>
      <c r="E142" s="57"/>
      <c r="F142" s="57"/>
      <c r="G142" s="57"/>
      <c r="H142" s="57"/>
    </row>
    <row r="143" spans="1:8" ht="15" customHeight="1">
      <c r="A143" s="57"/>
      <c r="B143" s="34" t="str">
        <f t="shared" si="4"/>
        <v/>
      </c>
      <c r="C143" s="57"/>
      <c r="D143" s="57"/>
      <c r="E143" s="57"/>
      <c r="F143" s="57"/>
      <c r="G143" s="57"/>
      <c r="H143" s="57"/>
    </row>
    <row r="144" spans="1:8" ht="15" customHeight="1">
      <c r="A144" s="57"/>
      <c r="B144" s="34" t="str">
        <f t="shared" si="4"/>
        <v/>
      </c>
      <c r="C144" s="57"/>
      <c r="D144" s="57"/>
      <c r="E144" s="57"/>
      <c r="F144" s="57"/>
      <c r="G144" s="57"/>
      <c r="H144" s="57"/>
    </row>
    <row r="145" spans="1:8" ht="15" customHeight="1">
      <c r="A145" s="57"/>
      <c r="B145" s="34" t="str">
        <f t="shared" si="4"/>
        <v/>
      </c>
      <c r="C145" s="57"/>
      <c r="D145" s="57"/>
      <c r="E145" s="57"/>
      <c r="F145" s="57"/>
      <c r="G145" s="57"/>
      <c r="H145" s="57"/>
    </row>
    <row r="146" spans="1:8" ht="15" customHeight="1">
      <c r="A146" s="57"/>
      <c r="B146" s="34" t="str">
        <f t="shared" si="4"/>
        <v/>
      </c>
      <c r="C146" s="57"/>
      <c r="D146" s="57"/>
      <c r="E146" s="57"/>
      <c r="F146" s="57"/>
      <c r="G146" s="57"/>
      <c r="H146" s="57"/>
    </row>
    <row r="147" spans="1:8" ht="15" customHeight="1">
      <c r="A147" s="57"/>
      <c r="B147" s="34" t="str">
        <f t="shared" si="4"/>
        <v/>
      </c>
      <c r="C147" s="57"/>
      <c r="D147" s="57"/>
      <c r="E147" s="57"/>
      <c r="F147" s="57"/>
      <c r="G147" s="57"/>
      <c r="H147" s="57"/>
    </row>
    <row r="148" spans="1:8" ht="15" customHeight="1">
      <c r="A148" s="57"/>
      <c r="B148" s="34" t="str">
        <f t="shared" si="4"/>
        <v/>
      </c>
      <c r="C148" s="57"/>
      <c r="D148" s="57"/>
      <c r="E148" s="57"/>
      <c r="F148" s="57"/>
      <c r="G148" s="57"/>
      <c r="H148" s="57"/>
    </row>
    <row r="149" spans="1:8" ht="15" customHeight="1">
      <c r="A149" s="57"/>
      <c r="B149" s="34" t="str">
        <f t="shared" si="4"/>
        <v/>
      </c>
      <c r="C149" s="57"/>
      <c r="D149" s="57"/>
      <c r="E149" s="57"/>
      <c r="F149" s="57"/>
      <c r="G149" s="57"/>
      <c r="H149" s="57"/>
    </row>
    <row r="150" spans="1:8" ht="15" customHeight="1">
      <c r="A150" s="57"/>
      <c r="B150" s="34" t="str">
        <f t="shared" si="4"/>
        <v/>
      </c>
      <c r="C150" s="57"/>
      <c r="D150" s="57"/>
      <c r="E150" s="57"/>
      <c r="F150" s="57"/>
      <c r="G150" s="57"/>
      <c r="H150" s="57"/>
    </row>
    <row r="151" spans="1:8" ht="15" customHeight="1">
      <c r="A151" s="57"/>
      <c r="B151" s="34" t="str">
        <f t="shared" si="4"/>
        <v/>
      </c>
      <c r="C151" s="57"/>
      <c r="D151" s="57"/>
      <c r="E151" s="57"/>
      <c r="F151" s="57"/>
      <c r="G151" s="57"/>
      <c r="H151" s="57"/>
    </row>
    <row r="152" spans="1:8" ht="15" customHeight="1">
      <c r="A152" s="57"/>
      <c r="B152" s="34" t="str">
        <f t="shared" si="4"/>
        <v/>
      </c>
      <c r="C152" s="57"/>
      <c r="D152" s="57"/>
      <c r="E152" s="57"/>
      <c r="F152" s="57"/>
      <c r="G152" s="57"/>
      <c r="H152" s="57"/>
    </row>
    <row r="153" spans="1:8" ht="15" customHeight="1">
      <c r="A153" s="57"/>
      <c r="B153" s="34" t="str">
        <f t="shared" si="4"/>
        <v/>
      </c>
      <c r="C153" s="57"/>
      <c r="D153" s="57"/>
      <c r="E153" s="57"/>
      <c r="F153" s="57"/>
      <c r="G153" s="57"/>
      <c r="H153" s="57"/>
    </row>
    <row r="154" spans="1:8" ht="15" customHeight="1">
      <c r="A154" s="57"/>
      <c r="B154" s="34" t="str">
        <f t="shared" si="4"/>
        <v/>
      </c>
      <c r="C154" s="57"/>
      <c r="D154" s="57"/>
      <c r="E154" s="57"/>
      <c r="F154" s="57"/>
      <c r="G154" s="57"/>
      <c r="H154" s="57"/>
    </row>
    <row r="155" spans="1:8" ht="15" customHeight="1">
      <c r="A155" s="57"/>
      <c r="B155" s="34" t="str">
        <f t="shared" si="4"/>
        <v/>
      </c>
      <c r="C155" s="57"/>
      <c r="D155" s="57"/>
      <c r="E155" s="57"/>
      <c r="F155" s="57"/>
      <c r="G155" s="57"/>
      <c r="H155" s="57"/>
    </row>
    <row r="156" spans="1:8" ht="15" customHeight="1">
      <c r="A156" s="57"/>
      <c r="B156" s="34" t="str">
        <f t="shared" si="4"/>
        <v/>
      </c>
      <c r="C156" s="57"/>
      <c r="D156" s="57"/>
      <c r="E156" s="57"/>
      <c r="F156" s="57"/>
      <c r="G156" s="57"/>
      <c r="H156" s="57"/>
    </row>
    <row r="157" spans="1:8" ht="15" customHeight="1">
      <c r="A157" s="57"/>
      <c r="B157" s="34" t="str">
        <f t="shared" si="4"/>
        <v/>
      </c>
      <c r="C157" s="57"/>
      <c r="D157" s="57"/>
      <c r="E157" s="57"/>
      <c r="F157" s="57"/>
      <c r="G157" s="57"/>
      <c r="H157" s="57"/>
    </row>
    <row r="158" spans="1:8" ht="15" customHeight="1">
      <c r="A158" s="57"/>
      <c r="B158" s="34" t="str">
        <f t="shared" si="4"/>
        <v/>
      </c>
      <c r="C158" s="57"/>
      <c r="D158" s="57"/>
      <c r="E158" s="57"/>
      <c r="F158" s="57"/>
      <c r="G158" s="57"/>
      <c r="H158" s="57"/>
    </row>
    <row r="159" spans="1:8" ht="15" customHeight="1">
      <c r="A159" s="57"/>
      <c r="B159" s="34" t="str">
        <f t="shared" si="4"/>
        <v/>
      </c>
      <c r="C159" s="57"/>
      <c r="D159" s="57"/>
      <c r="E159" s="57"/>
      <c r="F159" s="57"/>
      <c r="G159" s="57"/>
      <c r="H159" s="57"/>
    </row>
    <row r="160" spans="1:8" ht="15" customHeight="1">
      <c r="A160" s="57"/>
      <c r="B160" s="34" t="str">
        <f t="shared" si="4"/>
        <v/>
      </c>
      <c r="C160" s="57"/>
      <c r="D160" s="57"/>
      <c r="E160" s="57"/>
      <c r="F160" s="57"/>
      <c r="G160" s="57"/>
      <c r="H160" s="57"/>
    </row>
    <row r="161" spans="1:8" ht="15" customHeight="1">
      <c r="A161" s="57"/>
      <c r="B161" s="34" t="str">
        <f t="shared" si="4"/>
        <v/>
      </c>
      <c r="C161" s="57"/>
      <c r="D161" s="57"/>
      <c r="E161" s="57"/>
      <c r="F161" s="57"/>
      <c r="G161" s="57"/>
      <c r="H161" s="57"/>
    </row>
    <row r="162" spans="1:8" ht="15" customHeight="1">
      <c r="A162" s="57"/>
      <c r="B162" s="34" t="str">
        <f t="shared" si="4"/>
        <v/>
      </c>
      <c r="C162" s="57"/>
      <c r="D162" s="57"/>
      <c r="E162" s="57"/>
      <c r="F162" s="57"/>
      <c r="G162" s="57"/>
      <c r="H162" s="57"/>
    </row>
    <row r="163" spans="1:8" ht="15" customHeight="1">
      <c r="A163" s="57"/>
      <c r="B163" s="34" t="str">
        <f t="shared" si="4"/>
        <v/>
      </c>
      <c r="C163" s="57"/>
      <c r="D163" s="57"/>
      <c r="E163" s="57"/>
      <c r="F163" s="57"/>
      <c r="G163" s="57"/>
      <c r="H163" s="57"/>
    </row>
    <row r="164" spans="1:8" ht="15" customHeight="1">
      <c r="A164" s="57"/>
      <c r="B164" s="34" t="str">
        <f t="shared" si="4"/>
        <v/>
      </c>
      <c r="C164" s="57"/>
      <c r="D164" s="57"/>
      <c r="E164" s="57"/>
      <c r="F164" s="57"/>
      <c r="G164" s="57"/>
      <c r="H164" s="57"/>
    </row>
    <row r="165" spans="1:8" ht="15" customHeight="1">
      <c r="A165" s="57"/>
      <c r="B165" s="34" t="str">
        <f t="shared" si="4"/>
        <v/>
      </c>
      <c r="C165" s="57"/>
      <c r="D165" s="57"/>
      <c r="E165" s="57"/>
      <c r="F165" s="57"/>
      <c r="G165" s="57"/>
      <c r="H165" s="57"/>
    </row>
    <row r="168" spans="1:8" ht="19.5" customHeight="1">
      <c r="A168" s="296" t="s">
        <v>1933</v>
      </c>
      <c r="B168" s="262"/>
      <c r="C168" s="262"/>
      <c r="D168" s="262"/>
      <c r="E168" s="262"/>
      <c r="F168" s="262"/>
      <c r="G168" s="262"/>
      <c r="H168" s="262"/>
    </row>
    <row r="169" spans="1:8" ht="25.5" customHeight="1">
      <c r="A169" s="32" t="s">
        <v>1875</v>
      </c>
      <c r="B169" s="32" t="s">
        <v>1648</v>
      </c>
      <c r="C169" s="32" t="s">
        <v>1586</v>
      </c>
      <c r="D169" s="32" t="s">
        <v>1934</v>
      </c>
      <c r="E169" s="32" t="s">
        <v>696</v>
      </c>
      <c r="F169" s="32" t="s">
        <v>1935</v>
      </c>
      <c r="G169" s="32" t="s">
        <v>1936</v>
      </c>
      <c r="H169" s="32" t="s">
        <v>175</v>
      </c>
    </row>
    <row r="170" spans="1:8" ht="15" customHeight="1">
      <c r="A170" s="57"/>
      <c r="B170" s="57"/>
      <c r="C170" s="34" t="str">
        <f>IFERROR(INDEX(tbl_Projets[Titre complet du projet],MATCH(B170,tbl_Projets[ID Projet],0)),"")</f>
        <v/>
      </c>
      <c r="D170" s="57"/>
      <c r="E170" s="57"/>
      <c r="F170" s="50"/>
      <c r="G170" s="50"/>
      <c r="H170" s="57"/>
    </row>
    <row r="171" spans="1:8" ht="15" customHeight="1">
      <c r="A171" s="57"/>
      <c r="B171" s="57"/>
      <c r="C171" s="34" t="str">
        <f>IFERROR(INDEX(tbl_Projets[Titre complet du projet],MATCH(B171,tbl_Projets[ID Projet],0)),"")</f>
        <v/>
      </c>
      <c r="D171" s="57"/>
      <c r="E171" s="57"/>
      <c r="F171" s="50"/>
      <c r="G171" s="50"/>
      <c r="H171" s="57"/>
    </row>
    <row r="172" spans="1:8" ht="15" customHeight="1">
      <c r="A172" s="57"/>
      <c r="B172" s="57"/>
      <c r="C172" s="34" t="str">
        <f>IFERROR(INDEX(tbl_Projets[Titre complet du projet],MATCH(B172,tbl_Projets[ID Projet],0)),"")</f>
        <v/>
      </c>
      <c r="D172" s="57"/>
      <c r="E172" s="57"/>
      <c r="F172" s="50"/>
      <c r="G172" s="50"/>
      <c r="H172" s="57"/>
    </row>
    <row r="173" spans="1:8" ht="15" customHeight="1">
      <c r="A173" s="57"/>
      <c r="B173" s="57"/>
      <c r="C173" s="34" t="str">
        <f>IFERROR(INDEX(tbl_Projets[Titre complet du projet],MATCH(B173,tbl_Projets[ID Projet],0)),"")</f>
        <v/>
      </c>
      <c r="D173" s="57"/>
      <c r="E173" s="57"/>
      <c r="F173" s="50"/>
      <c r="G173" s="50"/>
      <c r="H173" s="57"/>
    </row>
    <row r="174" spans="1:8" ht="15" customHeight="1">
      <c r="A174" s="57"/>
      <c r="B174" s="57"/>
      <c r="C174" s="34" t="str">
        <f>IFERROR(INDEX(tbl_Projets[Titre complet du projet],MATCH(B174,tbl_Projets[ID Projet],0)),"")</f>
        <v/>
      </c>
      <c r="D174" s="57"/>
      <c r="E174" s="57"/>
      <c r="F174" s="50"/>
      <c r="G174" s="50"/>
      <c r="H174" s="57"/>
    </row>
    <row r="175" spans="1:8" ht="15" customHeight="1">
      <c r="A175" s="57"/>
      <c r="B175" s="57"/>
      <c r="C175" s="34" t="str">
        <f>IFERROR(INDEX(tbl_Projets[Titre complet du projet],MATCH(B175,tbl_Projets[ID Projet],0)),"")</f>
        <v/>
      </c>
      <c r="D175" s="57"/>
      <c r="E175" s="57"/>
      <c r="F175" s="50"/>
      <c r="G175" s="50"/>
      <c r="H175" s="57"/>
    </row>
    <row r="176" spans="1:8" ht="15" customHeight="1">
      <c r="A176" s="57"/>
      <c r="B176" s="57"/>
      <c r="C176" s="34" t="str">
        <f>IFERROR(INDEX(tbl_Projets[Titre complet du projet],MATCH(B176,tbl_Projets[ID Projet],0)),"")</f>
        <v/>
      </c>
      <c r="D176" s="57"/>
      <c r="E176" s="57"/>
      <c r="F176" s="50"/>
      <c r="G176" s="50"/>
      <c r="H176" s="57"/>
    </row>
    <row r="177" spans="1:8" ht="15" customHeight="1">
      <c r="A177" s="57"/>
      <c r="B177" s="57"/>
      <c r="C177" s="34" t="str">
        <f>IFERROR(INDEX(tbl_Projets[Titre complet du projet],MATCH(B177,tbl_Projets[ID Projet],0)),"")</f>
        <v/>
      </c>
      <c r="D177" s="57"/>
      <c r="E177" s="57"/>
      <c r="F177" s="50"/>
      <c r="G177" s="50"/>
      <c r="H177" s="57"/>
    </row>
    <row r="178" spans="1:8" ht="15" customHeight="1">
      <c r="A178" s="57"/>
      <c r="B178" s="57"/>
      <c r="C178" s="34" t="str">
        <f>IFERROR(INDEX(tbl_Projets[Titre complet du projet],MATCH(B178,tbl_Projets[ID Projet],0)),"")</f>
        <v/>
      </c>
      <c r="D178" s="57"/>
      <c r="E178" s="57"/>
      <c r="F178" s="50"/>
      <c r="G178" s="50"/>
      <c r="H178" s="57"/>
    </row>
    <row r="179" spans="1:8" ht="15" customHeight="1">
      <c r="A179" s="57"/>
      <c r="B179" s="57"/>
      <c r="C179" s="34" t="str">
        <f>IFERROR(INDEX(tbl_Projets[Titre complet du projet],MATCH(B179,tbl_Projets[ID Projet],0)),"")</f>
        <v/>
      </c>
      <c r="D179" s="57"/>
      <c r="E179" s="57"/>
      <c r="F179" s="50"/>
      <c r="G179" s="50"/>
      <c r="H179" s="57"/>
    </row>
    <row r="180" spans="1:8" ht="15" customHeight="1">
      <c r="A180" s="57"/>
      <c r="B180" s="57"/>
      <c r="C180" s="34" t="str">
        <f>IFERROR(INDEX(tbl_Projets[Titre complet du projet],MATCH(B180,tbl_Projets[ID Projet],0)),"")</f>
        <v/>
      </c>
      <c r="D180" s="57"/>
      <c r="E180" s="57"/>
      <c r="F180" s="50"/>
      <c r="G180" s="50"/>
      <c r="H180" s="57"/>
    </row>
    <row r="181" spans="1:8" ht="15" customHeight="1">
      <c r="A181" s="57"/>
      <c r="B181" s="57"/>
      <c r="C181" s="34" t="str">
        <f>IFERROR(INDEX(tbl_Projets[Titre complet du projet],MATCH(B181,tbl_Projets[ID Projet],0)),"")</f>
        <v/>
      </c>
      <c r="D181" s="57"/>
      <c r="E181" s="57"/>
      <c r="F181" s="50"/>
      <c r="G181" s="50"/>
      <c r="H181" s="57"/>
    </row>
    <row r="182" spans="1:8" ht="15" customHeight="1">
      <c r="A182" s="57"/>
      <c r="B182" s="57"/>
      <c r="C182" s="34" t="str">
        <f>IFERROR(INDEX(tbl_Projets[Titre complet du projet],MATCH(B182,tbl_Projets[ID Projet],0)),"")</f>
        <v/>
      </c>
      <c r="D182" s="57"/>
      <c r="E182" s="57"/>
      <c r="F182" s="50"/>
      <c r="G182" s="50"/>
      <c r="H182" s="57"/>
    </row>
    <row r="183" spans="1:8" ht="15" customHeight="1">
      <c r="A183" s="57"/>
      <c r="B183" s="57"/>
      <c r="C183" s="34" t="str">
        <f>IFERROR(INDEX(tbl_Projets[Titre complet du projet],MATCH(B183,tbl_Projets[ID Projet],0)),"")</f>
        <v/>
      </c>
      <c r="D183" s="57"/>
      <c r="E183" s="57"/>
      <c r="F183" s="50"/>
      <c r="G183" s="50"/>
      <c r="H183" s="57"/>
    </row>
    <row r="184" spans="1:8" ht="15" customHeight="1">
      <c r="A184" s="57"/>
      <c r="B184" s="57"/>
      <c r="C184" s="34" t="str">
        <f>IFERROR(INDEX(tbl_Projets[Titre complet du projet],MATCH(B184,tbl_Projets[ID Projet],0)),"")</f>
        <v/>
      </c>
      <c r="D184" s="57"/>
      <c r="E184" s="57"/>
      <c r="F184" s="50"/>
      <c r="G184" s="50"/>
      <c r="H184" s="57"/>
    </row>
    <row r="185" spans="1:8" ht="15" customHeight="1">
      <c r="A185" s="57"/>
      <c r="B185" s="57"/>
      <c r="C185" s="34" t="str">
        <f>IFERROR(INDEX(tbl_Projets[Titre complet du projet],MATCH(B185,tbl_Projets[ID Projet],0)),"")</f>
        <v/>
      </c>
      <c r="D185" s="57"/>
      <c r="E185" s="57"/>
      <c r="F185" s="50"/>
      <c r="G185" s="50"/>
      <c r="H185" s="57"/>
    </row>
    <row r="186" spans="1:8" ht="15" customHeight="1">
      <c r="A186" s="57"/>
      <c r="B186" s="57"/>
      <c r="C186" s="34" t="str">
        <f>IFERROR(INDEX(tbl_Projets[Titre complet du projet],MATCH(B186,tbl_Projets[ID Projet],0)),"")</f>
        <v/>
      </c>
      <c r="D186" s="57"/>
      <c r="E186" s="57"/>
      <c r="F186" s="50"/>
      <c r="G186" s="50"/>
      <c r="H186" s="57"/>
    </row>
    <row r="187" spans="1:8" ht="15" customHeight="1">
      <c r="A187" s="57"/>
      <c r="B187" s="57"/>
      <c r="C187" s="34" t="str">
        <f>IFERROR(INDEX(tbl_Projets[Titre complet du projet],MATCH(B187,tbl_Projets[ID Projet],0)),"")</f>
        <v/>
      </c>
      <c r="D187" s="57"/>
      <c r="E187" s="57"/>
      <c r="F187" s="50"/>
      <c r="G187" s="50"/>
      <c r="H187" s="57"/>
    </row>
    <row r="188" spans="1:8" ht="15" customHeight="1">
      <c r="A188" s="57"/>
      <c r="B188" s="57"/>
      <c r="C188" s="34" t="str">
        <f>IFERROR(INDEX(tbl_Projets[Titre complet du projet],MATCH(B188,tbl_Projets[ID Projet],0)),"")</f>
        <v/>
      </c>
      <c r="D188" s="57"/>
      <c r="E188" s="57"/>
      <c r="F188" s="50"/>
      <c r="G188" s="50"/>
      <c r="H188" s="57"/>
    </row>
    <row r="189" spans="1:8" ht="15" customHeight="1">
      <c r="A189" s="57"/>
      <c r="B189" s="57"/>
      <c r="C189" s="34" t="str">
        <f>IFERROR(INDEX(tbl_Projets[Titre complet du projet],MATCH(B189,tbl_Projets[ID Projet],0)),"")</f>
        <v/>
      </c>
      <c r="D189" s="57"/>
      <c r="E189" s="57"/>
      <c r="F189" s="50"/>
      <c r="G189" s="50"/>
      <c r="H189" s="57"/>
    </row>
    <row r="190" spans="1:8" ht="15" customHeight="1">
      <c r="A190" s="57"/>
      <c r="B190" s="57"/>
      <c r="C190" s="34" t="str">
        <f>IFERROR(INDEX(tbl_Projets[Titre complet du projet],MATCH(B190,tbl_Projets[ID Projet],0)),"")</f>
        <v/>
      </c>
      <c r="D190" s="57"/>
      <c r="E190" s="57"/>
      <c r="F190" s="50"/>
      <c r="G190" s="50"/>
      <c r="H190" s="57"/>
    </row>
    <row r="191" spans="1:8" ht="15" customHeight="1">
      <c r="A191" s="57"/>
      <c r="B191" s="57"/>
      <c r="C191" s="34" t="str">
        <f>IFERROR(INDEX(tbl_Projets[Titre complet du projet],MATCH(B191,tbl_Projets[ID Projet],0)),"")</f>
        <v/>
      </c>
      <c r="D191" s="57"/>
      <c r="E191" s="57"/>
      <c r="F191" s="50"/>
      <c r="G191" s="50"/>
      <c r="H191" s="57"/>
    </row>
    <row r="192" spans="1:8" ht="15" customHeight="1">
      <c r="A192" s="57"/>
      <c r="B192" s="57"/>
      <c r="C192" s="34" t="str">
        <f>IFERROR(INDEX(tbl_Projets[Titre complet du projet],MATCH(B192,tbl_Projets[ID Projet],0)),"")</f>
        <v/>
      </c>
      <c r="D192" s="57"/>
      <c r="E192" s="57"/>
      <c r="F192" s="50"/>
      <c r="G192" s="50"/>
      <c r="H192" s="57"/>
    </row>
    <row r="193" spans="1:8" ht="15" customHeight="1">
      <c r="A193" s="57"/>
      <c r="B193" s="57"/>
      <c r="C193" s="34" t="str">
        <f>IFERROR(INDEX(tbl_Projets[Titre complet du projet],MATCH(B193,tbl_Projets[ID Projet],0)),"")</f>
        <v/>
      </c>
      <c r="D193" s="57"/>
      <c r="E193" s="57"/>
      <c r="F193" s="50"/>
      <c r="G193" s="50"/>
      <c r="H193" s="57"/>
    </row>
    <row r="194" spans="1:8" ht="15" customHeight="1">
      <c r="A194" s="57"/>
      <c r="B194" s="57"/>
      <c r="C194" s="34" t="str">
        <f>IFERROR(INDEX(tbl_Projets[Titre complet du projet],MATCH(B194,tbl_Projets[ID Projet],0)),"")</f>
        <v/>
      </c>
      <c r="D194" s="57"/>
      <c r="E194" s="57"/>
      <c r="F194" s="50"/>
      <c r="G194" s="50"/>
      <c r="H194" s="57"/>
    </row>
    <row r="195" spans="1:8" ht="15" customHeight="1">
      <c r="A195" s="57"/>
      <c r="B195" s="57"/>
      <c r="C195" s="34" t="str">
        <f>IFERROR(INDEX(tbl_Projets[Titre complet du projet],MATCH(B195,tbl_Projets[ID Projet],0)),"")</f>
        <v/>
      </c>
      <c r="D195" s="57"/>
      <c r="E195" s="57"/>
      <c r="F195" s="50"/>
      <c r="G195" s="50"/>
      <c r="H195" s="57"/>
    </row>
    <row r="196" spans="1:8" ht="15" customHeight="1">
      <c r="A196" s="57"/>
      <c r="B196" s="57"/>
      <c r="C196" s="34" t="str">
        <f>IFERROR(INDEX(tbl_Projets[Titre complet du projet],MATCH(B196,tbl_Projets[ID Projet],0)),"")</f>
        <v/>
      </c>
      <c r="D196" s="57"/>
      <c r="E196" s="57"/>
      <c r="F196" s="50"/>
      <c r="G196" s="50"/>
      <c r="H196" s="57"/>
    </row>
    <row r="197" spans="1:8" ht="15" customHeight="1">
      <c r="A197" s="57"/>
      <c r="B197" s="57"/>
      <c r="C197" s="34" t="str">
        <f>IFERROR(INDEX(tbl_Projets[Titre complet du projet],MATCH(B197,tbl_Projets[ID Projet],0)),"")</f>
        <v/>
      </c>
      <c r="D197" s="57"/>
      <c r="E197" s="57"/>
      <c r="F197" s="50"/>
      <c r="G197" s="50"/>
      <c r="H197" s="57"/>
    </row>
    <row r="198" spans="1:8" ht="15" customHeight="1">
      <c r="A198" s="57"/>
      <c r="B198" s="57"/>
      <c r="C198" s="34" t="str">
        <f>IFERROR(INDEX(tbl_Projets[Titre complet du projet],MATCH(B198,tbl_Projets[ID Projet],0)),"")</f>
        <v/>
      </c>
      <c r="D198" s="57"/>
      <c r="E198" s="57"/>
      <c r="F198" s="50"/>
      <c r="G198" s="50"/>
      <c r="H198" s="57"/>
    </row>
    <row r="199" spans="1:8" ht="15" customHeight="1">
      <c r="A199" s="57"/>
      <c r="B199" s="57"/>
      <c r="C199" s="34" t="str">
        <f>IFERROR(INDEX(tbl_Projets[Titre complet du projet],MATCH(B199,tbl_Projets[ID Projet],0)),"")</f>
        <v/>
      </c>
      <c r="D199" s="57"/>
      <c r="E199" s="57"/>
      <c r="F199" s="50"/>
      <c r="G199" s="50"/>
      <c r="H199" s="57"/>
    </row>
    <row r="202" spans="1:8" ht="19.5" customHeight="1">
      <c r="A202" s="296" t="s">
        <v>1937</v>
      </c>
      <c r="B202" s="262"/>
      <c r="C202" s="262"/>
      <c r="D202" s="262"/>
      <c r="E202" s="262"/>
      <c r="F202" s="262"/>
      <c r="G202" s="262"/>
      <c r="H202" s="262"/>
    </row>
    <row r="203" spans="1:8" ht="25.5" customHeight="1">
      <c r="A203" s="32" t="s">
        <v>1875</v>
      </c>
      <c r="B203" s="32" t="s">
        <v>1427</v>
      </c>
      <c r="C203" s="32" t="s">
        <v>1938</v>
      </c>
      <c r="D203" s="32" t="s">
        <v>1939</v>
      </c>
      <c r="E203" s="32" t="s">
        <v>1935</v>
      </c>
      <c r="F203" s="32" t="s">
        <v>1936</v>
      </c>
      <c r="G203" s="32" t="s">
        <v>175</v>
      </c>
      <c r="H203" s="32" t="s">
        <v>1940</v>
      </c>
    </row>
    <row r="204" spans="1:8" ht="15" customHeight="1">
      <c r="A204" s="57"/>
      <c r="B204" s="57"/>
      <c r="C204" s="57"/>
      <c r="D204" s="50"/>
      <c r="E204" s="50"/>
      <c r="F204" s="50"/>
      <c r="G204" s="57"/>
      <c r="H204" s="34" t="str">
        <f t="shared" ref="H204:H233" ca="1" si="5">IF(F204="","",F204-TODAY())</f>
        <v/>
      </c>
    </row>
    <row r="205" spans="1:8" ht="15" customHeight="1">
      <c r="A205" s="57"/>
      <c r="B205" s="57"/>
      <c r="C205" s="57"/>
      <c r="D205" s="50"/>
      <c r="E205" s="50"/>
      <c r="F205" s="50"/>
      <c r="G205" s="57"/>
      <c r="H205" s="34" t="str">
        <f t="shared" ca="1" si="5"/>
        <v/>
      </c>
    </row>
    <row r="206" spans="1:8" ht="15" customHeight="1">
      <c r="A206" s="57"/>
      <c r="B206" s="57"/>
      <c r="C206" s="57"/>
      <c r="D206" s="50"/>
      <c r="E206" s="50"/>
      <c r="F206" s="50"/>
      <c r="G206" s="57"/>
      <c r="H206" s="34" t="str">
        <f t="shared" ca="1" si="5"/>
        <v/>
      </c>
    </row>
    <row r="207" spans="1:8" ht="15" customHeight="1">
      <c r="A207" s="57"/>
      <c r="B207" s="57"/>
      <c r="C207" s="57"/>
      <c r="D207" s="50"/>
      <c r="E207" s="50"/>
      <c r="F207" s="50"/>
      <c r="G207" s="57"/>
      <c r="H207" s="34" t="str">
        <f t="shared" ca="1" si="5"/>
        <v/>
      </c>
    </row>
    <row r="208" spans="1:8" ht="15" customHeight="1">
      <c r="A208" s="57"/>
      <c r="B208" s="57"/>
      <c r="C208" s="57"/>
      <c r="D208" s="50"/>
      <c r="E208" s="50"/>
      <c r="F208" s="50"/>
      <c r="G208" s="57"/>
      <c r="H208" s="34" t="str">
        <f t="shared" ca="1" si="5"/>
        <v/>
      </c>
    </row>
    <row r="209" spans="1:8" ht="15" customHeight="1">
      <c r="A209" s="57"/>
      <c r="B209" s="57"/>
      <c r="C209" s="57"/>
      <c r="D209" s="50"/>
      <c r="E209" s="50"/>
      <c r="F209" s="50"/>
      <c r="G209" s="57"/>
      <c r="H209" s="34" t="str">
        <f t="shared" ca="1" si="5"/>
        <v/>
      </c>
    </row>
    <row r="210" spans="1:8" ht="15" customHeight="1">
      <c r="A210" s="57"/>
      <c r="B210" s="57"/>
      <c r="C210" s="57"/>
      <c r="D210" s="50"/>
      <c r="E210" s="50"/>
      <c r="F210" s="50"/>
      <c r="G210" s="57"/>
      <c r="H210" s="34" t="str">
        <f t="shared" ca="1" si="5"/>
        <v/>
      </c>
    </row>
    <row r="211" spans="1:8" ht="15" customHeight="1">
      <c r="A211" s="57"/>
      <c r="B211" s="57"/>
      <c r="C211" s="57"/>
      <c r="D211" s="50"/>
      <c r="E211" s="50"/>
      <c r="F211" s="50"/>
      <c r="G211" s="57"/>
      <c r="H211" s="34" t="str">
        <f t="shared" ca="1" si="5"/>
        <v/>
      </c>
    </row>
    <row r="212" spans="1:8" ht="15" customHeight="1">
      <c r="A212" s="57"/>
      <c r="B212" s="57"/>
      <c r="C212" s="57"/>
      <c r="D212" s="50"/>
      <c r="E212" s="50"/>
      <c r="F212" s="50"/>
      <c r="G212" s="57"/>
      <c r="H212" s="34" t="str">
        <f t="shared" ca="1" si="5"/>
        <v/>
      </c>
    </row>
    <row r="213" spans="1:8" ht="15" customHeight="1">
      <c r="A213" s="57"/>
      <c r="B213" s="57"/>
      <c r="C213" s="57"/>
      <c r="D213" s="50"/>
      <c r="E213" s="50"/>
      <c r="F213" s="50"/>
      <c r="G213" s="57"/>
      <c r="H213" s="34" t="str">
        <f t="shared" ca="1" si="5"/>
        <v/>
      </c>
    </row>
    <row r="214" spans="1:8" ht="15" customHeight="1">
      <c r="A214" s="57"/>
      <c r="B214" s="57"/>
      <c r="C214" s="57"/>
      <c r="D214" s="50"/>
      <c r="E214" s="50"/>
      <c r="F214" s="50"/>
      <c r="G214" s="57"/>
      <c r="H214" s="34" t="str">
        <f t="shared" ca="1" si="5"/>
        <v/>
      </c>
    </row>
    <row r="215" spans="1:8" ht="15" customHeight="1">
      <c r="A215" s="57"/>
      <c r="B215" s="57"/>
      <c r="C215" s="57"/>
      <c r="D215" s="50"/>
      <c r="E215" s="50"/>
      <c r="F215" s="50"/>
      <c r="G215" s="57"/>
      <c r="H215" s="34" t="str">
        <f t="shared" ca="1" si="5"/>
        <v/>
      </c>
    </row>
    <row r="216" spans="1:8" ht="15" customHeight="1">
      <c r="A216" s="57"/>
      <c r="B216" s="57"/>
      <c r="C216" s="57"/>
      <c r="D216" s="50"/>
      <c r="E216" s="50"/>
      <c r="F216" s="50"/>
      <c r="G216" s="57"/>
      <c r="H216" s="34" t="str">
        <f t="shared" ca="1" si="5"/>
        <v/>
      </c>
    </row>
    <row r="217" spans="1:8" ht="15" customHeight="1">
      <c r="A217" s="57"/>
      <c r="B217" s="57"/>
      <c r="C217" s="57"/>
      <c r="D217" s="50"/>
      <c r="E217" s="50"/>
      <c r="F217" s="50"/>
      <c r="G217" s="57"/>
      <c r="H217" s="34" t="str">
        <f t="shared" ca="1" si="5"/>
        <v/>
      </c>
    </row>
    <row r="218" spans="1:8" ht="15" customHeight="1">
      <c r="A218" s="57"/>
      <c r="B218" s="57"/>
      <c r="C218" s="57"/>
      <c r="D218" s="50"/>
      <c r="E218" s="50"/>
      <c r="F218" s="50"/>
      <c r="G218" s="57"/>
      <c r="H218" s="34" t="str">
        <f t="shared" ca="1" si="5"/>
        <v/>
      </c>
    </row>
    <row r="219" spans="1:8" ht="15" customHeight="1">
      <c r="A219" s="57"/>
      <c r="B219" s="57"/>
      <c r="C219" s="57"/>
      <c r="D219" s="50"/>
      <c r="E219" s="50"/>
      <c r="F219" s="50"/>
      <c r="G219" s="57"/>
      <c r="H219" s="34" t="str">
        <f t="shared" ca="1" si="5"/>
        <v/>
      </c>
    </row>
    <row r="220" spans="1:8" ht="15" customHeight="1">
      <c r="A220" s="57"/>
      <c r="B220" s="57"/>
      <c r="C220" s="57"/>
      <c r="D220" s="50"/>
      <c r="E220" s="50"/>
      <c r="F220" s="50"/>
      <c r="G220" s="57"/>
      <c r="H220" s="34" t="str">
        <f t="shared" ca="1" si="5"/>
        <v/>
      </c>
    </row>
    <row r="221" spans="1:8" ht="15" customHeight="1">
      <c r="A221" s="57"/>
      <c r="B221" s="57"/>
      <c r="C221" s="57"/>
      <c r="D221" s="50"/>
      <c r="E221" s="50"/>
      <c r="F221" s="50"/>
      <c r="G221" s="57"/>
      <c r="H221" s="34" t="str">
        <f t="shared" ca="1" si="5"/>
        <v/>
      </c>
    </row>
    <row r="222" spans="1:8" ht="15" customHeight="1">
      <c r="A222" s="57"/>
      <c r="B222" s="57"/>
      <c r="C222" s="57"/>
      <c r="D222" s="50"/>
      <c r="E222" s="50"/>
      <c r="F222" s="50"/>
      <c r="G222" s="57"/>
      <c r="H222" s="34" t="str">
        <f t="shared" ca="1" si="5"/>
        <v/>
      </c>
    </row>
    <row r="223" spans="1:8" ht="15" customHeight="1">
      <c r="A223" s="57"/>
      <c r="B223" s="57"/>
      <c r="C223" s="57"/>
      <c r="D223" s="50"/>
      <c r="E223" s="50"/>
      <c r="F223" s="50"/>
      <c r="G223" s="57"/>
      <c r="H223" s="34" t="str">
        <f t="shared" ca="1" si="5"/>
        <v/>
      </c>
    </row>
    <row r="224" spans="1:8" ht="15" customHeight="1">
      <c r="A224" s="57"/>
      <c r="B224" s="57"/>
      <c r="C224" s="57"/>
      <c r="D224" s="50"/>
      <c r="E224" s="50"/>
      <c r="F224" s="50"/>
      <c r="G224" s="57"/>
      <c r="H224" s="34" t="str">
        <f t="shared" ca="1" si="5"/>
        <v/>
      </c>
    </row>
    <row r="225" spans="1:8" ht="15" customHeight="1">
      <c r="A225" s="57"/>
      <c r="B225" s="57"/>
      <c r="C225" s="57"/>
      <c r="D225" s="50"/>
      <c r="E225" s="50"/>
      <c r="F225" s="50"/>
      <c r="G225" s="57"/>
      <c r="H225" s="34" t="str">
        <f t="shared" ca="1" si="5"/>
        <v/>
      </c>
    </row>
    <row r="226" spans="1:8" ht="15" customHeight="1">
      <c r="A226" s="57"/>
      <c r="B226" s="57"/>
      <c r="C226" s="57"/>
      <c r="D226" s="50"/>
      <c r="E226" s="50"/>
      <c r="F226" s="50"/>
      <c r="G226" s="57"/>
      <c r="H226" s="34" t="str">
        <f t="shared" ca="1" si="5"/>
        <v/>
      </c>
    </row>
    <row r="227" spans="1:8" ht="15" customHeight="1">
      <c r="A227" s="57"/>
      <c r="B227" s="57"/>
      <c r="C227" s="57"/>
      <c r="D227" s="50"/>
      <c r="E227" s="50"/>
      <c r="F227" s="50"/>
      <c r="G227" s="57"/>
      <c r="H227" s="34" t="str">
        <f t="shared" ca="1" si="5"/>
        <v/>
      </c>
    </row>
    <row r="228" spans="1:8" ht="15" customHeight="1">
      <c r="A228" s="57"/>
      <c r="B228" s="57"/>
      <c r="C228" s="57"/>
      <c r="D228" s="50"/>
      <c r="E228" s="50"/>
      <c r="F228" s="50"/>
      <c r="G228" s="57"/>
      <c r="H228" s="34" t="str">
        <f t="shared" ca="1" si="5"/>
        <v/>
      </c>
    </row>
    <row r="229" spans="1:8" ht="15" customHeight="1">
      <c r="A229" s="57"/>
      <c r="B229" s="57"/>
      <c r="C229" s="57"/>
      <c r="D229" s="50"/>
      <c r="E229" s="50"/>
      <c r="F229" s="50"/>
      <c r="G229" s="57"/>
      <c r="H229" s="34" t="str">
        <f t="shared" ca="1" si="5"/>
        <v/>
      </c>
    </row>
    <row r="230" spans="1:8" ht="15" customHeight="1">
      <c r="A230" s="57"/>
      <c r="B230" s="57"/>
      <c r="C230" s="57"/>
      <c r="D230" s="50"/>
      <c r="E230" s="50"/>
      <c r="F230" s="50"/>
      <c r="G230" s="57"/>
      <c r="H230" s="34" t="str">
        <f t="shared" ca="1" si="5"/>
        <v/>
      </c>
    </row>
    <row r="231" spans="1:8" ht="15" customHeight="1">
      <c r="A231" s="57"/>
      <c r="B231" s="57"/>
      <c r="C231" s="57"/>
      <c r="D231" s="50"/>
      <c r="E231" s="50"/>
      <c r="F231" s="50"/>
      <c r="G231" s="57"/>
      <c r="H231" s="34" t="str">
        <f t="shared" ca="1" si="5"/>
        <v/>
      </c>
    </row>
    <row r="232" spans="1:8" ht="15" customHeight="1">
      <c r="A232" s="57"/>
      <c r="B232" s="57"/>
      <c r="C232" s="57"/>
      <c r="D232" s="50"/>
      <c r="E232" s="50"/>
      <c r="F232" s="50"/>
      <c r="G232" s="57"/>
      <c r="H232" s="34" t="str">
        <f t="shared" ca="1" si="5"/>
        <v/>
      </c>
    </row>
    <row r="233" spans="1:8" ht="15" customHeight="1">
      <c r="A233" s="57"/>
      <c r="B233" s="57"/>
      <c r="C233" s="57"/>
      <c r="D233" s="50"/>
      <c r="E233" s="50"/>
      <c r="F233" s="50"/>
      <c r="G233" s="57"/>
      <c r="H233" s="34" t="str">
        <f t="shared" ca="1" si="5"/>
        <v/>
      </c>
    </row>
    <row r="236" spans="1:8" ht="19.5" customHeight="1">
      <c r="A236" s="296" t="s">
        <v>1941</v>
      </c>
      <c r="B236" s="262"/>
      <c r="C236" s="262"/>
      <c r="D236" s="262"/>
      <c r="E236" s="262"/>
      <c r="F236" s="262"/>
    </row>
    <row r="237" spans="1:8" ht="25.5" customHeight="1">
      <c r="A237" s="32" t="s">
        <v>1875</v>
      </c>
      <c r="B237" s="32" t="s">
        <v>1427</v>
      </c>
      <c r="C237" s="32" t="s">
        <v>1603</v>
      </c>
      <c r="D237" s="32" t="s">
        <v>1428</v>
      </c>
      <c r="E237" s="32" t="s">
        <v>175</v>
      </c>
      <c r="F237" s="32" t="s">
        <v>1942</v>
      </c>
    </row>
    <row r="238" spans="1:8" ht="15" customHeight="1">
      <c r="A238" s="57"/>
      <c r="B238" s="57"/>
      <c r="C238" s="57"/>
      <c r="D238" s="50"/>
      <c r="E238" s="57"/>
      <c r="F238" s="57"/>
    </row>
    <row r="239" spans="1:8" ht="15" customHeight="1">
      <c r="A239" s="57"/>
      <c r="B239" s="57"/>
      <c r="C239" s="57"/>
      <c r="D239" s="50"/>
      <c r="E239" s="57"/>
      <c r="F239" s="57"/>
    </row>
    <row r="240" spans="1:8" ht="15" customHeight="1">
      <c r="A240" s="57"/>
      <c r="B240" s="57"/>
      <c r="C240" s="57"/>
      <c r="D240" s="50"/>
      <c r="E240" s="57"/>
      <c r="F240" s="57"/>
    </row>
    <row r="241" spans="1:6" ht="15" customHeight="1">
      <c r="A241" s="57"/>
      <c r="B241" s="57"/>
      <c r="C241" s="57"/>
      <c r="D241" s="50"/>
      <c r="E241" s="57"/>
      <c r="F241" s="57"/>
    </row>
    <row r="242" spans="1:6" ht="15" customHeight="1">
      <c r="A242" s="57"/>
      <c r="B242" s="57"/>
      <c r="C242" s="57"/>
      <c r="D242" s="50"/>
      <c r="E242" s="57"/>
      <c r="F242" s="57"/>
    </row>
    <row r="243" spans="1:6" ht="15" customHeight="1">
      <c r="A243" s="57"/>
      <c r="B243" s="57"/>
      <c r="C243" s="57"/>
      <c r="D243" s="50"/>
      <c r="E243" s="57"/>
      <c r="F243" s="57"/>
    </row>
    <row r="244" spans="1:6" ht="15" customHeight="1">
      <c r="A244" s="57"/>
      <c r="B244" s="57"/>
      <c r="C244" s="57"/>
      <c r="D244" s="50"/>
      <c r="E244" s="57"/>
      <c r="F244" s="57"/>
    </row>
    <row r="245" spans="1:6" ht="15" customHeight="1">
      <c r="A245" s="57"/>
      <c r="B245" s="57"/>
      <c r="C245" s="57"/>
      <c r="D245" s="50"/>
      <c r="E245" s="57"/>
      <c r="F245" s="57"/>
    </row>
    <row r="246" spans="1:6" ht="15" customHeight="1">
      <c r="A246" s="57"/>
      <c r="B246" s="57"/>
      <c r="C246" s="57"/>
      <c r="D246" s="50"/>
      <c r="E246" s="57"/>
      <c r="F246" s="57"/>
    </row>
    <row r="247" spans="1:6" ht="15" customHeight="1">
      <c r="A247" s="57"/>
      <c r="B247" s="57"/>
      <c r="C247" s="57"/>
      <c r="D247" s="50"/>
      <c r="E247" s="57"/>
      <c r="F247" s="57"/>
    </row>
    <row r="248" spans="1:6" ht="15" customHeight="1">
      <c r="A248" s="57"/>
      <c r="B248" s="57"/>
      <c r="C248" s="57"/>
      <c r="D248" s="50"/>
      <c r="E248" s="57"/>
      <c r="F248" s="57"/>
    </row>
    <row r="249" spans="1:6" ht="15" customHeight="1">
      <c r="A249" s="57"/>
      <c r="B249" s="57"/>
      <c r="C249" s="57"/>
      <c r="D249" s="50"/>
      <c r="E249" s="57"/>
      <c r="F249" s="57"/>
    </row>
    <row r="250" spans="1:6" ht="15" customHeight="1">
      <c r="A250" s="57"/>
      <c r="B250" s="57"/>
      <c r="C250" s="57"/>
      <c r="D250" s="50"/>
      <c r="E250" s="57"/>
      <c r="F250" s="57"/>
    </row>
    <row r="251" spans="1:6" ht="15" customHeight="1">
      <c r="A251" s="57"/>
      <c r="B251" s="57"/>
      <c r="C251" s="57"/>
      <c r="D251" s="50"/>
      <c r="E251" s="57"/>
      <c r="F251" s="57"/>
    </row>
    <row r="252" spans="1:6" ht="15" customHeight="1">
      <c r="A252" s="57"/>
      <c r="B252" s="57"/>
      <c r="C252" s="57"/>
      <c r="D252" s="50"/>
      <c r="E252" s="57"/>
      <c r="F252" s="57"/>
    </row>
    <row r="253" spans="1:6" ht="15" customHeight="1">
      <c r="A253" s="57"/>
      <c r="B253" s="57"/>
      <c r="C253" s="57"/>
      <c r="D253" s="50"/>
      <c r="E253" s="57"/>
      <c r="F253" s="57"/>
    </row>
    <row r="254" spans="1:6" ht="15" customHeight="1">
      <c r="A254" s="57"/>
      <c r="B254" s="57"/>
      <c r="C254" s="57"/>
      <c r="D254" s="50"/>
      <c r="E254" s="57"/>
      <c r="F254" s="57"/>
    </row>
    <row r="255" spans="1:6" ht="15" customHeight="1">
      <c r="A255" s="57"/>
      <c r="B255" s="57"/>
      <c r="C255" s="57"/>
      <c r="D255" s="50"/>
      <c r="E255" s="57"/>
      <c r="F255" s="57"/>
    </row>
    <row r="256" spans="1:6" ht="15" customHeight="1">
      <c r="A256" s="57"/>
      <c r="B256" s="57"/>
      <c r="C256" s="57"/>
      <c r="D256" s="50"/>
      <c r="E256" s="57"/>
      <c r="F256" s="57"/>
    </row>
    <row r="257" spans="1:7" ht="15" customHeight="1">
      <c r="A257" s="57"/>
      <c r="B257" s="57"/>
      <c r="C257" s="57"/>
      <c r="D257" s="50"/>
      <c r="E257" s="57"/>
      <c r="F257" s="57"/>
    </row>
    <row r="258" spans="1:7" ht="15" customHeight="1">
      <c r="A258" s="57"/>
      <c r="B258" s="57"/>
      <c r="C258" s="57"/>
      <c r="D258" s="50"/>
      <c r="E258" s="57"/>
      <c r="F258" s="57"/>
    </row>
    <row r="259" spans="1:7" ht="15" customHeight="1">
      <c r="A259" s="57"/>
      <c r="B259" s="57"/>
      <c r="C259" s="57"/>
      <c r="D259" s="50"/>
      <c r="E259" s="57"/>
      <c r="F259" s="57"/>
    </row>
    <row r="260" spans="1:7" ht="15" customHeight="1">
      <c r="A260" s="57"/>
      <c r="B260" s="57"/>
      <c r="C260" s="57"/>
      <c r="D260" s="50"/>
      <c r="E260" s="57"/>
      <c r="F260" s="57"/>
    </row>
    <row r="261" spans="1:7" ht="15" customHeight="1">
      <c r="A261" s="57"/>
      <c r="B261" s="57"/>
      <c r="C261" s="57"/>
      <c r="D261" s="50"/>
      <c r="E261" s="57"/>
      <c r="F261" s="57"/>
    </row>
    <row r="262" spans="1:7" ht="15" customHeight="1">
      <c r="A262" s="57"/>
      <c r="B262" s="57"/>
      <c r="C262" s="57"/>
      <c r="D262" s="50"/>
      <c r="E262" s="57"/>
      <c r="F262" s="57"/>
    </row>
    <row r="263" spans="1:7" ht="15" customHeight="1">
      <c r="A263" s="57"/>
      <c r="B263" s="57"/>
      <c r="C263" s="57"/>
      <c r="D263" s="50"/>
      <c r="E263" s="57"/>
      <c r="F263" s="57"/>
    </row>
    <row r="264" spans="1:7" ht="15" customHeight="1">
      <c r="A264" s="57"/>
      <c r="B264" s="57"/>
      <c r="C264" s="57"/>
      <c r="D264" s="50"/>
      <c r="E264" s="57"/>
      <c r="F264" s="57"/>
    </row>
    <row r="265" spans="1:7" ht="15" customHeight="1">
      <c r="A265" s="57"/>
      <c r="B265" s="57"/>
      <c r="C265" s="57"/>
      <c r="D265" s="50"/>
      <c r="E265" s="57"/>
      <c r="F265" s="57"/>
    </row>
    <row r="266" spans="1:7" ht="15" customHeight="1">
      <c r="A266" s="57"/>
      <c r="B266" s="57"/>
      <c r="C266" s="57"/>
      <c r="D266" s="50"/>
      <c r="E266" s="57"/>
      <c r="F266" s="57"/>
    </row>
    <row r="267" spans="1:7" ht="15" customHeight="1">
      <c r="A267" s="57"/>
      <c r="B267" s="57"/>
      <c r="C267" s="57"/>
      <c r="D267" s="50"/>
      <c r="E267" s="57"/>
      <c r="F267" s="57"/>
    </row>
    <row r="270" spans="1:7" ht="19.5" customHeight="1">
      <c r="A270" s="296" t="s">
        <v>1943</v>
      </c>
      <c r="B270" s="262"/>
      <c r="C270" s="262"/>
      <c r="D270" s="262"/>
      <c r="E270" s="262"/>
      <c r="F270" s="262"/>
      <c r="G270" s="262"/>
    </row>
    <row r="271" spans="1:7" ht="25.5" customHeight="1">
      <c r="A271" s="32" t="s">
        <v>1875</v>
      </c>
      <c r="B271" s="32" t="s">
        <v>1428</v>
      </c>
      <c r="C271" s="32" t="s">
        <v>1944</v>
      </c>
      <c r="D271" s="32" t="s">
        <v>1945</v>
      </c>
      <c r="E271" s="32" t="s">
        <v>1626</v>
      </c>
      <c r="F271" s="32" t="s">
        <v>1408</v>
      </c>
      <c r="G271" s="32" t="s">
        <v>1503</v>
      </c>
    </row>
    <row r="272" spans="1:7" ht="15" customHeight="1">
      <c r="A272" s="57"/>
      <c r="B272" s="50"/>
      <c r="C272" s="57"/>
      <c r="D272" s="57"/>
      <c r="E272" s="57"/>
      <c r="F272" s="57"/>
      <c r="G272" s="57"/>
    </row>
    <row r="273" spans="1:7" ht="15" customHeight="1">
      <c r="A273" s="57"/>
      <c r="B273" s="50"/>
      <c r="C273" s="57"/>
      <c r="D273" s="57"/>
      <c r="E273" s="57"/>
      <c r="F273" s="57"/>
      <c r="G273" s="57"/>
    </row>
    <row r="274" spans="1:7" ht="15" customHeight="1">
      <c r="A274" s="57"/>
      <c r="B274" s="50"/>
      <c r="C274" s="57"/>
      <c r="D274" s="57"/>
      <c r="E274" s="57"/>
      <c r="F274" s="57"/>
      <c r="G274" s="57"/>
    </row>
    <row r="275" spans="1:7" ht="15" customHeight="1">
      <c r="A275" s="57"/>
      <c r="B275" s="50"/>
      <c r="C275" s="57"/>
      <c r="D275" s="57"/>
      <c r="E275" s="57"/>
      <c r="F275" s="57"/>
      <c r="G275" s="57"/>
    </row>
    <row r="276" spans="1:7" ht="15" customHeight="1">
      <c r="A276" s="57"/>
      <c r="B276" s="50"/>
      <c r="C276" s="57"/>
      <c r="D276" s="57"/>
      <c r="E276" s="57"/>
      <c r="F276" s="57"/>
      <c r="G276" s="57"/>
    </row>
    <row r="277" spans="1:7" ht="15" customHeight="1">
      <c r="A277" s="57"/>
      <c r="B277" s="50"/>
      <c r="C277" s="57"/>
      <c r="D277" s="57"/>
      <c r="E277" s="57"/>
      <c r="F277" s="57"/>
      <c r="G277" s="57"/>
    </row>
    <row r="278" spans="1:7" ht="15" customHeight="1">
      <c r="A278" s="57"/>
      <c r="B278" s="50"/>
      <c r="C278" s="57"/>
      <c r="D278" s="57"/>
      <c r="E278" s="57"/>
      <c r="F278" s="57"/>
      <c r="G278" s="57"/>
    </row>
    <row r="279" spans="1:7" ht="15" customHeight="1">
      <c r="A279" s="57"/>
      <c r="B279" s="50"/>
      <c r="C279" s="57"/>
      <c r="D279" s="57"/>
      <c r="E279" s="57"/>
      <c r="F279" s="57"/>
      <c r="G279" s="57"/>
    </row>
    <row r="280" spans="1:7" ht="15" customHeight="1">
      <c r="A280" s="57"/>
      <c r="B280" s="50"/>
      <c r="C280" s="57"/>
      <c r="D280" s="57"/>
      <c r="E280" s="57"/>
      <c r="F280" s="57"/>
      <c r="G280" s="57"/>
    </row>
    <row r="281" spans="1:7" ht="15" customHeight="1">
      <c r="A281" s="57"/>
      <c r="B281" s="50"/>
      <c r="C281" s="57"/>
      <c r="D281" s="57"/>
      <c r="E281" s="57"/>
      <c r="F281" s="57"/>
      <c r="G281" s="57"/>
    </row>
    <row r="282" spans="1:7" ht="15" customHeight="1">
      <c r="A282" s="57"/>
      <c r="B282" s="50"/>
      <c r="C282" s="57"/>
      <c r="D282" s="57"/>
      <c r="E282" s="57"/>
      <c r="F282" s="57"/>
      <c r="G282" s="57"/>
    </row>
    <row r="283" spans="1:7" ht="15" customHeight="1">
      <c r="A283" s="57"/>
      <c r="B283" s="50"/>
      <c r="C283" s="57"/>
      <c r="D283" s="57"/>
      <c r="E283" s="57"/>
      <c r="F283" s="57"/>
      <c r="G283" s="57"/>
    </row>
    <row r="284" spans="1:7" ht="15" customHeight="1">
      <c r="A284" s="57"/>
      <c r="B284" s="50"/>
      <c r="C284" s="57"/>
      <c r="D284" s="57"/>
      <c r="E284" s="57"/>
      <c r="F284" s="57"/>
      <c r="G284" s="57"/>
    </row>
    <row r="285" spans="1:7" ht="15" customHeight="1">
      <c r="A285" s="57"/>
      <c r="B285" s="50"/>
      <c r="C285" s="57"/>
      <c r="D285" s="57"/>
      <c r="E285" s="57"/>
      <c r="F285" s="57"/>
      <c r="G285" s="57"/>
    </row>
    <row r="286" spans="1:7" ht="15" customHeight="1">
      <c r="A286" s="57"/>
      <c r="B286" s="50"/>
      <c r="C286" s="57"/>
      <c r="D286" s="57"/>
      <c r="E286" s="57"/>
      <c r="F286" s="57"/>
      <c r="G286" s="57"/>
    </row>
    <row r="287" spans="1:7" ht="15" customHeight="1">
      <c r="A287" s="57"/>
      <c r="B287" s="50"/>
      <c r="C287" s="57"/>
      <c r="D287" s="57"/>
      <c r="E287" s="57"/>
      <c r="F287" s="57"/>
      <c r="G287" s="57"/>
    </row>
    <row r="288" spans="1:7" ht="15" customHeight="1">
      <c r="A288" s="57"/>
      <c r="B288" s="50"/>
      <c r="C288" s="57"/>
      <c r="D288" s="57"/>
      <c r="E288" s="57"/>
      <c r="F288" s="57"/>
      <c r="G288" s="57"/>
    </row>
    <row r="289" spans="1:10" ht="15" customHeight="1">
      <c r="A289" s="57"/>
      <c r="B289" s="50"/>
      <c r="C289" s="57"/>
      <c r="D289" s="57"/>
      <c r="E289" s="57"/>
      <c r="F289" s="57"/>
      <c r="G289" s="57"/>
    </row>
    <row r="290" spans="1:10" ht="15" customHeight="1">
      <c r="A290" s="57"/>
      <c r="B290" s="50"/>
      <c r="C290" s="57"/>
      <c r="D290" s="57"/>
      <c r="E290" s="57"/>
      <c r="F290" s="57"/>
      <c r="G290" s="57"/>
    </row>
    <row r="291" spans="1:10" ht="15" customHeight="1">
      <c r="A291" s="57"/>
      <c r="B291" s="50"/>
      <c r="C291" s="57"/>
      <c r="D291" s="57"/>
      <c r="E291" s="57"/>
      <c r="F291" s="57"/>
      <c r="G291" s="57"/>
    </row>
    <row r="292" spans="1:10" ht="15" customHeight="1">
      <c r="A292" s="57"/>
      <c r="B292" s="50"/>
      <c r="C292" s="57"/>
      <c r="D292" s="57"/>
      <c r="E292" s="57"/>
      <c r="F292" s="57"/>
      <c r="G292" s="57"/>
    </row>
    <row r="293" spans="1:10" ht="15" customHeight="1">
      <c r="A293" s="57"/>
      <c r="B293" s="50"/>
      <c r="C293" s="57"/>
      <c r="D293" s="57"/>
      <c r="E293" s="57"/>
      <c r="F293" s="57"/>
      <c r="G293" s="57"/>
    </row>
    <row r="294" spans="1:10" ht="15" customHeight="1">
      <c r="A294" s="57"/>
      <c r="B294" s="50"/>
      <c r="C294" s="57"/>
      <c r="D294" s="57"/>
      <c r="E294" s="57"/>
      <c r="F294" s="57"/>
      <c r="G294" s="57"/>
    </row>
    <row r="295" spans="1:10" ht="15" customHeight="1">
      <c r="A295" s="57"/>
      <c r="B295" s="50"/>
      <c r="C295" s="57"/>
      <c r="D295" s="57"/>
      <c r="E295" s="57"/>
      <c r="F295" s="57"/>
      <c r="G295" s="57"/>
    </row>
    <row r="296" spans="1:10" ht="15" customHeight="1">
      <c r="A296" s="57"/>
      <c r="B296" s="50"/>
      <c r="C296" s="57"/>
      <c r="D296" s="57"/>
      <c r="E296" s="57"/>
      <c r="F296" s="57"/>
      <c r="G296" s="57"/>
    </row>
    <row r="297" spans="1:10" ht="15" customHeight="1">
      <c r="A297" s="57"/>
      <c r="B297" s="50"/>
      <c r="C297" s="57"/>
      <c r="D297" s="57"/>
      <c r="E297" s="57"/>
      <c r="F297" s="57"/>
      <c r="G297" s="57"/>
    </row>
    <row r="298" spans="1:10" ht="15" customHeight="1">
      <c r="A298" s="57"/>
      <c r="B298" s="50"/>
      <c r="C298" s="57"/>
      <c r="D298" s="57"/>
      <c r="E298" s="57"/>
      <c r="F298" s="57"/>
      <c r="G298" s="57"/>
    </row>
    <row r="299" spans="1:10" ht="15" customHeight="1">
      <c r="A299" s="57"/>
      <c r="B299" s="50"/>
      <c r="C299" s="57"/>
      <c r="D299" s="57"/>
      <c r="E299" s="57"/>
      <c r="F299" s="57"/>
      <c r="G299" s="57"/>
    </row>
    <row r="300" spans="1:10" ht="15" customHeight="1">
      <c r="A300" s="57"/>
      <c r="B300" s="50"/>
      <c r="C300" s="57"/>
      <c r="D300" s="57"/>
      <c r="E300" s="57"/>
      <c r="F300" s="57"/>
      <c r="G300" s="57"/>
    </row>
    <row r="301" spans="1:10" ht="15" customHeight="1">
      <c r="A301" s="57"/>
      <c r="B301" s="50"/>
      <c r="C301" s="57"/>
      <c r="D301" s="57"/>
      <c r="E301" s="57"/>
      <c r="F301" s="57"/>
      <c r="G301" s="57"/>
    </row>
    <row r="304" spans="1:10" ht="19.5" customHeight="1">
      <c r="A304" s="296" t="s">
        <v>1946</v>
      </c>
      <c r="B304" s="262"/>
      <c r="C304" s="262"/>
      <c r="D304" s="262"/>
      <c r="E304" s="262"/>
      <c r="F304" s="262"/>
      <c r="G304" s="262"/>
      <c r="H304" s="262"/>
      <c r="I304" s="262"/>
      <c r="J304" s="262"/>
    </row>
    <row r="305" spans="1:10" ht="25.5" customHeight="1">
      <c r="A305" s="32" t="s">
        <v>1875</v>
      </c>
      <c r="B305" s="32" t="s">
        <v>1831</v>
      </c>
      <c r="C305" s="32" t="s">
        <v>1947</v>
      </c>
      <c r="D305" s="32" t="s">
        <v>1948</v>
      </c>
      <c r="E305" s="32" t="s">
        <v>1949</v>
      </c>
      <c r="F305" s="32" t="s">
        <v>1950</v>
      </c>
      <c r="G305" s="32" t="s">
        <v>1951</v>
      </c>
      <c r="H305" s="32" t="s">
        <v>1833</v>
      </c>
      <c r="I305" s="32" t="s">
        <v>1952</v>
      </c>
      <c r="J305" s="32" t="s">
        <v>1953</v>
      </c>
    </row>
    <row r="306" spans="1:10" ht="15" customHeight="1">
      <c r="A306" s="57"/>
      <c r="B306" s="50"/>
      <c r="C306" s="57"/>
      <c r="D306" s="57"/>
      <c r="E306" s="57"/>
      <c r="F306" s="57"/>
      <c r="G306" s="57"/>
      <c r="H306" s="57"/>
      <c r="I306" s="63" t="str">
        <f t="shared" ref="I306:I335" si="6">IFERROR(AVERAGE(C306:H306),"")</f>
        <v/>
      </c>
      <c r="J306" s="57"/>
    </row>
    <row r="307" spans="1:10" ht="15" customHeight="1">
      <c r="A307" s="57"/>
      <c r="B307" s="50"/>
      <c r="C307" s="57"/>
      <c r="D307" s="57"/>
      <c r="E307" s="57"/>
      <c r="F307" s="57"/>
      <c r="G307" s="57"/>
      <c r="H307" s="57"/>
      <c r="I307" s="63" t="str">
        <f t="shared" si="6"/>
        <v/>
      </c>
      <c r="J307" s="57"/>
    </row>
    <row r="308" spans="1:10" ht="15" customHeight="1">
      <c r="A308" s="57"/>
      <c r="B308" s="50"/>
      <c r="C308" s="57"/>
      <c r="D308" s="57"/>
      <c r="E308" s="57"/>
      <c r="F308" s="57"/>
      <c r="G308" s="57"/>
      <c r="H308" s="57"/>
      <c r="I308" s="63" t="str">
        <f t="shared" si="6"/>
        <v/>
      </c>
      <c r="J308" s="57"/>
    </row>
    <row r="309" spans="1:10" ht="15" customHeight="1">
      <c r="A309" s="57"/>
      <c r="B309" s="50"/>
      <c r="C309" s="57"/>
      <c r="D309" s="57"/>
      <c r="E309" s="57"/>
      <c r="F309" s="57"/>
      <c r="G309" s="57"/>
      <c r="H309" s="57"/>
      <c r="I309" s="63" t="str">
        <f t="shared" si="6"/>
        <v/>
      </c>
      <c r="J309" s="57"/>
    </row>
    <row r="310" spans="1:10" ht="15" customHeight="1">
      <c r="A310" s="57"/>
      <c r="B310" s="50"/>
      <c r="C310" s="57"/>
      <c r="D310" s="57"/>
      <c r="E310" s="57"/>
      <c r="F310" s="57"/>
      <c r="G310" s="57"/>
      <c r="H310" s="57"/>
      <c r="I310" s="63" t="str">
        <f t="shared" si="6"/>
        <v/>
      </c>
      <c r="J310" s="57"/>
    </row>
    <row r="311" spans="1:10" ht="15" customHeight="1">
      <c r="A311" s="57"/>
      <c r="B311" s="50"/>
      <c r="C311" s="57"/>
      <c r="D311" s="57"/>
      <c r="E311" s="57"/>
      <c r="F311" s="57"/>
      <c r="G311" s="57"/>
      <c r="H311" s="57"/>
      <c r="I311" s="63" t="str">
        <f t="shared" si="6"/>
        <v/>
      </c>
      <c r="J311" s="57"/>
    </row>
    <row r="312" spans="1:10" ht="15" customHeight="1">
      <c r="A312" s="57"/>
      <c r="B312" s="50"/>
      <c r="C312" s="57"/>
      <c r="D312" s="57"/>
      <c r="E312" s="57"/>
      <c r="F312" s="57"/>
      <c r="G312" s="57"/>
      <c r="H312" s="57"/>
      <c r="I312" s="63" t="str">
        <f t="shared" si="6"/>
        <v/>
      </c>
      <c r="J312" s="57"/>
    </row>
    <row r="313" spans="1:10" ht="15" customHeight="1">
      <c r="A313" s="57"/>
      <c r="B313" s="50"/>
      <c r="C313" s="57"/>
      <c r="D313" s="57"/>
      <c r="E313" s="57"/>
      <c r="F313" s="57"/>
      <c r="G313" s="57"/>
      <c r="H313" s="57"/>
      <c r="I313" s="63" t="str">
        <f t="shared" si="6"/>
        <v/>
      </c>
      <c r="J313" s="57"/>
    </row>
    <row r="314" spans="1:10" ht="15" customHeight="1">
      <c r="A314" s="57"/>
      <c r="B314" s="50"/>
      <c r="C314" s="57"/>
      <c r="D314" s="57"/>
      <c r="E314" s="57"/>
      <c r="F314" s="57"/>
      <c r="G314" s="57"/>
      <c r="H314" s="57"/>
      <c r="I314" s="63" t="str">
        <f t="shared" si="6"/>
        <v/>
      </c>
      <c r="J314" s="57"/>
    </row>
    <row r="315" spans="1:10" ht="15" customHeight="1">
      <c r="A315" s="57"/>
      <c r="B315" s="50"/>
      <c r="C315" s="57"/>
      <c r="D315" s="57"/>
      <c r="E315" s="57"/>
      <c r="F315" s="57"/>
      <c r="G315" s="57"/>
      <c r="H315" s="57"/>
      <c r="I315" s="63" t="str">
        <f t="shared" si="6"/>
        <v/>
      </c>
      <c r="J315" s="57"/>
    </row>
    <row r="316" spans="1:10" ht="15" customHeight="1">
      <c r="A316" s="57"/>
      <c r="B316" s="50"/>
      <c r="C316" s="57"/>
      <c r="D316" s="57"/>
      <c r="E316" s="57"/>
      <c r="F316" s="57"/>
      <c r="G316" s="57"/>
      <c r="H316" s="57"/>
      <c r="I316" s="63" t="str">
        <f t="shared" si="6"/>
        <v/>
      </c>
      <c r="J316" s="57"/>
    </row>
    <row r="317" spans="1:10" ht="15" customHeight="1">
      <c r="A317" s="57"/>
      <c r="B317" s="50"/>
      <c r="C317" s="57"/>
      <c r="D317" s="57"/>
      <c r="E317" s="57"/>
      <c r="F317" s="57"/>
      <c r="G317" s="57"/>
      <c r="H317" s="57"/>
      <c r="I317" s="63" t="str">
        <f t="shared" si="6"/>
        <v/>
      </c>
      <c r="J317" s="57"/>
    </row>
    <row r="318" spans="1:10" ht="15" customHeight="1">
      <c r="A318" s="57"/>
      <c r="B318" s="50"/>
      <c r="C318" s="57"/>
      <c r="D318" s="57"/>
      <c r="E318" s="57"/>
      <c r="F318" s="57"/>
      <c r="G318" s="57"/>
      <c r="H318" s="57"/>
      <c r="I318" s="63" t="str">
        <f t="shared" si="6"/>
        <v/>
      </c>
      <c r="J318" s="57"/>
    </row>
    <row r="319" spans="1:10" ht="15" customHeight="1">
      <c r="A319" s="57"/>
      <c r="B319" s="50"/>
      <c r="C319" s="57"/>
      <c r="D319" s="57"/>
      <c r="E319" s="57"/>
      <c r="F319" s="57"/>
      <c r="G319" s="57"/>
      <c r="H319" s="57"/>
      <c r="I319" s="63" t="str">
        <f t="shared" si="6"/>
        <v/>
      </c>
      <c r="J319" s="57"/>
    </row>
    <row r="320" spans="1:10" ht="15" customHeight="1">
      <c r="A320" s="57"/>
      <c r="B320" s="50"/>
      <c r="C320" s="57"/>
      <c r="D320" s="57"/>
      <c r="E320" s="57"/>
      <c r="F320" s="57"/>
      <c r="G320" s="57"/>
      <c r="H320" s="57"/>
      <c r="I320" s="63" t="str">
        <f t="shared" si="6"/>
        <v/>
      </c>
      <c r="J320" s="57"/>
    </row>
    <row r="321" spans="1:10" ht="15" customHeight="1">
      <c r="A321" s="57"/>
      <c r="B321" s="50"/>
      <c r="C321" s="57"/>
      <c r="D321" s="57"/>
      <c r="E321" s="57"/>
      <c r="F321" s="57"/>
      <c r="G321" s="57"/>
      <c r="H321" s="57"/>
      <c r="I321" s="63" t="str">
        <f t="shared" si="6"/>
        <v/>
      </c>
      <c r="J321" s="57"/>
    </row>
    <row r="322" spans="1:10" ht="15" customHeight="1">
      <c r="A322" s="57"/>
      <c r="B322" s="50"/>
      <c r="C322" s="57"/>
      <c r="D322" s="57"/>
      <c r="E322" s="57"/>
      <c r="F322" s="57"/>
      <c r="G322" s="57"/>
      <c r="H322" s="57"/>
      <c r="I322" s="63" t="str">
        <f t="shared" si="6"/>
        <v/>
      </c>
      <c r="J322" s="57"/>
    </row>
    <row r="323" spans="1:10" ht="15" customHeight="1">
      <c r="A323" s="57"/>
      <c r="B323" s="50"/>
      <c r="C323" s="57"/>
      <c r="D323" s="57"/>
      <c r="E323" s="57"/>
      <c r="F323" s="57"/>
      <c r="G323" s="57"/>
      <c r="H323" s="57"/>
      <c r="I323" s="63" t="str">
        <f t="shared" si="6"/>
        <v/>
      </c>
      <c r="J323" s="57"/>
    </row>
    <row r="324" spans="1:10" ht="15" customHeight="1">
      <c r="A324" s="57"/>
      <c r="B324" s="50"/>
      <c r="C324" s="57"/>
      <c r="D324" s="57"/>
      <c r="E324" s="57"/>
      <c r="F324" s="57"/>
      <c r="G324" s="57"/>
      <c r="H324" s="57"/>
      <c r="I324" s="63" t="str">
        <f t="shared" si="6"/>
        <v/>
      </c>
      <c r="J324" s="57"/>
    </row>
    <row r="325" spans="1:10" ht="15" customHeight="1">
      <c r="A325" s="57"/>
      <c r="B325" s="50"/>
      <c r="C325" s="57"/>
      <c r="D325" s="57"/>
      <c r="E325" s="57"/>
      <c r="F325" s="57"/>
      <c r="G325" s="57"/>
      <c r="H325" s="57"/>
      <c r="I325" s="63" t="str">
        <f t="shared" si="6"/>
        <v/>
      </c>
      <c r="J325" s="57"/>
    </row>
    <row r="326" spans="1:10" ht="15" customHeight="1">
      <c r="A326" s="57"/>
      <c r="B326" s="50"/>
      <c r="C326" s="57"/>
      <c r="D326" s="57"/>
      <c r="E326" s="57"/>
      <c r="F326" s="57"/>
      <c r="G326" s="57"/>
      <c r="H326" s="57"/>
      <c r="I326" s="63" t="str">
        <f t="shared" si="6"/>
        <v/>
      </c>
      <c r="J326" s="57"/>
    </row>
    <row r="327" spans="1:10" ht="15" customHeight="1">
      <c r="A327" s="57"/>
      <c r="B327" s="50"/>
      <c r="C327" s="57"/>
      <c r="D327" s="57"/>
      <c r="E327" s="57"/>
      <c r="F327" s="57"/>
      <c r="G327" s="57"/>
      <c r="H327" s="57"/>
      <c r="I327" s="63" t="str">
        <f t="shared" si="6"/>
        <v/>
      </c>
      <c r="J327" s="57"/>
    </row>
    <row r="328" spans="1:10" ht="15" customHeight="1">
      <c r="A328" s="57"/>
      <c r="B328" s="50"/>
      <c r="C328" s="57"/>
      <c r="D328" s="57"/>
      <c r="E328" s="57"/>
      <c r="F328" s="57"/>
      <c r="G328" s="57"/>
      <c r="H328" s="57"/>
      <c r="I328" s="63" t="str">
        <f t="shared" si="6"/>
        <v/>
      </c>
      <c r="J328" s="57"/>
    </row>
    <row r="329" spans="1:10" ht="15" customHeight="1">
      <c r="A329" s="57"/>
      <c r="B329" s="50"/>
      <c r="C329" s="57"/>
      <c r="D329" s="57"/>
      <c r="E329" s="57"/>
      <c r="F329" s="57"/>
      <c r="G329" s="57"/>
      <c r="H329" s="57"/>
      <c r="I329" s="63" t="str">
        <f t="shared" si="6"/>
        <v/>
      </c>
      <c r="J329" s="57"/>
    </row>
    <row r="330" spans="1:10" ht="15" customHeight="1">
      <c r="A330" s="57"/>
      <c r="B330" s="50"/>
      <c r="C330" s="57"/>
      <c r="D330" s="57"/>
      <c r="E330" s="57"/>
      <c r="F330" s="57"/>
      <c r="G330" s="57"/>
      <c r="H330" s="57"/>
      <c r="I330" s="63" t="str">
        <f t="shared" si="6"/>
        <v/>
      </c>
      <c r="J330" s="57"/>
    </row>
    <row r="331" spans="1:10" ht="15" customHeight="1">
      <c r="A331" s="57"/>
      <c r="B331" s="50"/>
      <c r="C331" s="57"/>
      <c r="D331" s="57"/>
      <c r="E331" s="57"/>
      <c r="F331" s="57"/>
      <c r="G331" s="57"/>
      <c r="H331" s="57"/>
      <c r="I331" s="63" t="str">
        <f t="shared" si="6"/>
        <v/>
      </c>
      <c r="J331" s="57"/>
    </row>
    <row r="332" spans="1:10" ht="15" customHeight="1">
      <c r="A332" s="57"/>
      <c r="B332" s="50"/>
      <c r="C332" s="57"/>
      <c r="D332" s="57"/>
      <c r="E332" s="57"/>
      <c r="F332" s="57"/>
      <c r="G332" s="57"/>
      <c r="H332" s="57"/>
      <c r="I332" s="63" t="str">
        <f t="shared" si="6"/>
        <v/>
      </c>
      <c r="J332" s="57"/>
    </row>
    <row r="333" spans="1:10" ht="15" customHeight="1">
      <c r="A333" s="57"/>
      <c r="B333" s="50"/>
      <c r="C333" s="57"/>
      <c r="D333" s="57"/>
      <c r="E333" s="57"/>
      <c r="F333" s="57"/>
      <c r="G333" s="57"/>
      <c r="H333" s="57"/>
      <c r="I333" s="63" t="str">
        <f t="shared" si="6"/>
        <v/>
      </c>
      <c r="J333" s="57"/>
    </row>
    <row r="334" spans="1:10" ht="15" customHeight="1">
      <c r="A334" s="57"/>
      <c r="B334" s="50"/>
      <c r="C334" s="57"/>
      <c r="D334" s="57"/>
      <c r="E334" s="57"/>
      <c r="F334" s="57"/>
      <c r="G334" s="57"/>
      <c r="H334" s="57"/>
      <c r="I334" s="63" t="str">
        <f t="shared" si="6"/>
        <v/>
      </c>
      <c r="J334" s="57"/>
    </row>
    <row r="335" spans="1:10" ht="15" customHeight="1">
      <c r="A335" s="57"/>
      <c r="B335" s="50"/>
      <c r="C335" s="57"/>
      <c r="D335" s="57"/>
      <c r="E335" s="57"/>
      <c r="F335" s="57"/>
      <c r="G335" s="57"/>
      <c r="H335" s="57"/>
      <c r="I335" s="63" t="str">
        <f t="shared" si="6"/>
        <v/>
      </c>
      <c r="J335" s="57"/>
    </row>
    <row r="338" spans="1:8" ht="19.5" customHeight="1">
      <c r="A338" s="296" t="s">
        <v>1954</v>
      </c>
      <c r="B338" s="262"/>
      <c r="C338" s="262"/>
      <c r="D338" s="262"/>
      <c r="E338" s="262"/>
      <c r="F338" s="262"/>
      <c r="G338" s="262"/>
      <c r="H338" s="262"/>
    </row>
    <row r="339" spans="1:8" ht="25.5" customHeight="1">
      <c r="A339" s="32" t="s">
        <v>1875</v>
      </c>
      <c r="B339" s="32" t="s">
        <v>1955</v>
      </c>
      <c r="C339" s="32" t="s">
        <v>1752</v>
      </c>
      <c r="D339" s="32" t="s">
        <v>1753</v>
      </c>
      <c r="E339" s="32" t="s">
        <v>1845</v>
      </c>
      <c r="F339" s="32" t="s">
        <v>1754</v>
      </c>
      <c r="G339" s="32" t="s">
        <v>1408</v>
      </c>
      <c r="H339" s="32" t="s">
        <v>175</v>
      </c>
    </row>
    <row r="340" spans="1:8" ht="15" customHeight="1">
      <c r="A340" s="57"/>
      <c r="B340" s="57"/>
      <c r="C340" s="57"/>
      <c r="D340" s="57"/>
      <c r="E340" s="57"/>
      <c r="F340" s="57"/>
      <c r="G340" s="57"/>
      <c r="H340" s="57"/>
    </row>
    <row r="341" spans="1:8" ht="15" customHeight="1">
      <c r="A341" s="57"/>
      <c r="B341" s="57"/>
      <c r="C341" s="57"/>
      <c r="D341" s="57"/>
      <c r="E341" s="57"/>
      <c r="F341" s="57"/>
      <c r="G341" s="57"/>
      <c r="H341" s="57"/>
    </row>
    <row r="342" spans="1:8" ht="15" customHeight="1">
      <c r="A342" s="57"/>
      <c r="B342" s="57"/>
      <c r="C342" s="57"/>
      <c r="D342" s="57"/>
      <c r="E342" s="57"/>
      <c r="F342" s="57"/>
      <c r="G342" s="57"/>
      <c r="H342" s="57"/>
    </row>
    <row r="343" spans="1:8" ht="15" customHeight="1">
      <c r="A343" s="57"/>
      <c r="B343" s="57"/>
      <c r="C343" s="57"/>
      <c r="D343" s="57"/>
      <c r="E343" s="57"/>
      <c r="F343" s="57"/>
      <c r="G343" s="57"/>
      <c r="H343" s="57"/>
    </row>
    <row r="344" spans="1:8" ht="15" customHeight="1">
      <c r="A344" s="57"/>
      <c r="B344" s="57"/>
      <c r="C344" s="57"/>
      <c r="D344" s="57"/>
      <c r="E344" s="57"/>
      <c r="F344" s="57"/>
      <c r="G344" s="57"/>
      <c r="H344" s="57"/>
    </row>
    <row r="345" spans="1:8" ht="15" customHeight="1">
      <c r="A345" s="57"/>
      <c r="B345" s="57"/>
      <c r="C345" s="57"/>
      <c r="D345" s="57"/>
      <c r="E345" s="57"/>
      <c r="F345" s="57"/>
      <c r="G345" s="57"/>
      <c r="H345" s="57"/>
    </row>
    <row r="346" spans="1:8" ht="15" customHeight="1">
      <c r="A346" s="57"/>
      <c r="B346" s="57"/>
      <c r="C346" s="57"/>
      <c r="D346" s="57"/>
      <c r="E346" s="57"/>
      <c r="F346" s="57"/>
      <c r="G346" s="57"/>
      <c r="H346" s="57"/>
    </row>
    <row r="347" spans="1:8" ht="15" customHeight="1">
      <c r="A347" s="57"/>
      <c r="B347" s="57"/>
      <c r="C347" s="57"/>
      <c r="D347" s="57"/>
      <c r="E347" s="57"/>
      <c r="F347" s="57"/>
      <c r="G347" s="57"/>
      <c r="H347" s="57"/>
    </row>
    <row r="348" spans="1:8" ht="15" customHeight="1">
      <c r="A348" s="57"/>
      <c r="B348" s="57"/>
      <c r="C348" s="57"/>
      <c r="D348" s="57"/>
      <c r="E348" s="57"/>
      <c r="F348" s="57"/>
      <c r="G348" s="57"/>
      <c r="H348" s="57"/>
    </row>
    <row r="349" spans="1:8" ht="15" customHeight="1">
      <c r="A349" s="57"/>
      <c r="B349" s="57"/>
      <c r="C349" s="57"/>
      <c r="D349" s="57"/>
      <c r="E349" s="57"/>
      <c r="F349" s="57"/>
      <c r="G349" s="57"/>
      <c r="H349" s="57"/>
    </row>
    <row r="350" spans="1:8" ht="15" customHeight="1">
      <c r="A350" s="57"/>
      <c r="B350" s="57"/>
      <c r="C350" s="57"/>
      <c r="D350" s="57"/>
      <c r="E350" s="57"/>
      <c r="F350" s="57"/>
      <c r="G350" s="57"/>
      <c r="H350" s="57"/>
    </row>
    <row r="351" spans="1:8" ht="15" customHeight="1">
      <c r="A351" s="57"/>
      <c r="B351" s="57"/>
      <c r="C351" s="57"/>
      <c r="D351" s="57"/>
      <c r="E351" s="57"/>
      <c r="F351" s="57"/>
      <c r="G351" s="57"/>
      <c r="H351" s="57"/>
    </row>
    <row r="352" spans="1:8" ht="15" customHeight="1">
      <c r="A352" s="57"/>
      <c r="B352" s="57"/>
      <c r="C352" s="57"/>
      <c r="D352" s="57"/>
      <c r="E352" s="57"/>
      <c r="F352" s="57"/>
      <c r="G352" s="57"/>
      <c r="H352" s="57"/>
    </row>
    <row r="353" spans="1:8" ht="15" customHeight="1">
      <c r="A353" s="57"/>
      <c r="B353" s="57"/>
      <c r="C353" s="57"/>
      <c r="D353" s="57"/>
      <c r="E353" s="57"/>
      <c r="F353" s="57"/>
      <c r="G353" s="57"/>
      <c r="H353" s="57"/>
    </row>
    <row r="354" spans="1:8" ht="15" customHeight="1">
      <c r="A354" s="57"/>
      <c r="B354" s="57"/>
      <c r="C354" s="57"/>
      <c r="D354" s="57"/>
      <c r="E354" s="57"/>
      <c r="F354" s="57"/>
      <c r="G354" s="57"/>
      <c r="H354" s="57"/>
    </row>
    <row r="355" spans="1:8" ht="15" customHeight="1">
      <c r="A355" s="57"/>
      <c r="B355" s="57"/>
      <c r="C355" s="57"/>
      <c r="D355" s="57"/>
      <c r="E355" s="57"/>
      <c r="F355" s="57"/>
      <c r="G355" s="57"/>
      <c r="H355" s="57"/>
    </row>
    <row r="356" spans="1:8" ht="15" customHeight="1">
      <c r="A356" s="57"/>
      <c r="B356" s="57"/>
      <c r="C356" s="57"/>
      <c r="D356" s="57"/>
      <c r="E356" s="57"/>
      <c r="F356" s="57"/>
      <c r="G356" s="57"/>
      <c r="H356" s="57"/>
    </row>
    <row r="357" spans="1:8" ht="15" customHeight="1">
      <c r="A357" s="57"/>
      <c r="B357" s="57"/>
      <c r="C357" s="57"/>
      <c r="D357" s="57"/>
      <c r="E357" s="57"/>
      <c r="F357" s="57"/>
      <c r="G357" s="57"/>
      <c r="H357" s="57"/>
    </row>
    <row r="358" spans="1:8" ht="15" customHeight="1">
      <c r="A358" s="57"/>
      <c r="B358" s="57"/>
      <c r="C358" s="57"/>
      <c r="D358" s="57"/>
      <c r="E358" s="57"/>
      <c r="F358" s="57"/>
      <c r="G358" s="57"/>
      <c r="H358" s="57"/>
    </row>
    <row r="359" spans="1:8" ht="15" customHeight="1">
      <c r="A359" s="57"/>
      <c r="B359" s="57"/>
      <c r="C359" s="57"/>
      <c r="D359" s="57"/>
      <c r="E359" s="57"/>
      <c r="F359" s="57"/>
      <c r="G359" s="57"/>
      <c r="H359" s="57"/>
    </row>
    <row r="360" spans="1:8" ht="15" customHeight="1">
      <c r="A360" s="57"/>
      <c r="B360" s="57"/>
      <c r="C360" s="57"/>
      <c r="D360" s="57"/>
      <c r="E360" s="57"/>
      <c r="F360" s="57"/>
      <c r="G360" s="57"/>
      <c r="H360" s="57"/>
    </row>
    <row r="361" spans="1:8" ht="15" customHeight="1">
      <c r="A361" s="57"/>
      <c r="B361" s="57"/>
      <c r="C361" s="57"/>
      <c r="D361" s="57"/>
      <c r="E361" s="57"/>
      <c r="F361" s="57"/>
      <c r="G361" s="57"/>
      <c r="H361" s="57"/>
    </row>
    <row r="362" spans="1:8" ht="15" customHeight="1">
      <c r="A362" s="57"/>
      <c r="B362" s="57"/>
      <c r="C362" s="57"/>
      <c r="D362" s="57"/>
      <c r="E362" s="57"/>
      <c r="F362" s="57"/>
      <c r="G362" s="57"/>
      <c r="H362" s="57"/>
    </row>
    <row r="363" spans="1:8" ht="15" customHeight="1">
      <c r="A363" s="57"/>
      <c r="B363" s="57"/>
      <c r="C363" s="57"/>
      <c r="D363" s="57"/>
      <c r="E363" s="57"/>
      <c r="F363" s="57"/>
      <c r="G363" s="57"/>
      <c r="H363" s="57"/>
    </row>
    <row r="364" spans="1:8" ht="15" customHeight="1">
      <c r="A364" s="57"/>
      <c r="B364" s="57"/>
      <c r="C364" s="57"/>
      <c r="D364" s="57"/>
      <c r="E364" s="57"/>
      <c r="F364" s="57"/>
      <c r="G364" s="57"/>
      <c r="H364" s="57"/>
    </row>
    <row r="365" spans="1:8" ht="15" customHeight="1">
      <c r="A365" s="57"/>
      <c r="B365" s="57"/>
      <c r="C365" s="57"/>
      <c r="D365" s="57"/>
      <c r="E365" s="57"/>
      <c r="F365" s="57"/>
      <c r="G365" s="57"/>
      <c r="H365" s="57"/>
    </row>
    <row r="366" spans="1:8" ht="15" customHeight="1">
      <c r="A366" s="57"/>
      <c r="B366" s="57"/>
      <c r="C366" s="57"/>
      <c r="D366" s="57"/>
      <c r="E366" s="57"/>
      <c r="F366" s="57"/>
      <c r="G366" s="57"/>
      <c r="H366" s="57"/>
    </row>
    <row r="367" spans="1:8" ht="15" customHeight="1">
      <c r="A367" s="57"/>
      <c r="B367" s="57"/>
      <c r="C367" s="57"/>
      <c r="D367" s="57"/>
      <c r="E367" s="57"/>
      <c r="F367" s="57"/>
      <c r="G367" s="57"/>
      <c r="H367" s="57"/>
    </row>
    <row r="368" spans="1:8" ht="15" customHeight="1">
      <c r="A368" s="57"/>
      <c r="B368" s="57"/>
      <c r="C368" s="57"/>
      <c r="D368" s="57"/>
      <c r="E368" s="57"/>
      <c r="F368" s="57"/>
      <c r="G368" s="57"/>
      <c r="H368" s="57"/>
    </row>
    <row r="369" spans="1:8" ht="15" customHeight="1">
      <c r="A369" s="57"/>
      <c r="B369" s="57"/>
      <c r="C369" s="57"/>
      <c r="D369" s="57"/>
      <c r="E369" s="57"/>
      <c r="F369" s="57"/>
      <c r="G369" s="57"/>
      <c r="H369" s="57"/>
    </row>
    <row r="372" spans="1:8" ht="19.5" customHeight="1">
      <c r="A372" s="296" t="s">
        <v>1956</v>
      </c>
      <c r="B372" s="262"/>
      <c r="C372" s="262"/>
      <c r="D372" s="262"/>
      <c r="E372" s="262"/>
      <c r="F372" s="262"/>
      <c r="G372" s="262"/>
      <c r="H372" s="262"/>
    </row>
    <row r="373" spans="1:8" ht="25.5" customHeight="1">
      <c r="A373" s="32" t="s">
        <v>1875</v>
      </c>
      <c r="B373" s="32" t="s">
        <v>1957</v>
      </c>
      <c r="C373" s="32" t="s">
        <v>1400</v>
      </c>
      <c r="D373" s="32" t="s">
        <v>1958</v>
      </c>
      <c r="E373" s="32" t="s">
        <v>1428</v>
      </c>
      <c r="F373" s="32" t="s">
        <v>1408</v>
      </c>
      <c r="G373" s="32" t="s">
        <v>175</v>
      </c>
      <c r="H373" s="32" t="s">
        <v>1959</v>
      </c>
    </row>
    <row r="374" spans="1:8" ht="15" customHeight="1">
      <c r="A374" s="57"/>
      <c r="B374" s="57"/>
      <c r="C374" s="57"/>
      <c r="D374" s="57"/>
      <c r="E374" s="50"/>
      <c r="F374" s="57"/>
      <c r="G374" s="57"/>
      <c r="H374" s="57"/>
    </row>
    <row r="375" spans="1:8" ht="15" customHeight="1">
      <c r="A375" s="57"/>
      <c r="B375" s="57"/>
      <c r="C375" s="57"/>
      <c r="D375" s="57"/>
      <c r="E375" s="50"/>
      <c r="F375" s="57"/>
      <c r="G375" s="57"/>
      <c r="H375" s="57"/>
    </row>
    <row r="376" spans="1:8" ht="15" customHeight="1">
      <c r="A376" s="57"/>
      <c r="B376" s="57"/>
      <c r="C376" s="57"/>
      <c r="D376" s="57"/>
      <c r="E376" s="50"/>
      <c r="F376" s="57"/>
      <c r="G376" s="57"/>
      <c r="H376" s="57"/>
    </row>
    <row r="377" spans="1:8" ht="15" customHeight="1">
      <c r="A377" s="57"/>
      <c r="B377" s="57"/>
      <c r="C377" s="57"/>
      <c r="D377" s="57"/>
      <c r="E377" s="50"/>
      <c r="F377" s="57"/>
      <c r="G377" s="57"/>
      <c r="H377" s="57"/>
    </row>
    <row r="378" spans="1:8" ht="15" customHeight="1">
      <c r="A378" s="57"/>
      <c r="B378" s="57"/>
      <c r="C378" s="57"/>
      <c r="D378" s="57"/>
      <c r="E378" s="50"/>
      <c r="F378" s="57"/>
      <c r="G378" s="57"/>
      <c r="H378" s="57"/>
    </row>
    <row r="379" spans="1:8" ht="15" customHeight="1">
      <c r="A379" s="57"/>
      <c r="B379" s="57"/>
      <c r="C379" s="57"/>
      <c r="D379" s="57"/>
      <c r="E379" s="50"/>
      <c r="F379" s="57"/>
      <c r="G379" s="57"/>
      <c r="H379" s="57"/>
    </row>
    <row r="380" spans="1:8" ht="15" customHeight="1">
      <c r="A380" s="57"/>
      <c r="B380" s="57"/>
      <c r="C380" s="57"/>
      <c r="D380" s="57"/>
      <c r="E380" s="50"/>
      <c r="F380" s="57"/>
      <c r="G380" s="57"/>
      <c r="H380" s="57"/>
    </row>
    <row r="381" spans="1:8" ht="15" customHeight="1">
      <c r="A381" s="57"/>
      <c r="B381" s="57"/>
      <c r="C381" s="57"/>
      <c r="D381" s="57"/>
      <c r="E381" s="50"/>
      <c r="F381" s="57"/>
      <c r="G381" s="57"/>
      <c r="H381" s="57"/>
    </row>
    <row r="382" spans="1:8" ht="15" customHeight="1">
      <c r="A382" s="57"/>
      <c r="B382" s="57"/>
      <c r="C382" s="57"/>
      <c r="D382" s="57"/>
      <c r="E382" s="50"/>
      <c r="F382" s="57"/>
      <c r="G382" s="57"/>
      <c r="H382" s="57"/>
    </row>
    <row r="383" spans="1:8" ht="15" customHeight="1">
      <c r="A383" s="57"/>
      <c r="B383" s="57"/>
      <c r="C383" s="57"/>
      <c r="D383" s="57"/>
      <c r="E383" s="50"/>
      <c r="F383" s="57"/>
      <c r="G383" s="57"/>
      <c r="H383" s="57"/>
    </row>
    <row r="384" spans="1:8" ht="15" customHeight="1">
      <c r="A384" s="57"/>
      <c r="B384" s="57"/>
      <c r="C384" s="57"/>
      <c r="D384" s="57"/>
      <c r="E384" s="50"/>
      <c r="F384" s="57"/>
      <c r="G384" s="57"/>
      <c r="H384" s="57"/>
    </row>
    <row r="385" spans="1:8" ht="15" customHeight="1">
      <c r="A385" s="57"/>
      <c r="B385" s="57"/>
      <c r="C385" s="57"/>
      <c r="D385" s="57"/>
      <c r="E385" s="50"/>
      <c r="F385" s="57"/>
      <c r="G385" s="57"/>
      <c r="H385" s="57"/>
    </row>
    <row r="386" spans="1:8" ht="15" customHeight="1">
      <c r="A386" s="57"/>
      <c r="B386" s="57"/>
      <c r="C386" s="57"/>
      <c r="D386" s="57"/>
      <c r="E386" s="50"/>
      <c r="F386" s="57"/>
      <c r="G386" s="57"/>
      <c r="H386" s="57"/>
    </row>
    <row r="387" spans="1:8" ht="15" customHeight="1">
      <c r="A387" s="57"/>
      <c r="B387" s="57"/>
      <c r="C387" s="57"/>
      <c r="D387" s="57"/>
      <c r="E387" s="50"/>
      <c r="F387" s="57"/>
      <c r="G387" s="57"/>
      <c r="H387" s="57"/>
    </row>
    <row r="388" spans="1:8" ht="15" customHeight="1">
      <c r="A388" s="57"/>
      <c r="B388" s="57"/>
      <c r="C388" s="57"/>
      <c r="D388" s="57"/>
      <c r="E388" s="50"/>
      <c r="F388" s="57"/>
      <c r="G388" s="57"/>
      <c r="H388" s="57"/>
    </row>
    <row r="389" spans="1:8" ht="15" customHeight="1">
      <c r="A389" s="57"/>
      <c r="B389" s="57"/>
      <c r="C389" s="57"/>
      <c r="D389" s="57"/>
      <c r="E389" s="50"/>
      <c r="F389" s="57"/>
      <c r="G389" s="57"/>
      <c r="H389" s="57"/>
    </row>
    <row r="390" spans="1:8" ht="15" customHeight="1">
      <c r="A390" s="57"/>
      <c r="B390" s="57"/>
      <c r="C390" s="57"/>
      <c r="D390" s="57"/>
      <c r="E390" s="50"/>
      <c r="F390" s="57"/>
      <c r="G390" s="57"/>
      <c r="H390" s="57"/>
    </row>
    <row r="391" spans="1:8" ht="15" customHeight="1">
      <c r="A391" s="57"/>
      <c r="B391" s="57"/>
      <c r="C391" s="57"/>
      <c r="D391" s="57"/>
      <c r="E391" s="50"/>
      <c r="F391" s="57"/>
      <c r="G391" s="57"/>
      <c r="H391" s="57"/>
    </row>
    <row r="392" spans="1:8" ht="15" customHeight="1">
      <c r="A392" s="57"/>
      <c r="B392" s="57"/>
      <c r="C392" s="57"/>
      <c r="D392" s="57"/>
      <c r="E392" s="50"/>
      <c r="F392" s="57"/>
      <c r="G392" s="57"/>
      <c r="H392" s="57"/>
    </row>
    <row r="393" spans="1:8" ht="15" customHeight="1">
      <c r="A393" s="57"/>
      <c r="B393" s="57"/>
      <c r="C393" s="57"/>
      <c r="D393" s="57"/>
      <c r="E393" s="50"/>
      <c r="F393" s="57"/>
      <c r="G393" s="57"/>
      <c r="H393" s="57"/>
    </row>
    <row r="394" spans="1:8" ht="15" customHeight="1">
      <c r="A394" s="57"/>
      <c r="B394" s="57"/>
      <c r="C394" s="57"/>
      <c r="D394" s="57"/>
      <c r="E394" s="50"/>
      <c r="F394" s="57"/>
      <c r="G394" s="57"/>
      <c r="H394" s="57"/>
    </row>
    <row r="395" spans="1:8" ht="15" customHeight="1">
      <c r="A395" s="57"/>
      <c r="B395" s="57"/>
      <c r="C395" s="57"/>
      <c r="D395" s="57"/>
      <c r="E395" s="50"/>
      <c r="F395" s="57"/>
      <c r="G395" s="57"/>
      <c r="H395" s="57"/>
    </row>
    <row r="396" spans="1:8" ht="15" customHeight="1">
      <c r="A396" s="57"/>
      <c r="B396" s="57"/>
      <c r="C396" s="57"/>
      <c r="D396" s="57"/>
      <c r="E396" s="50"/>
      <c r="F396" s="57"/>
      <c r="G396" s="57"/>
      <c r="H396" s="57"/>
    </row>
    <row r="397" spans="1:8" ht="15" customHeight="1">
      <c r="A397" s="57"/>
      <c r="B397" s="57"/>
      <c r="C397" s="57"/>
      <c r="D397" s="57"/>
      <c r="E397" s="50"/>
      <c r="F397" s="57"/>
      <c r="G397" s="57"/>
      <c r="H397" s="57"/>
    </row>
    <row r="398" spans="1:8" ht="15" customHeight="1">
      <c r="A398" s="57"/>
      <c r="B398" s="57"/>
      <c r="C398" s="57"/>
      <c r="D398" s="57"/>
      <c r="E398" s="50"/>
      <c r="F398" s="57"/>
      <c r="G398" s="57"/>
      <c r="H398" s="57"/>
    </row>
    <row r="399" spans="1:8" ht="15" customHeight="1">
      <c r="A399" s="57"/>
      <c r="B399" s="57"/>
      <c r="C399" s="57"/>
      <c r="D399" s="57"/>
      <c r="E399" s="50"/>
      <c r="F399" s="57"/>
      <c r="G399" s="57"/>
      <c r="H399" s="57"/>
    </row>
    <row r="400" spans="1:8" ht="15" customHeight="1">
      <c r="A400" s="57"/>
      <c r="B400" s="57"/>
      <c r="C400" s="57"/>
      <c r="D400" s="57"/>
      <c r="E400" s="50"/>
      <c r="F400" s="57"/>
      <c r="G400" s="57"/>
      <c r="H400" s="57"/>
    </row>
    <row r="401" spans="1:10" ht="15" customHeight="1">
      <c r="A401" s="57"/>
      <c r="B401" s="57"/>
      <c r="C401" s="57"/>
      <c r="D401" s="57"/>
      <c r="E401" s="50"/>
      <c r="F401" s="57"/>
      <c r="G401" s="57"/>
      <c r="H401" s="57"/>
    </row>
    <row r="402" spans="1:10" ht="15" customHeight="1">
      <c r="A402" s="57"/>
      <c r="B402" s="57"/>
      <c r="C402" s="57"/>
      <c r="D402" s="57"/>
      <c r="E402" s="50"/>
      <c r="F402" s="57"/>
      <c r="G402" s="57"/>
      <c r="H402" s="57"/>
    </row>
    <row r="403" spans="1:10" ht="15" customHeight="1">
      <c r="A403" s="57"/>
      <c r="B403" s="57"/>
      <c r="C403" s="57"/>
      <c r="D403" s="57"/>
      <c r="E403" s="50"/>
      <c r="F403" s="57"/>
      <c r="G403" s="57"/>
      <c r="H403" s="57"/>
    </row>
    <row r="406" spans="1:10" ht="19.5" customHeight="1">
      <c r="A406" s="296" t="s">
        <v>1960</v>
      </c>
      <c r="B406" s="262"/>
      <c r="C406" s="262"/>
      <c r="D406" s="262"/>
      <c r="E406" s="262"/>
      <c r="F406" s="262"/>
      <c r="G406" s="262"/>
      <c r="H406" s="262"/>
      <c r="I406" s="262"/>
      <c r="J406" s="262"/>
    </row>
    <row r="407" spans="1:10" ht="25.5" customHeight="1">
      <c r="A407" s="32" t="s">
        <v>1875</v>
      </c>
      <c r="B407" s="32" t="s">
        <v>1961</v>
      </c>
      <c r="C407" s="32" t="s">
        <v>1962</v>
      </c>
      <c r="D407" s="32" t="s">
        <v>1963</v>
      </c>
      <c r="E407" s="32" t="s">
        <v>1964</v>
      </c>
      <c r="F407" s="32" t="s">
        <v>1626</v>
      </c>
      <c r="G407" s="32" t="s">
        <v>1959</v>
      </c>
      <c r="H407" s="32" t="s">
        <v>1965</v>
      </c>
      <c r="I407" s="32" t="s">
        <v>1408</v>
      </c>
      <c r="J407" s="32" t="s">
        <v>175</v>
      </c>
    </row>
    <row r="408" spans="1:10" ht="15" customHeight="1">
      <c r="A408" s="57"/>
      <c r="B408" s="50"/>
      <c r="C408" s="57"/>
      <c r="D408" s="57"/>
      <c r="E408" s="57"/>
      <c r="F408" s="57"/>
      <c r="G408" s="57"/>
      <c r="H408" s="50"/>
      <c r="I408" s="57"/>
      <c r="J408" s="57"/>
    </row>
    <row r="409" spans="1:10" ht="15" customHeight="1">
      <c r="A409" s="57"/>
      <c r="B409" s="50"/>
      <c r="C409" s="57"/>
      <c r="D409" s="57"/>
      <c r="E409" s="57"/>
      <c r="F409" s="57"/>
      <c r="G409" s="57"/>
      <c r="H409" s="50"/>
      <c r="I409" s="57"/>
      <c r="J409" s="57"/>
    </row>
    <row r="410" spans="1:10" ht="15" customHeight="1">
      <c r="A410" s="57"/>
      <c r="B410" s="50"/>
      <c r="C410" s="57"/>
      <c r="D410" s="57"/>
      <c r="E410" s="57"/>
      <c r="F410" s="57"/>
      <c r="G410" s="57"/>
      <c r="H410" s="50"/>
      <c r="I410" s="57"/>
      <c r="J410" s="57"/>
    </row>
    <row r="411" spans="1:10" ht="15" customHeight="1">
      <c r="A411" s="57"/>
      <c r="B411" s="50"/>
      <c r="C411" s="57"/>
      <c r="D411" s="57"/>
      <c r="E411" s="57"/>
      <c r="F411" s="57"/>
      <c r="G411" s="57"/>
      <c r="H411" s="50"/>
      <c r="I411" s="57"/>
      <c r="J411" s="57"/>
    </row>
    <row r="412" spans="1:10" ht="15" customHeight="1">
      <c r="A412" s="57"/>
      <c r="B412" s="50"/>
      <c r="C412" s="57"/>
      <c r="D412" s="57"/>
      <c r="E412" s="57"/>
      <c r="F412" s="57"/>
      <c r="G412" s="57"/>
      <c r="H412" s="50"/>
      <c r="I412" s="57"/>
      <c r="J412" s="57"/>
    </row>
    <row r="413" spans="1:10" ht="15" customHeight="1">
      <c r="A413" s="57"/>
      <c r="B413" s="50"/>
      <c r="C413" s="57"/>
      <c r="D413" s="57"/>
      <c r="E413" s="57"/>
      <c r="F413" s="57"/>
      <c r="G413" s="57"/>
      <c r="H413" s="50"/>
      <c r="I413" s="57"/>
      <c r="J413" s="57"/>
    </row>
    <row r="414" spans="1:10" ht="15" customHeight="1">
      <c r="A414" s="57"/>
      <c r="B414" s="50"/>
      <c r="C414" s="57"/>
      <c r="D414" s="57"/>
      <c r="E414" s="57"/>
      <c r="F414" s="57"/>
      <c r="G414" s="57"/>
      <c r="H414" s="50"/>
      <c r="I414" s="57"/>
      <c r="J414" s="57"/>
    </row>
    <row r="415" spans="1:10" ht="15" customHeight="1">
      <c r="A415" s="57"/>
      <c r="B415" s="50"/>
      <c r="C415" s="57"/>
      <c r="D415" s="57"/>
      <c r="E415" s="57"/>
      <c r="F415" s="57"/>
      <c r="G415" s="57"/>
      <c r="H415" s="50"/>
      <c r="I415" s="57"/>
      <c r="J415" s="57"/>
    </row>
    <row r="416" spans="1:10" ht="15" customHeight="1">
      <c r="A416" s="57"/>
      <c r="B416" s="50"/>
      <c r="C416" s="57"/>
      <c r="D416" s="57"/>
      <c r="E416" s="57"/>
      <c r="F416" s="57"/>
      <c r="G416" s="57"/>
      <c r="H416" s="50"/>
      <c r="I416" s="57"/>
      <c r="J416" s="57"/>
    </row>
    <row r="417" spans="1:10" ht="15" customHeight="1">
      <c r="A417" s="57"/>
      <c r="B417" s="50"/>
      <c r="C417" s="57"/>
      <c r="D417" s="57"/>
      <c r="E417" s="57"/>
      <c r="F417" s="57"/>
      <c r="G417" s="57"/>
      <c r="H417" s="50"/>
      <c r="I417" s="57"/>
      <c r="J417" s="57"/>
    </row>
    <row r="418" spans="1:10" ht="15" customHeight="1">
      <c r="A418" s="57"/>
      <c r="B418" s="50"/>
      <c r="C418" s="57"/>
      <c r="D418" s="57"/>
      <c r="E418" s="57"/>
      <c r="F418" s="57"/>
      <c r="G418" s="57"/>
      <c r="H418" s="50"/>
      <c r="I418" s="57"/>
      <c r="J418" s="57"/>
    </row>
    <row r="419" spans="1:10" ht="15" customHeight="1">
      <c r="A419" s="57"/>
      <c r="B419" s="50"/>
      <c r="C419" s="57"/>
      <c r="D419" s="57"/>
      <c r="E419" s="57"/>
      <c r="F419" s="57"/>
      <c r="G419" s="57"/>
      <c r="H419" s="50"/>
      <c r="I419" s="57"/>
      <c r="J419" s="57"/>
    </row>
    <row r="420" spans="1:10" ht="15" customHeight="1">
      <c r="A420" s="57"/>
      <c r="B420" s="50"/>
      <c r="C420" s="57"/>
      <c r="D420" s="57"/>
      <c r="E420" s="57"/>
      <c r="F420" s="57"/>
      <c r="G420" s="57"/>
      <c r="H420" s="50"/>
      <c r="I420" s="57"/>
      <c r="J420" s="57"/>
    </row>
    <row r="421" spans="1:10" ht="15" customHeight="1">
      <c r="A421" s="57"/>
      <c r="B421" s="50"/>
      <c r="C421" s="57"/>
      <c r="D421" s="57"/>
      <c r="E421" s="57"/>
      <c r="F421" s="57"/>
      <c r="G421" s="57"/>
      <c r="H421" s="50"/>
      <c r="I421" s="57"/>
      <c r="J421" s="57"/>
    </row>
    <row r="422" spans="1:10" ht="15" customHeight="1">
      <c r="A422" s="57"/>
      <c r="B422" s="50"/>
      <c r="C422" s="57"/>
      <c r="D422" s="57"/>
      <c r="E422" s="57"/>
      <c r="F422" s="57"/>
      <c r="G422" s="57"/>
      <c r="H422" s="50"/>
      <c r="I422" s="57"/>
      <c r="J422" s="57"/>
    </row>
    <row r="423" spans="1:10" ht="15" customHeight="1">
      <c r="A423" s="57"/>
      <c r="B423" s="50"/>
      <c r="C423" s="57"/>
      <c r="D423" s="57"/>
      <c r="E423" s="57"/>
      <c r="F423" s="57"/>
      <c r="G423" s="57"/>
      <c r="H423" s="50"/>
      <c r="I423" s="57"/>
      <c r="J423" s="57"/>
    </row>
    <row r="424" spans="1:10" ht="15" customHeight="1">
      <c r="A424" s="57"/>
      <c r="B424" s="50"/>
      <c r="C424" s="57"/>
      <c r="D424" s="57"/>
      <c r="E424" s="57"/>
      <c r="F424" s="57"/>
      <c r="G424" s="57"/>
      <c r="H424" s="50"/>
      <c r="I424" s="57"/>
      <c r="J424" s="57"/>
    </row>
    <row r="425" spans="1:10" ht="15" customHeight="1">
      <c r="A425" s="57"/>
      <c r="B425" s="50"/>
      <c r="C425" s="57"/>
      <c r="D425" s="57"/>
      <c r="E425" s="57"/>
      <c r="F425" s="57"/>
      <c r="G425" s="57"/>
      <c r="H425" s="50"/>
      <c r="I425" s="57"/>
      <c r="J425" s="57"/>
    </row>
    <row r="426" spans="1:10" ht="15" customHeight="1">
      <c r="A426" s="57"/>
      <c r="B426" s="50"/>
      <c r="C426" s="57"/>
      <c r="D426" s="57"/>
      <c r="E426" s="57"/>
      <c r="F426" s="57"/>
      <c r="G426" s="57"/>
      <c r="H426" s="50"/>
      <c r="I426" s="57"/>
      <c r="J426" s="57"/>
    </row>
    <row r="427" spans="1:10" ht="15" customHeight="1">
      <c r="A427" s="57"/>
      <c r="B427" s="50"/>
      <c r="C427" s="57"/>
      <c r="D427" s="57"/>
      <c r="E427" s="57"/>
      <c r="F427" s="57"/>
      <c r="G427" s="57"/>
      <c r="H427" s="50"/>
      <c r="I427" s="57"/>
      <c r="J427" s="57"/>
    </row>
    <row r="428" spans="1:10" ht="15" customHeight="1">
      <c r="A428" s="57"/>
      <c r="B428" s="50"/>
      <c r="C428" s="57"/>
      <c r="D428" s="57"/>
      <c r="E428" s="57"/>
      <c r="F428" s="57"/>
      <c r="G428" s="57"/>
      <c r="H428" s="50"/>
      <c r="I428" s="57"/>
      <c r="J428" s="57"/>
    </row>
    <row r="429" spans="1:10" ht="15" customHeight="1">
      <c r="A429" s="57"/>
      <c r="B429" s="50"/>
      <c r="C429" s="57"/>
      <c r="D429" s="57"/>
      <c r="E429" s="57"/>
      <c r="F429" s="57"/>
      <c r="G429" s="57"/>
      <c r="H429" s="50"/>
      <c r="I429" s="57"/>
      <c r="J429" s="57"/>
    </row>
    <row r="430" spans="1:10" ht="15" customHeight="1">
      <c r="A430" s="57"/>
      <c r="B430" s="50"/>
      <c r="C430" s="57"/>
      <c r="D430" s="57"/>
      <c r="E430" s="57"/>
      <c r="F430" s="57"/>
      <c r="G430" s="57"/>
      <c r="H430" s="50"/>
      <c r="I430" s="57"/>
      <c r="J430" s="57"/>
    </row>
    <row r="431" spans="1:10" ht="15" customHeight="1">
      <c r="A431" s="57"/>
      <c r="B431" s="50"/>
      <c r="C431" s="57"/>
      <c r="D431" s="57"/>
      <c r="E431" s="57"/>
      <c r="F431" s="57"/>
      <c r="G431" s="57"/>
      <c r="H431" s="50"/>
      <c r="I431" s="57"/>
      <c r="J431" s="57"/>
    </row>
    <row r="432" spans="1:10" ht="15" customHeight="1">
      <c r="A432" s="57"/>
      <c r="B432" s="50"/>
      <c r="C432" s="57"/>
      <c r="D432" s="57"/>
      <c r="E432" s="57"/>
      <c r="F432" s="57"/>
      <c r="G432" s="57"/>
      <c r="H432" s="50"/>
      <c r="I432" s="57"/>
      <c r="J432" s="57"/>
    </row>
    <row r="433" spans="1:10" ht="15" customHeight="1">
      <c r="A433" s="57"/>
      <c r="B433" s="50"/>
      <c r="C433" s="57"/>
      <c r="D433" s="57"/>
      <c r="E433" s="57"/>
      <c r="F433" s="57"/>
      <c r="G433" s="57"/>
      <c r="H433" s="50"/>
      <c r="I433" s="57"/>
      <c r="J433" s="57"/>
    </row>
    <row r="434" spans="1:10" ht="15" customHeight="1">
      <c r="A434" s="57"/>
      <c r="B434" s="50"/>
      <c r="C434" s="57"/>
      <c r="D434" s="57"/>
      <c r="E434" s="57"/>
      <c r="F434" s="57"/>
      <c r="G434" s="57"/>
      <c r="H434" s="50"/>
      <c r="I434" s="57"/>
      <c r="J434" s="57"/>
    </row>
    <row r="435" spans="1:10" ht="15" customHeight="1">
      <c r="A435" s="57"/>
      <c r="B435" s="50"/>
      <c r="C435" s="57"/>
      <c r="D435" s="57"/>
      <c r="E435" s="57"/>
      <c r="F435" s="57"/>
      <c r="G435" s="57"/>
      <c r="H435" s="50"/>
      <c r="I435" s="57"/>
      <c r="J435" s="57"/>
    </row>
    <row r="436" spans="1:10" ht="15" customHeight="1">
      <c r="A436" s="57"/>
      <c r="B436" s="50"/>
      <c r="C436" s="57"/>
      <c r="D436" s="57"/>
      <c r="E436" s="57"/>
      <c r="F436" s="57"/>
      <c r="G436" s="57"/>
      <c r="H436" s="50"/>
      <c r="I436" s="57"/>
      <c r="J436" s="57"/>
    </row>
    <row r="437" spans="1:10" ht="15" customHeight="1">
      <c r="A437" s="57"/>
      <c r="B437" s="50"/>
      <c r="C437" s="57"/>
      <c r="D437" s="57"/>
      <c r="E437" s="57"/>
      <c r="F437" s="57"/>
      <c r="G437" s="57"/>
      <c r="H437" s="50"/>
      <c r="I437" s="57"/>
      <c r="J437" s="57"/>
    </row>
  </sheetData>
  <mergeCells count="16">
    <mergeCell ref="A406:J406"/>
    <mergeCell ref="A202:H202"/>
    <mergeCell ref="A168:H168"/>
    <mergeCell ref="A4:R4"/>
    <mergeCell ref="A372:H372"/>
    <mergeCell ref="A6:R6"/>
    <mergeCell ref="A54:BS54"/>
    <mergeCell ref="A118:B118"/>
    <mergeCell ref="A304:J304"/>
    <mergeCell ref="A338:H338"/>
    <mergeCell ref="A134:H134"/>
    <mergeCell ref="A1:P1"/>
    <mergeCell ref="A2:R2"/>
    <mergeCell ref="A10:R10"/>
    <mergeCell ref="A236:F236"/>
    <mergeCell ref="A270:G270"/>
  </mergeCells>
  <conditionalFormatting sqref="H204:H233">
    <cfRule type="cellIs" dxfId="61" priority="5" operator="lessThanOrEqual">
      <formula>60</formula>
    </cfRule>
  </conditionalFormatting>
  <conditionalFormatting sqref="AW56:AW115">
    <cfRule type="cellIs" dxfId="60" priority="2" operator="equal">
      <formula>"OUI"</formula>
    </cfRule>
  </conditionalFormatting>
  <conditionalFormatting sqref="BB56:BB115">
    <cfRule type="cellIs" dxfId="59" priority="3" operator="equal">
      <formula>"OUI"</formula>
    </cfRule>
  </conditionalFormatting>
  <conditionalFormatting sqref="BR56:BR115">
    <cfRule type="cellIs" dxfId="58" priority="4" operator="equal">
      <formula>"OUI"</formula>
    </cfRule>
  </conditionalFormatting>
  <dataValidations count="20">
    <dataValidation type="list" allowBlank="1" sqref="F56:F115">
      <formula1>Liste_TypesPartenaires</formula1>
      <formula2>0</formula2>
    </dataValidation>
    <dataValidation type="list" allowBlank="1" sqref="G56:G115">
      <formula1>"Technique,Financier,Institutionnel,Operationnel,Logistique,Academique,Commercial,Communication,Formation,Recherche,Plaidoyer,Communautaire,Strategique,Autre"</formula1>
      <formula2>0</formula2>
    </dataValidation>
    <dataValidation type="list" allowBlank="1" sqref="M56:M115 AG56:AG115">
      <formula1>Liste_ZonesGeo</formula1>
      <formula2>0</formula2>
    </dataValidation>
    <dataValidation type="list" allowBlank="1" sqref="Y56:Y115 D136:D165 BH56:BH115">
      <formula1>Liste_Fonctions</formula1>
      <formula2>0</formula2>
    </dataValidation>
    <dataValidation type="list" allowBlank="1" sqref="AD56:AD115">
      <formula1>"Actif,Inactif"</formula1>
      <formula2>0</formula2>
    </dataValidation>
    <dataValidation type="list" allowBlank="1" sqref="C374:C403 AE56:AF115">
      <formula1>Liste_Domaines</formula1>
      <formula2>0</formula2>
    </dataValidation>
    <dataValidation type="list" allowBlank="1" sqref="AN56:AN115">
      <formula1>"Prospect,En discussion,Actif,En partenariat,Suspendu,Inactif,Termine,A renouveler,Autre"</formula1>
      <formula2>0</formula2>
    </dataValidation>
    <dataValidation type="list" allowBlank="1" sqref="AO56:AO115">
      <formula1>"Local,Departemental,National,Regional,International"</formula1>
      <formula2>0</formula2>
    </dataValidation>
    <dataValidation type="list" allowBlank="1" sqref="AS56:AS115">
      <formula1>"Financiere,Technique,Materielle,Humaine,Logistique,Institutionnelle,En nature,Autre"</formula1>
      <formula2>0</formula2>
    </dataValidation>
    <dataValidation type="list" allowBlank="1" sqref="BP56:BP115 G136:G165">
      <formula1>"Oui,Non"</formula1>
      <formula2>0</formula2>
    </dataValidation>
    <dataValidation type="list" allowBlank="1" sqref="A136:A165 A408:A437 A374:A403 A340:A369 A306:A335 A272:A301 A238:A267 A204:A233 A170:A199">
      <formula1>Liste_PartenairesID</formula1>
      <formula2>0</formula2>
    </dataValidation>
    <dataValidation type="list" allowBlank="1" sqref="H136:H165 J408:J437 G374:G403 H170:H199">
      <formula1>Liste_StatutsGeneraux</formula1>
      <formula2>0</formula2>
    </dataValidation>
    <dataValidation type="list" allowBlank="1" sqref="B170:B199">
      <formula1>Liste_ActivitesIDProjets</formula1>
      <formula2>0</formula2>
    </dataValidation>
    <dataValidation type="list" allowBlank="1" sqref="C204:C233">
      <formula1>"Convention de partenariat,MOU,Contrat,Accord-cadre,Convention de financement,Protocole,Lettre entente,Autre"</formula1>
      <formula2>0</formula2>
    </dataValidation>
    <dataValidation type="list" allowBlank="1" sqref="G204:G233">
      <formula1>"Active,En negociation,Expiree,Resiliee,A renouveler,Annulee"</formula1>
      <formula2>0</formula2>
    </dataValidation>
    <dataValidation type="list" allowBlank="1" sqref="C238:C267">
      <formula1>Liste_TypesDocuments</formula1>
      <formula2>0</formula2>
    </dataValidation>
    <dataValidation type="list" allowBlank="1" sqref="E238:E267">
      <formula1>Liste_StatutsDocuments</formula1>
      <formula2>0</formula2>
    </dataValidation>
    <dataValidation type="whole" allowBlank="1" sqref="C306:H335">
      <formula1>1</formula1>
      <formula2>5</formula2>
    </dataValidation>
    <dataValidation type="list" allowBlank="1" sqref="C340:E369">
      <formula1>Liste_NiveauxRisque</formula1>
      <formula2>0</formula2>
    </dataValidation>
    <dataValidation type="list" allowBlank="1" sqref="H340:H369">
      <formula1>Liste_StatutsRisques</formula1>
      <formula2>0</formula2>
    </dataValidation>
  </dataValidations>
  <hyperlinks>
    <hyperlink ref="Q1" location="PROJETS!A1" display="-&gt; PROJETS"/>
    <hyperlink ref="R1" location="ACTIVITES!A1" display="-&gt; ACTIVITES"/>
    <hyperlink ref="S1" location="PARAMETRES!A1" display="-&gt; PARAMETRES"/>
  </hyperlinks>
  <pageMargins left="0.75" right="0.75" top="1" bottom="1" header="0.511811023622047" footer="0.511811023622047"/>
  <pageSetup paperSize="9" orientation="portrait" horizontalDpi="300" verticalDpi="300"/>
  <tableParts count="11">
    <tablePart r:id="rId1"/>
    <tablePart r:id="rId2"/>
    <tablePart r:id="rId3"/>
    <tablePart r:id="rId4"/>
    <tablePart r:id="rId5"/>
    <tablePart r:id="rId6"/>
    <tablePart r:id="rId7"/>
    <tablePart r:id="rId8"/>
    <tablePart r:id="rId9"/>
    <tablePart r:id="rId10"/>
    <tablePart r:id="rId1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622"/>
  <sheetViews>
    <sheetView zoomScale="90" zoomScaleNormal="90" workbookViewId="0">
      <selection activeCell="U8" sqref="U8"/>
    </sheetView>
  </sheetViews>
  <sheetFormatPr baseColWidth="10" defaultColWidth="8.7109375" defaultRowHeight="15" customHeight="1"/>
  <cols>
    <col min="1" max="1" width="14" customWidth="1"/>
    <col min="2" max="2" width="26" customWidth="1"/>
    <col min="3" max="3" width="18" customWidth="1"/>
    <col min="4" max="4" width="12" customWidth="1"/>
    <col min="5" max="6" width="20" customWidth="1"/>
    <col min="7" max="8" width="14" customWidth="1"/>
    <col min="9" max="9" width="20" customWidth="1"/>
    <col min="10" max="10" width="22" customWidth="1"/>
    <col min="11" max="11" width="16" customWidth="1"/>
    <col min="12" max="12" width="22" customWidth="1"/>
    <col min="13" max="13" width="26" customWidth="1"/>
    <col min="14" max="14" width="18" customWidth="1"/>
    <col min="15" max="15" width="16" customWidth="1"/>
    <col min="16" max="16" width="20" customWidth="1"/>
    <col min="17" max="17" width="18" customWidth="1"/>
    <col min="18" max="18" width="22" customWidth="1"/>
    <col min="19" max="19" width="18" customWidth="1"/>
    <col min="20" max="21" width="16" customWidth="1"/>
    <col min="22" max="23" width="22" customWidth="1"/>
    <col min="24" max="24" width="18" customWidth="1"/>
    <col min="25" max="25" width="14" customWidth="1"/>
    <col min="26" max="27" width="16" customWidth="1"/>
    <col min="28" max="29" width="18" customWidth="1"/>
    <col min="30" max="30" width="20" customWidth="1"/>
    <col min="31" max="32" width="14" customWidth="1"/>
    <col min="33" max="33" width="18" customWidth="1"/>
    <col min="34" max="34" width="16" customWidth="1"/>
    <col min="35" max="35" width="12" customWidth="1"/>
    <col min="36" max="36" width="14" customWidth="1"/>
    <col min="37" max="37" width="12" customWidth="1"/>
    <col min="38" max="38" width="16" customWidth="1"/>
    <col min="39" max="41" width="20" customWidth="1"/>
    <col min="42" max="42" width="14" customWidth="1"/>
    <col min="43" max="43" width="16" customWidth="1"/>
    <col min="44" max="45" width="12" customWidth="1"/>
    <col min="46" max="46" width="16" customWidth="1"/>
    <col min="47" max="47" width="18" customWidth="1"/>
    <col min="48" max="49" width="14" customWidth="1"/>
    <col min="50" max="50" width="26" customWidth="1"/>
  </cols>
  <sheetData>
    <row r="1" spans="1:19" ht="25.5" customHeight="1">
      <c r="A1" s="292" t="s">
        <v>1966</v>
      </c>
      <c r="B1" s="262"/>
      <c r="C1" s="262"/>
      <c r="D1" s="262"/>
      <c r="E1" s="262"/>
      <c r="F1" s="262"/>
      <c r="G1" s="262"/>
      <c r="H1" s="262"/>
      <c r="I1" s="262"/>
      <c r="J1" s="262"/>
      <c r="K1" s="262"/>
      <c r="L1" s="262"/>
      <c r="M1" s="262"/>
      <c r="N1" s="262"/>
      <c r="O1" s="262"/>
      <c r="P1" s="262"/>
      <c r="Q1" s="73" t="s">
        <v>1761</v>
      </c>
      <c r="R1" s="73" t="s">
        <v>1967</v>
      </c>
      <c r="S1" s="73" t="s">
        <v>1526</v>
      </c>
    </row>
    <row r="2" spans="1:19" ht="15.75" customHeight="1">
      <c r="A2" s="294" t="s">
        <v>1968</v>
      </c>
      <c r="B2" s="262"/>
      <c r="C2" s="262"/>
      <c r="D2" s="262"/>
      <c r="E2" s="262"/>
      <c r="F2" s="262"/>
      <c r="G2" s="262"/>
      <c r="H2" s="262"/>
      <c r="I2" s="262"/>
      <c r="J2" s="262"/>
      <c r="K2" s="262"/>
      <c r="L2" s="262"/>
      <c r="M2" s="262"/>
      <c r="N2" s="262"/>
      <c r="O2" s="262"/>
      <c r="P2" s="262"/>
      <c r="Q2" s="262"/>
      <c r="R2" s="262"/>
    </row>
    <row r="4" spans="1:19" ht="15" customHeight="1">
      <c r="A4" s="28" t="s">
        <v>1857</v>
      </c>
    </row>
    <row r="6" spans="1:19" ht="24" customHeight="1">
      <c r="A6" s="296" t="s">
        <v>1969</v>
      </c>
      <c r="B6" s="262"/>
      <c r="C6" s="262"/>
      <c r="D6" s="262"/>
      <c r="E6" s="262"/>
      <c r="F6" s="262"/>
      <c r="G6" s="262"/>
      <c r="H6" s="262"/>
      <c r="I6" s="262"/>
      <c r="J6" s="262"/>
      <c r="K6" s="262"/>
      <c r="L6" s="262"/>
      <c r="M6" s="262"/>
      <c r="N6" s="262"/>
      <c r="O6" s="262"/>
      <c r="P6" s="262"/>
      <c r="Q6" s="262"/>
      <c r="R6" s="262"/>
    </row>
    <row r="7" spans="1:19" ht="24" customHeight="1">
      <c r="A7" s="74" t="s">
        <v>1970</v>
      </c>
      <c r="B7" s="74" t="s">
        <v>1537</v>
      </c>
      <c r="C7" s="74" t="s">
        <v>1971</v>
      </c>
      <c r="D7" s="74" t="s">
        <v>1972</v>
      </c>
      <c r="E7" s="74" t="s">
        <v>1973</v>
      </c>
      <c r="F7" s="74" t="s">
        <v>1974</v>
      </c>
      <c r="G7" s="74" t="s">
        <v>1975</v>
      </c>
      <c r="H7" s="74" t="s">
        <v>1976</v>
      </c>
      <c r="I7" s="74" t="s">
        <v>1977</v>
      </c>
      <c r="J7" s="74" t="s">
        <v>1978</v>
      </c>
    </row>
    <row r="8" spans="1:19" ht="15" customHeight="1">
      <c r="A8" s="75">
        <f>COUNTIF(B56:B205,"&lt;&gt;")</f>
        <v>1</v>
      </c>
      <c r="B8" s="75">
        <f>COUNTIF(AB56:AB205,"Actif")+COUNTIF(AB56:AB205,"Financement obtenu")</f>
        <v>1</v>
      </c>
      <c r="C8" s="75">
        <f>COUNTIF(AB56:AB205,"Prospect")</f>
        <v>0</v>
      </c>
      <c r="D8" s="75">
        <f>COUNTIF(tbl_Donateurs_Opportunites[ID Donateur],"&lt;&gt;")</f>
        <v>0</v>
      </c>
      <c r="E8" s="75">
        <f>COUNTIF(tbl_Donateurs_Opportunites[Statut],"Ouverte")</f>
        <v>0</v>
      </c>
      <c r="F8" s="75">
        <f>COUNTIFS(tbl_Donateurs_Demandes[Statut],"&lt;&gt;A preparer",tbl_Donateurs_Demandes[Statut],"&lt;&gt;En preparation")</f>
        <v>60</v>
      </c>
      <c r="G8" s="75">
        <f>COUNTIF(tbl_Donateurs_Demandes[Statut],"Approuvee")+COUNTIF(tbl_Donateurs_Demandes[Statut],"Financement recu")</f>
        <v>0</v>
      </c>
      <c r="H8" s="76">
        <f>SUM(tbl_Donateurs_Demandes[Montant demande])</f>
        <v>0</v>
      </c>
      <c r="I8" s="76">
        <f>SUM(tbl_Donateurs_Demandes[Montant accorde])</f>
        <v>0</v>
      </c>
      <c r="J8" s="77">
        <f>IFERROR(G8/F8,"")</f>
        <v>0</v>
      </c>
    </row>
    <row r="10" spans="1:19" ht="24" customHeight="1">
      <c r="A10" s="296" t="s">
        <v>1644</v>
      </c>
      <c r="B10" s="262"/>
      <c r="C10" s="262"/>
      <c r="D10" s="262"/>
      <c r="E10" s="262"/>
      <c r="F10" s="262"/>
      <c r="G10" s="262"/>
      <c r="H10" s="262"/>
      <c r="I10" s="262"/>
      <c r="J10" s="262"/>
      <c r="K10" s="262"/>
      <c r="L10" s="262"/>
      <c r="M10" s="262"/>
      <c r="N10" s="262"/>
      <c r="O10" s="262"/>
      <c r="P10" s="262"/>
      <c r="Q10" s="262"/>
      <c r="R10" s="262"/>
    </row>
    <row r="11" spans="1:19" ht="24" customHeight="1">
      <c r="A11" s="78" t="s">
        <v>1979</v>
      </c>
      <c r="B11" s="78" t="s">
        <v>1980</v>
      </c>
      <c r="D11" s="78" t="s">
        <v>1981</v>
      </c>
      <c r="E11" s="78" t="s">
        <v>1980</v>
      </c>
      <c r="G11" s="78" t="s">
        <v>1982</v>
      </c>
      <c r="H11" s="78" t="s">
        <v>1980</v>
      </c>
    </row>
    <row r="12" spans="1:19" ht="15" customHeight="1">
      <c r="A12" s="79" t="s">
        <v>1870</v>
      </c>
      <c r="B12" s="75">
        <f>COUNTIF(tbl_Donateurs[Statut du donateur],A12)</f>
        <v>0</v>
      </c>
      <c r="D12" s="79" t="s">
        <v>561</v>
      </c>
      <c r="E12" s="75">
        <f>COUNTIF(tbl_Donateurs[Type de donateur],D12)</f>
        <v>0</v>
      </c>
      <c r="G12" s="79" t="s">
        <v>11</v>
      </c>
      <c r="H12" s="75">
        <f>COUNTIF(tbl_Donateurs[Domaine finance principal],G12)</f>
        <v>0</v>
      </c>
    </row>
    <row r="13" spans="1:19" ht="15" customHeight="1">
      <c r="A13" s="79" t="s">
        <v>1983</v>
      </c>
      <c r="B13" s="75">
        <f>COUNTIF(tbl_Donateurs[Statut du donateur],A13)</f>
        <v>0</v>
      </c>
      <c r="D13" s="79" t="s">
        <v>563</v>
      </c>
      <c r="E13" s="75">
        <f>COUNTIF(tbl_Donateurs[Type de donateur],D13)</f>
        <v>0</v>
      </c>
      <c r="G13" s="79" t="s">
        <v>15</v>
      </c>
      <c r="H13" s="75">
        <f>COUNTIF(tbl_Donateurs[Domaine finance principal],G13)</f>
        <v>0</v>
      </c>
    </row>
    <row r="14" spans="1:19" ht="15" customHeight="1">
      <c r="A14" s="79" t="s">
        <v>1871</v>
      </c>
      <c r="B14" s="75">
        <f>COUNTIF(tbl_Donateurs[Statut du donateur],A14)</f>
        <v>0</v>
      </c>
      <c r="D14" s="79" t="s">
        <v>565</v>
      </c>
      <c r="E14" s="75">
        <f>COUNTIF(tbl_Donateurs[Type de donateur],D14)</f>
        <v>0</v>
      </c>
      <c r="G14" s="79" t="s">
        <v>19</v>
      </c>
      <c r="H14" s="75">
        <f>COUNTIF(tbl_Donateurs[Domaine finance principal],G14)</f>
        <v>0</v>
      </c>
    </row>
    <row r="15" spans="1:19" ht="15" customHeight="1">
      <c r="A15" s="79" t="s">
        <v>177</v>
      </c>
      <c r="B15" s="75">
        <f>COUNTIF(tbl_Donateurs[Statut du donateur],A15)</f>
        <v>0</v>
      </c>
      <c r="D15" s="79" t="s">
        <v>567</v>
      </c>
      <c r="E15" s="75">
        <f>COUNTIF(tbl_Donateurs[Type de donateur],D15)</f>
        <v>0</v>
      </c>
      <c r="G15" s="79" t="s">
        <v>24</v>
      </c>
      <c r="H15" s="75">
        <f>COUNTIF(tbl_Donateurs[Domaine finance principal],G15)</f>
        <v>0</v>
      </c>
    </row>
    <row r="16" spans="1:19" ht="15" customHeight="1">
      <c r="A16" s="79" t="s">
        <v>1984</v>
      </c>
      <c r="B16" s="75">
        <f>COUNTIF(tbl_Donateurs[Statut du donateur],A16)</f>
        <v>1</v>
      </c>
      <c r="D16" s="79" t="s">
        <v>536</v>
      </c>
      <c r="E16" s="75">
        <f>COUNTIF(tbl_Donateurs[Type de donateur],D16)</f>
        <v>0</v>
      </c>
      <c r="G16" s="79" t="s">
        <v>32</v>
      </c>
      <c r="H16" s="75">
        <f>COUNTIF(tbl_Donateurs[Domaine finance principal],G16)</f>
        <v>0</v>
      </c>
    </row>
    <row r="17" spans="1:8" ht="15" customHeight="1">
      <c r="A17" s="79" t="s">
        <v>1985</v>
      </c>
      <c r="B17" s="75">
        <f>COUNTIF(tbl_Donateurs[Statut du donateur],A17)</f>
        <v>0</v>
      </c>
      <c r="D17" s="79" t="s">
        <v>545</v>
      </c>
      <c r="E17" s="75">
        <f>COUNTIF(tbl_Donateurs[Type de donateur],D17)</f>
        <v>0</v>
      </c>
      <c r="G17" s="79" t="s">
        <v>34</v>
      </c>
      <c r="H17" s="75">
        <f>COUNTIF(tbl_Donateurs[Domaine finance principal],G17)</f>
        <v>0</v>
      </c>
    </row>
    <row r="18" spans="1:8" ht="15" customHeight="1">
      <c r="A18" s="79" t="s">
        <v>1108</v>
      </c>
      <c r="B18" s="75">
        <f>COUNTIF(tbl_Donateurs[Statut du donateur],A18)</f>
        <v>0</v>
      </c>
      <c r="D18" s="79" t="s">
        <v>571</v>
      </c>
      <c r="E18" s="75">
        <f>COUNTIF(tbl_Donateurs[Type de donateur],D18)</f>
        <v>0</v>
      </c>
      <c r="G18" s="79" t="s">
        <v>36</v>
      </c>
      <c r="H18" s="75">
        <f>COUNTIF(tbl_Donateurs[Domaine finance principal],G18)</f>
        <v>0</v>
      </c>
    </row>
    <row r="19" spans="1:8" ht="15" customHeight="1">
      <c r="A19" s="79" t="s">
        <v>21</v>
      </c>
      <c r="B19" s="75">
        <f>COUNTIF(tbl_Donateurs[Statut du donateur],A19)</f>
        <v>0</v>
      </c>
      <c r="D19" s="79" t="s">
        <v>573</v>
      </c>
      <c r="E19" s="75">
        <f>COUNTIF(tbl_Donateurs[Type de donateur],D19)</f>
        <v>0</v>
      </c>
      <c r="G19" s="79" t="s">
        <v>38</v>
      </c>
      <c r="H19" s="75">
        <f>COUNTIF(tbl_Donateurs[Domaine finance principal],G19)</f>
        <v>0</v>
      </c>
    </row>
    <row r="20" spans="1:8" ht="15" customHeight="1">
      <c r="A20" s="79" t="s">
        <v>229</v>
      </c>
      <c r="B20" s="75">
        <f>COUNTIF(tbl_Donateurs[Statut du donateur],A20)</f>
        <v>0</v>
      </c>
      <c r="D20" s="79" t="s">
        <v>558</v>
      </c>
      <c r="E20" s="75">
        <f>COUNTIF(tbl_Donateurs[Type de donateur],D20)</f>
        <v>0</v>
      </c>
      <c r="G20" s="79" t="s">
        <v>46</v>
      </c>
      <c r="H20" s="75">
        <f>COUNTIF(tbl_Donateurs[Domaine finance principal],G20)</f>
        <v>0</v>
      </c>
    </row>
    <row r="21" spans="1:8" ht="15" customHeight="1">
      <c r="D21" s="79" t="s">
        <v>576</v>
      </c>
      <c r="E21" s="75">
        <f>COUNTIF(tbl_Donateurs[Type de donateur],D21)</f>
        <v>1</v>
      </c>
      <c r="G21" s="79" t="s">
        <v>48</v>
      </c>
      <c r="H21" s="75">
        <f>COUNTIF(tbl_Donateurs[Domaine finance principal],G21)</f>
        <v>0</v>
      </c>
    </row>
    <row r="22" spans="1:8" ht="15" customHeight="1">
      <c r="D22" s="79" t="s">
        <v>578</v>
      </c>
      <c r="E22" s="75">
        <f>COUNTIF(tbl_Donateurs[Type de donateur],D22)</f>
        <v>0</v>
      </c>
      <c r="G22" s="79" t="s">
        <v>50</v>
      </c>
      <c r="H22" s="75">
        <f>COUNTIF(tbl_Donateurs[Domaine finance principal],G22)</f>
        <v>0</v>
      </c>
    </row>
    <row r="23" spans="1:8" ht="15" customHeight="1">
      <c r="D23" s="79" t="s">
        <v>580</v>
      </c>
      <c r="E23" s="75">
        <f>COUNTIF(tbl_Donateurs[Type de donateur],D23)</f>
        <v>0</v>
      </c>
      <c r="G23" s="79" t="s">
        <v>52</v>
      </c>
      <c r="H23" s="75">
        <f>COUNTIF(tbl_Donateurs[Domaine finance principal],G23)</f>
        <v>0</v>
      </c>
    </row>
    <row r="24" spans="1:8" ht="15" customHeight="1">
      <c r="D24" s="79" t="s">
        <v>383</v>
      </c>
      <c r="E24" s="75">
        <f>COUNTIF(tbl_Donateurs[Type de donateur],D24)</f>
        <v>0</v>
      </c>
      <c r="G24" s="79" t="s">
        <v>53</v>
      </c>
      <c r="H24" s="75">
        <f>COUNTIF(tbl_Donateurs[Domaine finance principal],G24)</f>
        <v>0</v>
      </c>
    </row>
    <row r="25" spans="1:8" ht="15" customHeight="1">
      <c r="G25" s="79" t="s">
        <v>60</v>
      </c>
      <c r="H25" s="75">
        <f>COUNTIF(tbl_Donateurs[Domaine finance principal],G25)</f>
        <v>0</v>
      </c>
    </row>
    <row r="26" spans="1:8" ht="15" customHeight="1">
      <c r="G26" s="79" t="s">
        <v>61</v>
      </c>
      <c r="H26" s="75">
        <f>COUNTIF(tbl_Donateurs[Domaine finance principal],G26)</f>
        <v>0</v>
      </c>
    </row>
    <row r="27" spans="1:8" ht="15" customHeight="1">
      <c r="G27" s="79" t="s">
        <v>62</v>
      </c>
      <c r="H27" s="75">
        <f>COUNTIF(tbl_Donateurs[Domaine finance principal],G27)</f>
        <v>0</v>
      </c>
    </row>
    <row r="28" spans="1:8" ht="15" customHeight="1">
      <c r="G28" s="79" t="s">
        <v>63</v>
      </c>
      <c r="H28" s="75">
        <f>COUNTIF(tbl_Donateurs[Domaine finance principal],G28)</f>
        <v>0</v>
      </c>
    </row>
    <row r="29" spans="1:8" ht="15" customHeight="1">
      <c r="G29" s="79" t="s">
        <v>64</v>
      </c>
      <c r="H29" s="75">
        <f>COUNTIF(tbl_Donateurs[Domaine finance principal],G29)</f>
        <v>0</v>
      </c>
    </row>
    <row r="30" spans="1:8" ht="15" customHeight="1">
      <c r="G30" s="79" t="s">
        <v>67</v>
      </c>
      <c r="H30" s="75">
        <f>COUNTIF(tbl_Donateurs[Domaine finance principal],G30)</f>
        <v>0</v>
      </c>
    </row>
    <row r="31" spans="1:8" ht="15" customHeight="1">
      <c r="G31" s="79" t="s">
        <v>68</v>
      </c>
      <c r="H31" s="75">
        <f>COUNTIF(tbl_Donateurs[Domaine finance principal],G31)</f>
        <v>0</v>
      </c>
    </row>
    <row r="32" spans="1:8" ht="15" customHeight="1">
      <c r="G32" s="79" t="s">
        <v>69</v>
      </c>
      <c r="H32" s="75">
        <f>COUNTIF(tbl_Donateurs[Domaine finance principal],G32)</f>
        <v>0</v>
      </c>
    </row>
    <row r="33" spans="7:8" ht="15" customHeight="1">
      <c r="G33" s="79" t="s">
        <v>70</v>
      </c>
      <c r="H33" s="75">
        <f>COUNTIF(tbl_Donateurs[Domaine finance principal],G33)</f>
        <v>0</v>
      </c>
    </row>
    <row r="34" spans="7:8" ht="15" customHeight="1">
      <c r="G34" s="79" t="s">
        <v>71</v>
      </c>
      <c r="H34" s="75">
        <f>COUNTIF(tbl_Donateurs[Domaine finance principal],G34)</f>
        <v>0</v>
      </c>
    </row>
    <row r="35" spans="7:8" ht="15" customHeight="1">
      <c r="G35" s="79" t="s">
        <v>72</v>
      </c>
      <c r="H35" s="75">
        <f>COUNTIF(tbl_Donateurs[Domaine finance principal],G35)</f>
        <v>0</v>
      </c>
    </row>
    <row r="36" spans="7:8" ht="15" customHeight="1">
      <c r="G36" s="79" t="s">
        <v>73</v>
      </c>
      <c r="H36" s="75">
        <f>COUNTIF(tbl_Donateurs[Domaine finance principal],G36)</f>
        <v>0</v>
      </c>
    </row>
    <row r="37" spans="7:8" ht="15" customHeight="1">
      <c r="G37" s="79" t="s">
        <v>74</v>
      </c>
      <c r="H37" s="75">
        <f>COUNTIF(tbl_Donateurs[Domaine finance principal],G37)</f>
        <v>0</v>
      </c>
    </row>
    <row r="38" spans="7:8" ht="15" customHeight="1">
      <c r="G38" s="79" t="s">
        <v>75</v>
      </c>
      <c r="H38" s="75">
        <f>COUNTIF(tbl_Donateurs[Domaine finance principal],G38)</f>
        <v>0</v>
      </c>
    </row>
    <row r="39" spans="7:8" ht="15" customHeight="1">
      <c r="G39" s="79" t="s">
        <v>76</v>
      </c>
      <c r="H39" s="75">
        <f>COUNTIF(tbl_Donateurs[Domaine finance principal],G39)</f>
        <v>0</v>
      </c>
    </row>
    <row r="40" spans="7:8" ht="15" customHeight="1">
      <c r="G40" s="79" t="s">
        <v>77</v>
      </c>
      <c r="H40" s="75">
        <f>COUNTIF(tbl_Donateurs[Domaine finance principal],G40)</f>
        <v>0</v>
      </c>
    </row>
    <row r="41" spans="7:8" ht="15" customHeight="1">
      <c r="G41" s="79" t="s">
        <v>78</v>
      </c>
      <c r="H41" s="75">
        <f>COUNTIF(tbl_Donateurs[Domaine finance principal],G41)</f>
        <v>0</v>
      </c>
    </row>
    <row r="42" spans="7:8" ht="15" customHeight="1">
      <c r="G42" s="79" t="s">
        <v>79</v>
      </c>
      <c r="H42" s="75">
        <f>COUNTIF(tbl_Donateurs[Domaine finance principal],G42)</f>
        <v>0</v>
      </c>
    </row>
    <row r="43" spans="7:8" ht="15" customHeight="1">
      <c r="G43" s="79" t="s">
        <v>80</v>
      </c>
      <c r="H43" s="75">
        <f>COUNTIF(tbl_Donateurs[Domaine finance principal],G43)</f>
        <v>0</v>
      </c>
    </row>
    <row r="44" spans="7:8" ht="15" customHeight="1">
      <c r="G44" s="79" t="s">
        <v>81</v>
      </c>
      <c r="H44" s="75">
        <f>COUNTIF(tbl_Donateurs[Domaine finance principal],G44)</f>
        <v>0</v>
      </c>
    </row>
    <row r="45" spans="7:8" ht="15" customHeight="1">
      <c r="G45" s="79" t="s">
        <v>83</v>
      </c>
      <c r="H45" s="75">
        <f>COUNTIF(tbl_Donateurs[Domaine finance principal],G45)</f>
        <v>0</v>
      </c>
    </row>
    <row r="46" spans="7:8" ht="15" customHeight="1">
      <c r="G46" s="79" t="s">
        <v>88</v>
      </c>
      <c r="H46" s="75">
        <f>COUNTIF(tbl_Donateurs[Domaine finance principal],G46)</f>
        <v>0</v>
      </c>
    </row>
    <row r="47" spans="7:8" ht="15" customHeight="1">
      <c r="G47" s="79" t="s">
        <v>91</v>
      </c>
      <c r="H47" s="75">
        <f>COUNTIF(tbl_Donateurs[Domaine finance principal],G47)</f>
        <v>1</v>
      </c>
    </row>
    <row r="48" spans="7:8" ht="15" customHeight="1">
      <c r="G48" s="79" t="s">
        <v>94</v>
      </c>
      <c r="H48" s="75">
        <f>COUNTIF(tbl_Donateurs[Domaine finance principal],G48)</f>
        <v>0</v>
      </c>
    </row>
    <row r="49" spans="1:50" ht="15" customHeight="1">
      <c r="G49" s="79" t="s">
        <v>96</v>
      </c>
      <c r="H49" s="75">
        <f>COUNTIF(tbl_Donateurs[Domaine finance principal],G49)</f>
        <v>0</v>
      </c>
    </row>
    <row r="50" spans="1:50" ht="15" customHeight="1">
      <c r="G50" s="79" t="s">
        <v>98</v>
      </c>
      <c r="H50" s="75">
        <f>COUNTIF(tbl_Donateurs[Domaine finance principal],G50)</f>
        <v>0</v>
      </c>
    </row>
    <row r="51" spans="1:50" ht="15" customHeight="1">
      <c r="G51" s="79" t="s">
        <v>100</v>
      </c>
      <c r="H51" s="75">
        <f>COUNTIF(tbl_Donateurs[Domaine finance principal],G51)</f>
        <v>0</v>
      </c>
    </row>
    <row r="54" spans="1:50" ht="19.5" customHeight="1">
      <c r="A54" s="296" t="s">
        <v>1986</v>
      </c>
      <c r="B54" s="262"/>
      <c r="C54" s="262"/>
      <c r="D54" s="262"/>
      <c r="E54" s="262"/>
      <c r="F54" s="262"/>
      <c r="G54" s="262"/>
      <c r="H54" s="262"/>
      <c r="I54" s="262"/>
      <c r="J54" s="262"/>
      <c r="K54" s="262"/>
      <c r="L54" s="262"/>
      <c r="M54" s="262"/>
      <c r="N54" s="262"/>
      <c r="O54" s="262"/>
      <c r="P54" s="262"/>
      <c r="Q54" s="262"/>
      <c r="R54" s="262"/>
      <c r="S54" s="262"/>
      <c r="T54" s="262"/>
      <c r="U54" s="262"/>
      <c r="V54" s="262"/>
      <c r="W54" s="262"/>
      <c r="X54" s="262"/>
      <c r="Y54" s="262"/>
      <c r="Z54" s="262"/>
      <c r="AA54" s="262"/>
      <c r="AB54" s="262"/>
      <c r="AC54" s="262"/>
      <c r="AD54" s="262"/>
      <c r="AE54" s="262"/>
      <c r="AF54" s="262"/>
      <c r="AG54" s="262"/>
      <c r="AH54" s="262"/>
      <c r="AI54" s="262"/>
      <c r="AJ54" s="262"/>
      <c r="AK54" s="262"/>
      <c r="AL54" s="262"/>
      <c r="AM54" s="262"/>
      <c r="AN54" s="262"/>
      <c r="AO54" s="262"/>
      <c r="AP54" s="262"/>
      <c r="AQ54" s="262"/>
      <c r="AR54" s="262"/>
      <c r="AS54" s="262"/>
      <c r="AT54" s="262"/>
      <c r="AU54" s="262"/>
      <c r="AV54" s="262"/>
      <c r="AW54" s="262"/>
      <c r="AX54" s="262"/>
    </row>
    <row r="55" spans="1:50" ht="30" customHeight="1">
      <c r="A55" s="80" t="s">
        <v>1987</v>
      </c>
      <c r="B55" s="80" t="s">
        <v>1876</v>
      </c>
      <c r="C55" s="80" t="s">
        <v>1337</v>
      </c>
      <c r="D55" s="80" t="s">
        <v>1335</v>
      </c>
      <c r="E55" s="80" t="s">
        <v>1981</v>
      </c>
      <c r="F55" s="80" t="s">
        <v>1988</v>
      </c>
      <c r="G55" s="80" t="s">
        <v>941</v>
      </c>
      <c r="H55" s="80" t="s">
        <v>1009</v>
      </c>
      <c r="I55" s="80" t="s">
        <v>1350</v>
      </c>
      <c r="J55" s="80" t="s">
        <v>1989</v>
      </c>
      <c r="K55" s="80" t="s">
        <v>1368</v>
      </c>
      <c r="L55" s="80" t="s">
        <v>1373</v>
      </c>
      <c r="M55" s="80" t="s">
        <v>252</v>
      </c>
      <c r="N55" s="80" t="s">
        <v>1886</v>
      </c>
      <c r="O55" s="80" t="s">
        <v>1887</v>
      </c>
      <c r="P55" s="80" t="s">
        <v>1888</v>
      </c>
      <c r="Q55" s="80" t="s">
        <v>1889</v>
      </c>
      <c r="R55" s="80" t="s">
        <v>1890</v>
      </c>
      <c r="S55" s="80" t="s">
        <v>1891</v>
      </c>
      <c r="T55" s="80" t="s">
        <v>1990</v>
      </c>
      <c r="U55" s="80" t="s">
        <v>1991</v>
      </c>
      <c r="V55" s="80" t="s">
        <v>1982</v>
      </c>
      <c r="W55" s="80" t="s">
        <v>1992</v>
      </c>
      <c r="X55" s="80" t="s">
        <v>1993</v>
      </c>
      <c r="Y55" s="80" t="s">
        <v>1994</v>
      </c>
      <c r="Z55" s="80" t="s">
        <v>1995</v>
      </c>
      <c r="AA55" s="80" t="s">
        <v>1996</v>
      </c>
      <c r="AB55" s="80" t="s">
        <v>1979</v>
      </c>
      <c r="AC55" s="80" t="s">
        <v>1997</v>
      </c>
      <c r="AD55" s="80" t="s">
        <v>1998</v>
      </c>
      <c r="AE55" s="80" t="s">
        <v>1999</v>
      </c>
      <c r="AF55" s="80" t="s">
        <v>2000</v>
      </c>
      <c r="AG55" s="80" t="s">
        <v>2001</v>
      </c>
      <c r="AH55" s="80" t="s">
        <v>2002</v>
      </c>
      <c r="AI55" s="80" t="s">
        <v>1972</v>
      </c>
      <c r="AJ55" s="80" t="s">
        <v>1973</v>
      </c>
      <c r="AK55" s="80" t="s">
        <v>2003</v>
      </c>
      <c r="AL55" s="80" t="s">
        <v>2004</v>
      </c>
      <c r="AM55" s="80" t="s">
        <v>1976</v>
      </c>
      <c r="AN55" s="80" t="s">
        <v>2005</v>
      </c>
      <c r="AO55" s="80" t="s">
        <v>2006</v>
      </c>
      <c r="AP55" s="80" t="s">
        <v>1978</v>
      </c>
      <c r="AQ55" s="80" t="s">
        <v>1916</v>
      </c>
      <c r="AR55" s="80" t="s">
        <v>1911</v>
      </c>
      <c r="AS55" s="80" t="s">
        <v>1909</v>
      </c>
      <c r="AT55" s="80" t="s">
        <v>2007</v>
      </c>
      <c r="AU55" s="80" t="s">
        <v>2008</v>
      </c>
      <c r="AV55" s="80" t="s">
        <v>2009</v>
      </c>
      <c r="AW55" s="80" t="s">
        <v>1927</v>
      </c>
      <c r="AX55" s="80" t="s">
        <v>1611</v>
      </c>
    </row>
    <row r="56" spans="1:50" ht="15" customHeight="1">
      <c r="A56" s="75" t="str">
        <f t="shared" ref="A56:A87" si="0">IF(B56="","","DON"&amp;TEXT(ROW()-55,"00000"))</f>
        <v>DON00001</v>
      </c>
      <c r="B56" s="81" t="s">
        <v>2010</v>
      </c>
      <c r="C56" s="81" t="s">
        <v>2010</v>
      </c>
      <c r="D56" s="81" t="s">
        <v>2010</v>
      </c>
      <c r="E56" s="81" t="s">
        <v>576</v>
      </c>
      <c r="F56" s="81" t="s">
        <v>614</v>
      </c>
      <c r="G56" s="81" t="s">
        <v>952</v>
      </c>
      <c r="H56" s="81" t="s">
        <v>954</v>
      </c>
      <c r="I56" s="81"/>
      <c r="J56" s="81"/>
      <c r="K56" s="81"/>
      <c r="L56" s="81"/>
      <c r="M56" s="81"/>
      <c r="N56" s="81"/>
      <c r="O56" s="81"/>
      <c r="P56" s="81" t="s">
        <v>712</v>
      </c>
      <c r="Q56" s="81"/>
      <c r="R56" s="81"/>
      <c r="S56" s="81"/>
      <c r="T56" s="81"/>
      <c r="U56" s="81"/>
      <c r="V56" s="81" t="s">
        <v>91</v>
      </c>
      <c r="W56" s="81" t="s">
        <v>88</v>
      </c>
      <c r="X56" s="81" t="s">
        <v>960</v>
      </c>
      <c r="Y56" s="75" t="str">
        <f>IFERROR(INDEX(PARAMETRES!$B$536:$B$586,MATCH(X56,PARAMETRES!$J$536:$J$586,0)),"")</f>
        <v>Congo</v>
      </c>
      <c r="Z56" s="75" t="str">
        <f>IFERROR(INDEX(PARAMETRES!$D$536:$D$586,MATCH(X56,PARAMETRES!$J$536:$J$586,0)),"")</f>
        <v>Brazzaville</v>
      </c>
      <c r="AA56" s="75" t="str">
        <f>IFERROR(INDEX(PARAMETRES!$F$536:$F$586,MATCH(X56,PARAMETRES!$J$536:$J$586,0)),"")</f>
        <v>Brazzaville</v>
      </c>
      <c r="AB56" s="81" t="s">
        <v>1984</v>
      </c>
      <c r="AC56" s="82"/>
      <c r="AD56" s="81"/>
      <c r="AE56" s="82"/>
      <c r="AF56" s="82"/>
      <c r="AG56" s="81" t="s">
        <v>2011</v>
      </c>
      <c r="AH56" s="81"/>
      <c r="AI56" s="75">
        <f>IF(A56="",0,COUNTIF(tbl_Donateurs_Opportunites[ID Donateur],A56))</f>
        <v>0</v>
      </c>
      <c r="AJ56" s="75">
        <f>IF(A56="",0,COUNTIFS(tbl_Donateurs_Opportunites[ID Donateur],A56,tbl_Donateurs_Opportunites[Statut],"Ouverte"))</f>
        <v>0</v>
      </c>
      <c r="AK56" s="75">
        <f>IF(A56="",0,COUNTIF(tbl_Donateurs_Demandes[ID Donateur],A56))</f>
        <v>0</v>
      </c>
      <c r="AL56" s="75">
        <f>IF(A56="",0,COUNTIFS(tbl_Donateurs_Demandes[ID Donateur],A56,tbl_Donateurs_Demandes[Statut],"Approuvee")+COUNTIFS(tbl_Donateurs_Demandes[ID Donateur],A56,tbl_Donateurs_Demandes[Statut],"Financement recu"))</f>
        <v>0</v>
      </c>
      <c r="AM56" s="76">
        <f>IF(A56="",0,SUMIF(tbl_Donateurs_Demandes[ID Donateur],A56,tbl_Donateurs_Demandes[Montant demande]))</f>
        <v>0</v>
      </c>
      <c r="AN56" s="76">
        <f>IF(A56="",0,SUMIF(tbl_Donateurs_Demandes[ID Donateur],A56,tbl_Donateurs_Demandes[Montant accorde]))</f>
        <v>0</v>
      </c>
      <c r="AO56" s="76">
        <f>IF(A56="",0,SUMIF(tbl_Donateurs_Decaissements[ID Donateur],A56,tbl_Donateurs_Decaissements[Montant recu]))</f>
        <v>0</v>
      </c>
      <c r="AP56" s="77" t="str">
        <f t="shared" ref="AP56:AP87" si="1">IFERROR(AL56/AK56,"")</f>
        <v/>
      </c>
      <c r="AQ56" s="75">
        <f>IF(A56="",0,COUNTIF(tbl_Donateurs_Contacts[ID Donateur],A56))</f>
        <v>0</v>
      </c>
      <c r="AR56" s="75">
        <f>IF(A56="",0,COUNTIF(tbl_Donateurs_Documents[ID Donateur],A56))</f>
        <v>0</v>
      </c>
      <c r="AS56" s="75">
        <f>IF(A56="",0,COUNTIF(tbl_Donateurs_Conventions[ID Donateur],A56))</f>
        <v>0</v>
      </c>
      <c r="AT56" s="83">
        <v>2500000</v>
      </c>
      <c r="AU56" s="76">
        <v>2000000</v>
      </c>
      <c r="AV56" s="75" t="str">
        <f t="shared" ref="AV56:AV87" ca="1" si="2">IF(A56="","",IF(OR(AB56="A relancer",AND(AF56&lt;&gt;"",AF56&lt;=TODAY())),"OUI","NON"))</f>
        <v>NON</v>
      </c>
      <c r="AW56" s="75" t="str">
        <f t="shared" ref="AW56:AW87" si="3">IF(B56="","",IF(OR(COUNTIF($B$56:$B$205,B56)&gt;1,AND(D56&lt;&gt;"",COUNTIF($D$56:$D$205,D56)&gt;1),AND(K56&lt;&gt;"",COUNTIF($K$56:$K$205,K56)&gt;1),AND(L56&lt;&gt;"",COUNTIF($L$56:$L$205,L56)&gt;1)),"OUI","NON"))</f>
        <v>NON</v>
      </c>
      <c r="AX56" s="81"/>
    </row>
    <row r="57" spans="1:50" ht="15" customHeight="1">
      <c r="A57" s="75" t="str">
        <f t="shared" si="0"/>
        <v/>
      </c>
      <c r="B57" s="81"/>
      <c r="C57" s="81"/>
      <c r="D57" s="81"/>
      <c r="E57" s="81"/>
      <c r="F57" s="81"/>
      <c r="G57" s="81"/>
      <c r="H57" s="81"/>
      <c r="I57" s="81"/>
      <c r="J57" s="81"/>
      <c r="K57" s="81"/>
      <c r="L57" s="81"/>
      <c r="M57" s="81"/>
      <c r="N57" s="81"/>
      <c r="O57" s="81"/>
      <c r="P57" s="81"/>
      <c r="Q57" s="81"/>
      <c r="R57" s="81"/>
      <c r="S57" s="81"/>
      <c r="T57" s="81"/>
      <c r="U57" s="81"/>
      <c r="V57" s="81"/>
      <c r="W57" s="81"/>
      <c r="X57" s="81"/>
      <c r="Y57" s="75" t="str">
        <f>IFERROR(INDEX(PARAMETRES!$B$536:$B$586,MATCH(X57,PARAMETRES!$J$536:$J$586,0)),"")</f>
        <v/>
      </c>
      <c r="Z57" s="75" t="str">
        <f>IFERROR(INDEX(PARAMETRES!$D$536:$D$586,MATCH(X57,PARAMETRES!$J$536:$J$586,0)),"")</f>
        <v/>
      </c>
      <c r="AA57" s="75" t="str">
        <f>IFERROR(INDEX(PARAMETRES!$F$536:$F$586,MATCH(X57,PARAMETRES!$J$536:$J$586,0)),"")</f>
        <v/>
      </c>
      <c r="AB57" s="81"/>
      <c r="AC57" s="82"/>
      <c r="AD57" s="81"/>
      <c r="AE57" s="82"/>
      <c r="AF57" s="82"/>
      <c r="AG57" s="81"/>
      <c r="AH57" s="81"/>
      <c r="AI57" s="75">
        <f>IF(A57="",0,COUNTIF(tbl_Donateurs_Opportunites[ID Donateur],A57))</f>
        <v>0</v>
      </c>
      <c r="AJ57" s="75">
        <f>IF(A57="",0,COUNTIFS(tbl_Donateurs_Opportunites[ID Donateur],A57,tbl_Donateurs_Opportunites[Statut],"Ouverte"))</f>
        <v>0</v>
      </c>
      <c r="AK57" s="75">
        <f>IF(A57="",0,COUNTIF(tbl_Donateurs_Demandes[ID Donateur],A57))</f>
        <v>0</v>
      </c>
      <c r="AL57" s="75">
        <f>IF(A57="",0,COUNTIFS(tbl_Donateurs_Demandes[ID Donateur],A57,tbl_Donateurs_Demandes[Statut],"Approuvee")+COUNTIFS(tbl_Donateurs_Demandes[ID Donateur],A57,tbl_Donateurs_Demandes[Statut],"Financement recu"))</f>
        <v>0</v>
      </c>
      <c r="AM57" s="76">
        <f>IF(A57="",0,SUMIF(tbl_Donateurs_Demandes[ID Donateur],A57,tbl_Donateurs_Demandes[Montant demande]))</f>
        <v>0</v>
      </c>
      <c r="AN57" s="76">
        <f>IF(A57="",0,SUMIF(tbl_Donateurs_Demandes[ID Donateur],A57,tbl_Donateurs_Demandes[Montant accorde]))</f>
        <v>0</v>
      </c>
      <c r="AO57" s="76">
        <f>IF(A57="",0,SUMIF(tbl_Donateurs_Decaissements[ID Donateur],A57,tbl_Donateurs_Decaissements[Montant recu]))</f>
        <v>0</v>
      </c>
      <c r="AP57" s="77" t="str">
        <f t="shared" si="1"/>
        <v/>
      </c>
      <c r="AQ57" s="75">
        <f>IF(A57="",0,COUNTIF(tbl_Donateurs_Contacts[ID Donateur],A57))</f>
        <v>0</v>
      </c>
      <c r="AR57" s="75">
        <f>IF(A57="",0,COUNTIF(tbl_Donateurs_Documents[ID Donateur],A57))</f>
        <v>0</v>
      </c>
      <c r="AS57" s="75">
        <f>IF(A57="",0,COUNTIF(tbl_Donateurs_Conventions[ID Donateur],A57))</f>
        <v>0</v>
      </c>
      <c r="AT57" s="83" t="str">
        <f ca="1">IFERROR(_xlfn.MAXIFS(tbl_Donateurs_Decaissements[Date recue],tbl_Donateurs_Decaissements[ID Donateur],A57),"")</f>
        <v/>
      </c>
      <c r="AU57" s="76" t="str">
        <f t="shared" ref="AU57:AU88" si="4">IFERROR(AN57/AL57,"")</f>
        <v/>
      </c>
      <c r="AV57" s="75" t="str">
        <f t="shared" ca="1" si="2"/>
        <v/>
      </c>
      <c r="AW57" s="75" t="str">
        <f t="shared" si="3"/>
        <v/>
      </c>
      <c r="AX57" s="81"/>
    </row>
    <row r="58" spans="1:50" ht="15" customHeight="1">
      <c r="A58" s="75" t="str">
        <f t="shared" si="0"/>
        <v/>
      </c>
      <c r="B58" s="81"/>
      <c r="C58" s="81"/>
      <c r="D58" s="81"/>
      <c r="E58" s="81"/>
      <c r="F58" s="81"/>
      <c r="G58" s="81"/>
      <c r="H58" s="81"/>
      <c r="I58" s="81"/>
      <c r="J58" s="81"/>
      <c r="K58" s="81"/>
      <c r="L58" s="81"/>
      <c r="M58" s="81"/>
      <c r="N58" s="81"/>
      <c r="O58" s="81"/>
      <c r="P58" s="81"/>
      <c r="Q58" s="81"/>
      <c r="R58" s="81"/>
      <c r="S58" s="81"/>
      <c r="T58" s="81"/>
      <c r="U58" s="81"/>
      <c r="V58" s="81"/>
      <c r="W58" s="81"/>
      <c r="X58" s="81"/>
      <c r="Y58" s="75" t="str">
        <f>IFERROR(INDEX(PARAMETRES!$B$536:$B$586,MATCH(X58,PARAMETRES!$J$536:$J$586,0)),"")</f>
        <v/>
      </c>
      <c r="Z58" s="75" t="str">
        <f>IFERROR(INDEX(PARAMETRES!$D$536:$D$586,MATCH(X58,PARAMETRES!$J$536:$J$586,0)),"")</f>
        <v/>
      </c>
      <c r="AA58" s="75" t="str">
        <f>IFERROR(INDEX(PARAMETRES!$F$536:$F$586,MATCH(X58,PARAMETRES!$J$536:$J$586,0)),"")</f>
        <v/>
      </c>
      <c r="AB58" s="81"/>
      <c r="AC58" s="82"/>
      <c r="AD58" s="81"/>
      <c r="AE58" s="82"/>
      <c r="AF58" s="82"/>
      <c r="AG58" s="81"/>
      <c r="AH58" s="81"/>
      <c r="AI58" s="75">
        <f>IF(A58="",0,COUNTIF(tbl_Donateurs_Opportunites[ID Donateur],A58))</f>
        <v>0</v>
      </c>
      <c r="AJ58" s="75">
        <f>IF(A58="",0,COUNTIFS(tbl_Donateurs_Opportunites[ID Donateur],A58,tbl_Donateurs_Opportunites[Statut],"Ouverte"))</f>
        <v>0</v>
      </c>
      <c r="AK58" s="75">
        <f>IF(A58="",0,COUNTIF(tbl_Donateurs_Demandes[ID Donateur],A58))</f>
        <v>0</v>
      </c>
      <c r="AL58" s="75">
        <f>IF(A58="",0,COUNTIFS(tbl_Donateurs_Demandes[ID Donateur],A58,tbl_Donateurs_Demandes[Statut],"Approuvee")+COUNTIFS(tbl_Donateurs_Demandes[ID Donateur],A58,tbl_Donateurs_Demandes[Statut],"Financement recu"))</f>
        <v>0</v>
      </c>
      <c r="AM58" s="76">
        <f>IF(A58="",0,SUMIF(tbl_Donateurs_Demandes[ID Donateur],A58,tbl_Donateurs_Demandes[Montant demande]))</f>
        <v>0</v>
      </c>
      <c r="AN58" s="76">
        <f>IF(A58="",0,SUMIF(tbl_Donateurs_Demandes[ID Donateur],A58,tbl_Donateurs_Demandes[Montant accorde]))</f>
        <v>0</v>
      </c>
      <c r="AO58" s="76">
        <f>IF(A58="",0,SUMIF(tbl_Donateurs_Decaissements[ID Donateur],A58,tbl_Donateurs_Decaissements[Montant recu]))</f>
        <v>0</v>
      </c>
      <c r="AP58" s="77" t="str">
        <f t="shared" si="1"/>
        <v/>
      </c>
      <c r="AQ58" s="75">
        <f>IF(A58="",0,COUNTIF(tbl_Donateurs_Contacts[ID Donateur],A58))</f>
        <v>0</v>
      </c>
      <c r="AR58" s="75">
        <f>IF(A58="",0,COUNTIF(tbl_Donateurs_Documents[ID Donateur],A58))</f>
        <v>0</v>
      </c>
      <c r="AS58" s="75">
        <f>IF(A58="",0,COUNTIF(tbl_Donateurs_Conventions[ID Donateur],A58))</f>
        <v>0</v>
      </c>
      <c r="AT58" s="83" t="str">
        <f ca="1">IFERROR(_xlfn.MAXIFS(tbl_Donateurs_Decaissements[Date recue],tbl_Donateurs_Decaissements[ID Donateur],A58),"")</f>
        <v/>
      </c>
      <c r="AU58" s="76" t="str">
        <f t="shared" si="4"/>
        <v/>
      </c>
      <c r="AV58" s="75" t="str">
        <f t="shared" ca="1" si="2"/>
        <v/>
      </c>
      <c r="AW58" s="75" t="str">
        <f t="shared" si="3"/>
        <v/>
      </c>
      <c r="AX58" s="81"/>
    </row>
    <row r="59" spans="1:50" ht="15" customHeight="1">
      <c r="A59" s="75" t="str">
        <f t="shared" si="0"/>
        <v/>
      </c>
      <c r="B59" s="81"/>
      <c r="C59" s="81"/>
      <c r="D59" s="81"/>
      <c r="E59" s="81"/>
      <c r="F59" s="81"/>
      <c r="G59" s="81"/>
      <c r="H59" s="81"/>
      <c r="I59" s="81"/>
      <c r="J59" s="81"/>
      <c r="K59" s="81"/>
      <c r="L59" s="81"/>
      <c r="M59" s="81"/>
      <c r="N59" s="81"/>
      <c r="O59" s="81"/>
      <c r="P59" s="81"/>
      <c r="Q59" s="81"/>
      <c r="R59" s="81"/>
      <c r="S59" s="81"/>
      <c r="T59" s="81"/>
      <c r="U59" s="81"/>
      <c r="V59" s="81"/>
      <c r="W59" s="81"/>
      <c r="X59" s="81"/>
      <c r="Y59" s="75" t="str">
        <f>IFERROR(INDEX(PARAMETRES!$B$536:$B$586,MATCH(X59,PARAMETRES!$J$536:$J$586,0)),"")</f>
        <v/>
      </c>
      <c r="Z59" s="75" t="str">
        <f>IFERROR(INDEX(PARAMETRES!$D$536:$D$586,MATCH(X59,PARAMETRES!$J$536:$J$586,0)),"")</f>
        <v/>
      </c>
      <c r="AA59" s="75" t="str">
        <f>IFERROR(INDEX(PARAMETRES!$F$536:$F$586,MATCH(X59,PARAMETRES!$J$536:$J$586,0)),"")</f>
        <v/>
      </c>
      <c r="AB59" s="81"/>
      <c r="AC59" s="82"/>
      <c r="AD59" s="81"/>
      <c r="AE59" s="82"/>
      <c r="AF59" s="82"/>
      <c r="AG59" s="81"/>
      <c r="AH59" s="81"/>
      <c r="AI59" s="75">
        <f>IF(A59="",0,COUNTIF(tbl_Donateurs_Opportunites[ID Donateur],A59))</f>
        <v>0</v>
      </c>
      <c r="AJ59" s="75">
        <f>IF(A59="",0,COUNTIFS(tbl_Donateurs_Opportunites[ID Donateur],A59,tbl_Donateurs_Opportunites[Statut],"Ouverte"))</f>
        <v>0</v>
      </c>
      <c r="AK59" s="75">
        <f>IF(A59="",0,COUNTIF(tbl_Donateurs_Demandes[ID Donateur],A59))</f>
        <v>0</v>
      </c>
      <c r="AL59" s="75">
        <f>IF(A59="",0,COUNTIFS(tbl_Donateurs_Demandes[ID Donateur],A59,tbl_Donateurs_Demandes[Statut],"Approuvee")+COUNTIFS(tbl_Donateurs_Demandes[ID Donateur],A59,tbl_Donateurs_Demandes[Statut],"Financement recu"))</f>
        <v>0</v>
      </c>
      <c r="AM59" s="76">
        <f>IF(A59="",0,SUMIF(tbl_Donateurs_Demandes[ID Donateur],A59,tbl_Donateurs_Demandes[Montant demande]))</f>
        <v>0</v>
      </c>
      <c r="AN59" s="76">
        <f>IF(A59="",0,SUMIF(tbl_Donateurs_Demandes[ID Donateur],A59,tbl_Donateurs_Demandes[Montant accorde]))</f>
        <v>0</v>
      </c>
      <c r="AO59" s="76">
        <f>IF(A59="",0,SUMIF(tbl_Donateurs_Decaissements[ID Donateur],A59,tbl_Donateurs_Decaissements[Montant recu]))</f>
        <v>0</v>
      </c>
      <c r="AP59" s="77" t="str">
        <f t="shared" si="1"/>
        <v/>
      </c>
      <c r="AQ59" s="75">
        <f>IF(A59="",0,COUNTIF(tbl_Donateurs_Contacts[ID Donateur],A59))</f>
        <v>0</v>
      </c>
      <c r="AR59" s="75">
        <f>IF(A59="",0,COUNTIF(tbl_Donateurs_Documents[ID Donateur],A59))</f>
        <v>0</v>
      </c>
      <c r="AS59" s="75">
        <f>IF(A59="",0,COUNTIF(tbl_Donateurs_Conventions[ID Donateur],A59))</f>
        <v>0</v>
      </c>
      <c r="AT59" s="83" t="str">
        <f ca="1">IFERROR(_xlfn.MAXIFS(tbl_Donateurs_Decaissements[Date recue],tbl_Donateurs_Decaissements[ID Donateur],A59),"")</f>
        <v/>
      </c>
      <c r="AU59" s="76" t="str">
        <f t="shared" si="4"/>
        <v/>
      </c>
      <c r="AV59" s="75" t="str">
        <f t="shared" ca="1" si="2"/>
        <v/>
      </c>
      <c r="AW59" s="75" t="str">
        <f t="shared" si="3"/>
        <v/>
      </c>
      <c r="AX59" s="81"/>
    </row>
    <row r="60" spans="1:50" ht="15" customHeight="1">
      <c r="A60" s="75" t="str">
        <f t="shared" si="0"/>
        <v/>
      </c>
      <c r="B60" s="81"/>
      <c r="C60" s="81"/>
      <c r="D60" s="81"/>
      <c r="E60" s="81"/>
      <c r="F60" s="81"/>
      <c r="G60" s="81"/>
      <c r="H60" s="81"/>
      <c r="I60" s="81"/>
      <c r="J60" s="81"/>
      <c r="K60" s="81"/>
      <c r="L60" s="81"/>
      <c r="M60" s="81"/>
      <c r="N60" s="81"/>
      <c r="O60" s="81"/>
      <c r="P60" s="81"/>
      <c r="Q60" s="81"/>
      <c r="R60" s="81"/>
      <c r="S60" s="81"/>
      <c r="T60" s="81"/>
      <c r="U60" s="81"/>
      <c r="V60" s="81"/>
      <c r="W60" s="81"/>
      <c r="X60" s="81"/>
      <c r="Y60" s="75" t="str">
        <f>IFERROR(INDEX(PARAMETRES!$B$536:$B$586,MATCH(X60,PARAMETRES!$J$536:$J$586,0)),"")</f>
        <v/>
      </c>
      <c r="Z60" s="75" t="str">
        <f>IFERROR(INDEX(PARAMETRES!$D$536:$D$586,MATCH(X60,PARAMETRES!$J$536:$J$586,0)),"")</f>
        <v/>
      </c>
      <c r="AA60" s="75" t="str">
        <f>IFERROR(INDEX(PARAMETRES!$F$536:$F$586,MATCH(X60,PARAMETRES!$J$536:$J$586,0)),"")</f>
        <v/>
      </c>
      <c r="AB60" s="81"/>
      <c r="AC60" s="82"/>
      <c r="AD60" s="81"/>
      <c r="AE60" s="82"/>
      <c r="AF60" s="82"/>
      <c r="AG60" s="81"/>
      <c r="AH60" s="81"/>
      <c r="AI60" s="75">
        <f>IF(A60="",0,COUNTIF(tbl_Donateurs_Opportunites[ID Donateur],A60))</f>
        <v>0</v>
      </c>
      <c r="AJ60" s="75">
        <f>IF(A60="",0,COUNTIFS(tbl_Donateurs_Opportunites[ID Donateur],A60,tbl_Donateurs_Opportunites[Statut],"Ouverte"))</f>
        <v>0</v>
      </c>
      <c r="AK60" s="75">
        <f>IF(A60="",0,COUNTIF(tbl_Donateurs_Demandes[ID Donateur],A60))</f>
        <v>0</v>
      </c>
      <c r="AL60" s="75">
        <f>IF(A60="",0,COUNTIFS(tbl_Donateurs_Demandes[ID Donateur],A60,tbl_Donateurs_Demandes[Statut],"Approuvee")+COUNTIFS(tbl_Donateurs_Demandes[ID Donateur],A60,tbl_Donateurs_Demandes[Statut],"Financement recu"))</f>
        <v>0</v>
      </c>
      <c r="AM60" s="76">
        <f>IF(A60="",0,SUMIF(tbl_Donateurs_Demandes[ID Donateur],A60,tbl_Donateurs_Demandes[Montant demande]))</f>
        <v>0</v>
      </c>
      <c r="AN60" s="76">
        <f>IF(A60="",0,SUMIF(tbl_Donateurs_Demandes[ID Donateur],A60,tbl_Donateurs_Demandes[Montant accorde]))</f>
        <v>0</v>
      </c>
      <c r="AO60" s="76">
        <f>IF(A60="",0,SUMIF(tbl_Donateurs_Decaissements[ID Donateur],A60,tbl_Donateurs_Decaissements[Montant recu]))</f>
        <v>0</v>
      </c>
      <c r="AP60" s="77" t="str">
        <f t="shared" si="1"/>
        <v/>
      </c>
      <c r="AQ60" s="75">
        <f>IF(A60="",0,COUNTIF(tbl_Donateurs_Contacts[ID Donateur],A60))</f>
        <v>0</v>
      </c>
      <c r="AR60" s="75">
        <f>IF(A60="",0,COUNTIF(tbl_Donateurs_Documents[ID Donateur],A60))</f>
        <v>0</v>
      </c>
      <c r="AS60" s="75">
        <f>IF(A60="",0,COUNTIF(tbl_Donateurs_Conventions[ID Donateur],A60))</f>
        <v>0</v>
      </c>
      <c r="AT60" s="83" t="str">
        <f ca="1">IFERROR(_xlfn.MAXIFS(tbl_Donateurs_Decaissements[Date recue],tbl_Donateurs_Decaissements[ID Donateur],A60),"")</f>
        <v/>
      </c>
      <c r="AU60" s="76" t="str">
        <f t="shared" si="4"/>
        <v/>
      </c>
      <c r="AV60" s="75" t="str">
        <f t="shared" ca="1" si="2"/>
        <v/>
      </c>
      <c r="AW60" s="75" t="str">
        <f t="shared" si="3"/>
        <v/>
      </c>
      <c r="AX60" s="81"/>
    </row>
    <row r="61" spans="1:50" ht="15" customHeight="1">
      <c r="A61" s="75" t="str">
        <f t="shared" si="0"/>
        <v/>
      </c>
      <c r="B61" s="81"/>
      <c r="C61" s="81"/>
      <c r="D61" s="81"/>
      <c r="E61" s="81"/>
      <c r="F61" s="81"/>
      <c r="G61" s="81"/>
      <c r="H61" s="81"/>
      <c r="I61" s="81"/>
      <c r="J61" s="81"/>
      <c r="K61" s="81"/>
      <c r="L61" s="81"/>
      <c r="M61" s="81"/>
      <c r="N61" s="81"/>
      <c r="O61" s="81"/>
      <c r="P61" s="81"/>
      <c r="Q61" s="81"/>
      <c r="R61" s="81"/>
      <c r="S61" s="81"/>
      <c r="T61" s="81"/>
      <c r="U61" s="81"/>
      <c r="V61" s="81"/>
      <c r="W61" s="81"/>
      <c r="X61" s="81"/>
      <c r="Y61" s="75" t="str">
        <f>IFERROR(INDEX(PARAMETRES!$B$536:$B$586,MATCH(X61,PARAMETRES!$J$536:$J$586,0)),"")</f>
        <v/>
      </c>
      <c r="Z61" s="75" t="str">
        <f>IFERROR(INDEX(PARAMETRES!$D$536:$D$586,MATCH(X61,PARAMETRES!$J$536:$J$586,0)),"")</f>
        <v/>
      </c>
      <c r="AA61" s="75" t="str">
        <f>IFERROR(INDEX(PARAMETRES!$F$536:$F$586,MATCH(X61,PARAMETRES!$J$536:$J$586,0)),"")</f>
        <v/>
      </c>
      <c r="AB61" s="81"/>
      <c r="AC61" s="82"/>
      <c r="AD61" s="81"/>
      <c r="AE61" s="82"/>
      <c r="AF61" s="82"/>
      <c r="AG61" s="81"/>
      <c r="AH61" s="81"/>
      <c r="AI61" s="75">
        <f>IF(A61="",0,COUNTIF(tbl_Donateurs_Opportunites[ID Donateur],A61))</f>
        <v>0</v>
      </c>
      <c r="AJ61" s="75">
        <f>IF(A61="",0,COUNTIFS(tbl_Donateurs_Opportunites[ID Donateur],A61,tbl_Donateurs_Opportunites[Statut],"Ouverte"))</f>
        <v>0</v>
      </c>
      <c r="AK61" s="75">
        <f>IF(A61="",0,COUNTIF(tbl_Donateurs_Demandes[ID Donateur],A61))</f>
        <v>0</v>
      </c>
      <c r="AL61" s="75">
        <f>IF(A61="",0,COUNTIFS(tbl_Donateurs_Demandes[ID Donateur],A61,tbl_Donateurs_Demandes[Statut],"Approuvee")+COUNTIFS(tbl_Donateurs_Demandes[ID Donateur],A61,tbl_Donateurs_Demandes[Statut],"Financement recu"))</f>
        <v>0</v>
      </c>
      <c r="AM61" s="76">
        <f>IF(A61="",0,SUMIF(tbl_Donateurs_Demandes[ID Donateur],A61,tbl_Donateurs_Demandes[Montant demande]))</f>
        <v>0</v>
      </c>
      <c r="AN61" s="76">
        <f>IF(A61="",0,SUMIF(tbl_Donateurs_Demandes[ID Donateur],A61,tbl_Donateurs_Demandes[Montant accorde]))</f>
        <v>0</v>
      </c>
      <c r="AO61" s="76">
        <f>IF(A61="",0,SUMIF(tbl_Donateurs_Decaissements[ID Donateur],A61,tbl_Donateurs_Decaissements[Montant recu]))</f>
        <v>0</v>
      </c>
      <c r="AP61" s="77" t="str">
        <f t="shared" si="1"/>
        <v/>
      </c>
      <c r="AQ61" s="75">
        <f>IF(A61="",0,COUNTIF(tbl_Donateurs_Contacts[ID Donateur],A61))</f>
        <v>0</v>
      </c>
      <c r="AR61" s="75">
        <f>IF(A61="",0,COUNTIF(tbl_Donateurs_Documents[ID Donateur],A61))</f>
        <v>0</v>
      </c>
      <c r="AS61" s="75">
        <f>IF(A61="",0,COUNTIF(tbl_Donateurs_Conventions[ID Donateur],A61))</f>
        <v>0</v>
      </c>
      <c r="AT61" s="83" t="str">
        <f ca="1">IFERROR(_xlfn.MAXIFS(tbl_Donateurs_Decaissements[Date recue],tbl_Donateurs_Decaissements[ID Donateur],A61),"")</f>
        <v/>
      </c>
      <c r="AU61" s="76" t="str">
        <f t="shared" si="4"/>
        <v/>
      </c>
      <c r="AV61" s="75" t="str">
        <f t="shared" ca="1" si="2"/>
        <v/>
      </c>
      <c r="AW61" s="75" t="str">
        <f t="shared" si="3"/>
        <v/>
      </c>
      <c r="AX61" s="81"/>
    </row>
    <row r="62" spans="1:50" ht="15" customHeight="1">
      <c r="A62" s="75" t="str">
        <f t="shared" si="0"/>
        <v/>
      </c>
      <c r="B62" s="81"/>
      <c r="C62" s="81"/>
      <c r="D62" s="81"/>
      <c r="E62" s="81"/>
      <c r="F62" s="81"/>
      <c r="G62" s="81"/>
      <c r="H62" s="81"/>
      <c r="I62" s="81"/>
      <c r="J62" s="81"/>
      <c r="K62" s="81"/>
      <c r="L62" s="81"/>
      <c r="M62" s="81"/>
      <c r="N62" s="81"/>
      <c r="O62" s="81"/>
      <c r="P62" s="81"/>
      <c r="Q62" s="81"/>
      <c r="R62" s="81"/>
      <c r="S62" s="81"/>
      <c r="T62" s="81"/>
      <c r="U62" s="81"/>
      <c r="V62" s="81"/>
      <c r="W62" s="81"/>
      <c r="X62" s="81"/>
      <c r="Y62" s="75" t="str">
        <f>IFERROR(INDEX(PARAMETRES!$B$536:$B$586,MATCH(X62,PARAMETRES!$J$536:$J$586,0)),"")</f>
        <v/>
      </c>
      <c r="Z62" s="75" t="str">
        <f>IFERROR(INDEX(PARAMETRES!$D$536:$D$586,MATCH(X62,PARAMETRES!$J$536:$J$586,0)),"")</f>
        <v/>
      </c>
      <c r="AA62" s="75" t="str">
        <f>IFERROR(INDEX(PARAMETRES!$F$536:$F$586,MATCH(X62,PARAMETRES!$J$536:$J$586,0)),"")</f>
        <v/>
      </c>
      <c r="AB62" s="81"/>
      <c r="AC62" s="82"/>
      <c r="AD62" s="81"/>
      <c r="AE62" s="82"/>
      <c r="AF62" s="82"/>
      <c r="AG62" s="81"/>
      <c r="AH62" s="81"/>
      <c r="AI62" s="75">
        <f>IF(A62="",0,COUNTIF(tbl_Donateurs_Opportunites[ID Donateur],A62))</f>
        <v>0</v>
      </c>
      <c r="AJ62" s="75">
        <f>IF(A62="",0,COUNTIFS(tbl_Donateurs_Opportunites[ID Donateur],A62,tbl_Donateurs_Opportunites[Statut],"Ouverte"))</f>
        <v>0</v>
      </c>
      <c r="AK62" s="75">
        <f>IF(A62="",0,COUNTIF(tbl_Donateurs_Demandes[ID Donateur],A62))</f>
        <v>0</v>
      </c>
      <c r="AL62" s="75">
        <f>IF(A62="",0,COUNTIFS(tbl_Donateurs_Demandes[ID Donateur],A62,tbl_Donateurs_Demandes[Statut],"Approuvee")+COUNTIFS(tbl_Donateurs_Demandes[ID Donateur],A62,tbl_Donateurs_Demandes[Statut],"Financement recu"))</f>
        <v>0</v>
      </c>
      <c r="AM62" s="76">
        <f>IF(A62="",0,SUMIF(tbl_Donateurs_Demandes[ID Donateur],A62,tbl_Donateurs_Demandes[Montant demande]))</f>
        <v>0</v>
      </c>
      <c r="AN62" s="76">
        <f>IF(A62="",0,SUMIF(tbl_Donateurs_Demandes[ID Donateur],A62,tbl_Donateurs_Demandes[Montant accorde]))</f>
        <v>0</v>
      </c>
      <c r="AO62" s="76">
        <f>IF(A62="",0,SUMIF(tbl_Donateurs_Decaissements[ID Donateur],A62,tbl_Donateurs_Decaissements[Montant recu]))</f>
        <v>0</v>
      </c>
      <c r="AP62" s="77" t="str">
        <f t="shared" si="1"/>
        <v/>
      </c>
      <c r="AQ62" s="75">
        <f>IF(A62="",0,COUNTIF(tbl_Donateurs_Contacts[ID Donateur],A62))</f>
        <v>0</v>
      </c>
      <c r="AR62" s="75">
        <f>IF(A62="",0,COUNTIF(tbl_Donateurs_Documents[ID Donateur],A62))</f>
        <v>0</v>
      </c>
      <c r="AS62" s="75">
        <f>IF(A62="",0,COUNTIF(tbl_Donateurs_Conventions[ID Donateur],A62))</f>
        <v>0</v>
      </c>
      <c r="AT62" s="83" t="str">
        <f ca="1">IFERROR(_xlfn.MAXIFS(tbl_Donateurs_Decaissements[Date recue],tbl_Donateurs_Decaissements[ID Donateur],A62),"")</f>
        <v/>
      </c>
      <c r="AU62" s="76" t="str">
        <f t="shared" si="4"/>
        <v/>
      </c>
      <c r="AV62" s="75" t="str">
        <f t="shared" ca="1" si="2"/>
        <v/>
      </c>
      <c r="AW62" s="75" t="str">
        <f t="shared" si="3"/>
        <v/>
      </c>
      <c r="AX62" s="81"/>
    </row>
    <row r="63" spans="1:50" ht="15" customHeight="1">
      <c r="A63" s="75" t="str">
        <f t="shared" si="0"/>
        <v/>
      </c>
      <c r="B63" s="81"/>
      <c r="C63" s="81"/>
      <c r="D63" s="81"/>
      <c r="E63" s="81"/>
      <c r="F63" s="81"/>
      <c r="G63" s="81"/>
      <c r="H63" s="81"/>
      <c r="I63" s="81"/>
      <c r="J63" s="81"/>
      <c r="K63" s="81"/>
      <c r="L63" s="81"/>
      <c r="M63" s="81"/>
      <c r="N63" s="81"/>
      <c r="O63" s="81"/>
      <c r="P63" s="81"/>
      <c r="Q63" s="81"/>
      <c r="R63" s="81"/>
      <c r="S63" s="81"/>
      <c r="T63" s="81"/>
      <c r="U63" s="81"/>
      <c r="V63" s="81"/>
      <c r="W63" s="81"/>
      <c r="X63" s="81"/>
      <c r="Y63" s="75" t="str">
        <f>IFERROR(INDEX(PARAMETRES!$B$536:$B$586,MATCH(X63,PARAMETRES!$J$536:$J$586,0)),"")</f>
        <v/>
      </c>
      <c r="Z63" s="75" t="str">
        <f>IFERROR(INDEX(PARAMETRES!$D$536:$D$586,MATCH(X63,PARAMETRES!$J$536:$J$586,0)),"")</f>
        <v/>
      </c>
      <c r="AA63" s="75" t="str">
        <f>IFERROR(INDEX(PARAMETRES!$F$536:$F$586,MATCH(X63,PARAMETRES!$J$536:$J$586,0)),"")</f>
        <v/>
      </c>
      <c r="AB63" s="81"/>
      <c r="AC63" s="82"/>
      <c r="AD63" s="81"/>
      <c r="AE63" s="82"/>
      <c r="AF63" s="82"/>
      <c r="AG63" s="81"/>
      <c r="AH63" s="81"/>
      <c r="AI63" s="75">
        <f>IF(A63="",0,COUNTIF(tbl_Donateurs_Opportunites[ID Donateur],A63))</f>
        <v>0</v>
      </c>
      <c r="AJ63" s="75">
        <f>IF(A63="",0,COUNTIFS(tbl_Donateurs_Opportunites[ID Donateur],A63,tbl_Donateurs_Opportunites[Statut],"Ouverte"))</f>
        <v>0</v>
      </c>
      <c r="AK63" s="75">
        <f>IF(A63="",0,COUNTIF(tbl_Donateurs_Demandes[ID Donateur],A63))</f>
        <v>0</v>
      </c>
      <c r="AL63" s="75">
        <f>IF(A63="",0,COUNTIFS(tbl_Donateurs_Demandes[ID Donateur],A63,tbl_Donateurs_Demandes[Statut],"Approuvee")+COUNTIFS(tbl_Donateurs_Demandes[ID Donateur],A63,tbl_Donateurs_Demandes[Statut],"Financement recu"))</f>
        <v>0</v>
      </c>
      <c r="AM63" s="76">
        <f>IF(A63="",0,SUMIF(tbl_Donateurs_Demandes[ID Donateur],A63,tbl_Donateurs_Demandes[Montant demande]))</f>
        <v>0</v>
      </c>
      <c r="AN63" s="76">
        <f>IF(A63="",0,SUMIF(tbl_Donateurs_Demandes[ID Donateur],A63,tbl_Donateurs_Demandes[Montant accorde]))</f>
        <v>0</v>
      </c>
      <c r="AO63" s="76">
        <f>IF(A63="",0,SUMIF(tbl_Donateurs_Decaissements[ID Donateur],A63,tbl_Donateurs_Decaissements[Montant recu]))</f>
        <v>0</v>
      </c>
      <c r="AP63" s="77" t="str">
        <f t="shared" si="1"/>
        <v/>
      </c>
      <c r="AQ63" s="75">
        <f>IF(A63="",0,COUNTIF(tbl_Donateurs_Contacts[ID Donateur],A63))</f>
        <v>0</v>
      </c>
      <c r="AR63" s="75">
        <f>IF(A63="",0,COUNTIF(tbl_Donateurs_Documents[ID Donateur],A63))</f>
        <v>0</v>
      </c>
      <c r="AS63" s="75">
        <f>IF(A63="",0,COUNTIF(tbl_Donateurs_Conventions[ID Donateur],A63))</f>
        <v>0</v>
      </c>
      <c r="AT63" s="83" t="str">
        <f ca="1">IFERROR(_xlfn.MAXIFS(tbl_Donateurs_Decaissements[Date recue],tbl_Donateurs_Decaissements[ID Donateur],A63),"")</f>
        <v/>
      </c>
      <c r="AU63" s="76" t="str">
        <f t="shared" si="4"/>
        <v/>
      </c>
      <c r="AV63" s="75" t="str">
        <f t="shared" ca="1" si="2"/>
        <v/>
      </c>
      <c r="AW63" s="75" t="str">
        <f t="shared" si="3"/>
        <v/>
      </c>
      <c r="AX63" s="81"/>
    </row>
    <row r="64" spans="1:50" ht="15" customHeight="1">
      <c r="A64" s="75" t="str">
        <f t="shared" si="0"/>
        <v/>
      </c>
      <c r="B64" s="81"/>
      <c r="C64" s="81"/>
      <c r="D64" s="81"/>
      <c r="E64" s="81"/>
      <c r="F64" s="81"/>
      <c r="G64" s="81"/>
      <c r="H64" s="81"/>
      <c r="I64" s="81"/>
      <c r="J64" s="81"/>
      <c r="K64" s="81"/>
      <c r="L64" s="81"/>
      <c r="M64" s="81"/>
      <c r="N64" s="81"/>
      <c r="O64" s="81"/>
      <c r="P64" s="81"/>
      <c r="Q64" s="81"/>
      <c r="R64" s="81"/>
      <c r="S64" s="81"/>
      <c r="T64" s="81"/>
      <c r="U64" s="81"/>
      <c r="V64" s="81"/>
      <c r="W64" s="81"/>
      <c r="X64" s="81"/>
      <c r="Y64" s="75" t="str">
        <f>IFERROR(INDEX(PARAMETRES!$B$536:$B$586,MATCH(X64,PARAMETRES!$J$536:$J$586,0)),"")</f>
        <v/>
      </c>
      <c r="Z64" s="75" t="str">
        <f>IFERROR(INDEX(PARAMETRES!$D$536:$D$586,MATCH(X64,PARAMETRES!$J$536:$J$586,0)),"")</f>
        <v/>
      </c>
      <c r="AA64" s="75" t="str">
        <f>IFERROR(INDEX(PARAMETRES!$F$536:$F$586,MATCH(X64,PARAMETRES!$J$536:$J$586,0)),"")</f>
        <v/>
      </c>
      <c r="AB64" s="81"/>
      <c r="AC64" s="82"/>
      <c r="AD64" s="81"/>
      <c r="AE64" s="82"/>
      <c r="AF64" s="82"/>
      <c r="AG64" s="81"/>
      <c r="AH64" s="81"/>
      <c r="AI64" s="75">
        <f>IF(A64="",0,COUNTIF(tbl_Donateurs_Opportunites[ID Donateur],A64))</f>
        <v>0</v>
      </c>
      <c r="AJ64" s="75">
        <f>IF(A64="",0,COUNTIFS(tbl_Donateurs_Opportunites[ID Donateur],A64,tbl_Donateurs_Opportunites[Statut],"Ouverte"))</f>
        <v>0</v>
      </c>
      <c r="AK64" s="75">
        <f>IF(A64="",0,COUNTIF(tbl_Donateurs_Demandes[ID Donateur],A64))</f>
        <v>0</v>
      </c>
      <c r="AL64" s="75">
        <f>IF(A64="",0,COUNTIFS(tbl_Donateurs_Demandes[ID Donateur],A64,tbl_Donateurs_Demandes[Statut],"Approuvee")+COUNTIFS(tbl_Donateurs_Demandes[ID Donateur],A64,tbl_Donateurs_Demandes[Statut],"Financement recu"))</f>
        <v>0</v>
      </c>
      <c r="AM64" s="76">
        <f>IF(A64="",0,SUMIF(tbl_Donateurs_Demandes[ID Donateur],A64,tbl_Donateurs_Demandes[Montant demande]))</f>
        <v>0</v>
      </c>
      <c r="AN64" s="76">
        <f>IF(A64="",0,SUMIF(tbl_Donateurs_Demandes[ID Donateur],A64,tbl_Donateurs_Demandes[Montant accorde]))</f>
        <v>0</v>
      </c>
      <c r="AO64" s="76">
        <f>IF(A64="",0,SUMIF(tbl_Donateurs_Decaissements[ID Donateur],A64,tbl_Donateurs_Decaissements[Montant recu]))</f>
        <v>0</v>
      </c>
      <c r="AP64" s="77" t="str">
        <f t="shared" si="1"/>
        <v/>
      </c>
      <c r="AQ64" s="75">
        <f>IF(A64="",0,COUNTIF(tbl_Donateurs_Contacts[ID Donateur],A64))</f>
        <v>0</v>
      </c>
      <c r="AR64" s="75">
        <f>IF(A64="",0,COUNTIF(tbl_Donateurs_Documents[ID Donateur],A64))</f>
        <v>0</v>
      </c>
      <c r="AS64" s="75">
        <f>IF(A64="",0,COUNTIF(tbl_Donateurs_Conventions[ID Donateur],A64))</f>
        <v>0</v>
      </c>
      <c r="AT64" s="83" t="str">
        <f ca="1">IFERROR(_xlfn.MAXIFS(tbl_Donateurs_Decaissements[Date recue],tbl_Donateurs_Decaissements[ID Donateur],A64),"")</f>
        <v/>
      </c>
      <c r="AU64" s="76" t="str">
        <f t="shared" si="4"/>
        <v/>
      </c>
      <c r="AV64" s="75" t="str">
        <f t="shared" ca="1" si="2"/>
        <v/>
      </c>
      <c r="AW64" s="75" t="str">
        <f t="shared" si="3"/>
        <v/>
      </c>
      <c r="AX64" s="81"/>
    </row>
    <row r="65" spans="1:50" ht="15" customHeight="1">
      <c r="A65" s="75" t="str">
        <f t="shared" si="0"/>
        <v/>
      </c>
      <c r="B65" s="81"/>
      <c r="C65" s="81"/>
      <c r="D65" s="81"/>
      <c r="E65" s="81"/>
      <c r="F65" s="81"/>
      <c r="G65" s="81"/>
      <c r="H65" s="81"/>
      <c r="I65" s="81"/>
      <c r="J65" s="81"/>
      <c r="K65" s="81"/>
      <c r="L65" s="81"/>
      <c r="M65" s="81"/>
      <c r="N65" s="81"/>
      <c r="O65" s="81"/>
      <c r="P65" s="81"/>
      <c r="Q65" s="81"/>
      <c r="R65" s="81"/>
      <c r="S65" s="81"/>
      <c r="T65" s="81"/>
      <c r="U65" s="81"/>
      <c r="V65" s="81"/>
      <c r="W65" s="81"/>
      <c r="X65" s="81"/>
      <c r="Y65" s="75" t="str">
        <f>IFERROR(INDEX(PARAMETRES!$B$536:$B$586,MATCH(X65,PARAMETRES!$J$536:$J$586,0)),"")</f>
        <v/>
      </c>
      <c r="Z65" s="75" t="str">
        <f>IFERROR(INDEX(PARAMETRES!$D$536:$D$586,MATCH(X65,PARAMETRES!$J$536:$J$586,0)),"")</f>
        <v/>
      </c>
      <c r="AA65" s="75" t="str">
        <f>IFERROR(INDEX(PARAMETRES!$F$536:$F$586,MATCH(X65,PARAMETRES!$J$536:$J$586,0)),"")</f>
        <v/>
      </c>
      <c r="AB65" s="81"/>
      <c r="AC65" s="82"/>
      <c r="AD65" s="81"/>
      <c r="AE65" s="82"/>
      <c r="AF65" s="82"/>
      <c r="AG65" s="81"/>
      <c r="AH65" s="81"/>
      <c r="AI65" s="75">
        <f>IF(A65="",0,COUNTIF(tbl_Donateurs_Opportunites[ID Donateur],A65))</f>
        <v>0</v>
      </c>
      <c r="AJ65" s="75">
        <f>IF(A65="",0,COUNTIFS(tbl_Donateurs_Opportunites[ID Donateur],A65,tbl_Donateurs_Opportunites[Statut],"Ouverte"))</f>
        <v>0</v>
      </c>
      <c r="AK65" s="75">
        <f>IF(A65="",0,COUNTIF(tbl_Donateurs_Demandes[ID Donateur],A65))</f>
        <v>0</v>
      </c>
      <c r="AL65" s="75">
        <f>IF(A65="",0,COUNTIFS(tbl_Donateurs_Demandes[ID Donateur],A65,tbl_Donateurs_Demandes[Statut],"Approuvee")+COUNTIFS(tbl_Donateurs_Demandes[ID Donateur],A65,tbl_Donateurs_Demandes[Statut],"Financement recu"))</f>
        <v>0</v>
      </c>
      <c r="AM65" s="76">
        <f>IF(A65="",0,SUMIF(tbl_Donateurs_Demandes[ID Donateur],A65,tbl_Donateurs_Demandes[Montant demande]))</f>
        <v>0</v>
      </c>
      <c r="AN65" s="76">
        <f>IF(A65="",0,SUMIF(tbl_Donateurs_Demandes[ID Donateur],A65,tbl_Donateurs_Demandes[Montant accorde]))</f>
        <v>0</v>
      </c>
      <c r="AO65" s="76">
        <f>IF(A65="",0,SUMIF(tbl_Donateurs_Decaissements[ID Donateur],A65,tbl_Donateurs_Decaissements[Montant recu]))</f>
        <v>0</v>
      </c>
      <c r="AP65" s="77" t="str">
        <f t="shared" si="1"/>
        <v/>
      </c>
      <c r="AQ65" s="75">
        <f>IF(A65="",0,COUNTIF(tbl_Donateurs_Contacts[ID Donateur],A65))</f>
        <v>0</v>
      </c>
      <c r="AR65" s="75">
        <f>IF(A65="",0,COUNTIF(tbl_Donateurs_Documents[ID Donateur],A65))</f>
        <v>0</v>
      </c>
      <c r="AS65" s="75">
        <f>IF(A65="",0,COUNTIF(tbl_Donateurs_Conventions[ID Donateur],A65))</f>
        <v>0</v>
      </c>
      <c r="AT65" s="83" t="str">
        <f ca="1">IFERROR(_xlfn.MAXIFS(tbl_Donateurs_Decaissements[Date recue],tbl_Donateurs_Decaissements[ID Donateur],A65),"")</f>
        <v/>
      </c>
      <c r="AU65" s="76" t="str">
        <f t="shared" si="4"/>
        <v/>
      </c>
      <c r="AV65" s="75" t="str">
        <f t="shared" ca="1" si="2"/>
        <v/>
      </c>
      <c r="AW65" s="75" t="str">
        <f t="shared" si="3"/>
        <v/>
      </c>
      <c r="AX65" s="81"/>
    </row>
    <row r="66" spans="1:50" ht="15" customHeight="1">
      <c r="A66" s="75" t="str">
        <f t="shared" si="0"/>
        <v/>
      </c>
      <c r="B66" s="81"/>
      <c r="C66" s="81"/>
      <c r="D66" s="81"/>
      <c r="E66" s="81"/>
      <c r="F66" s="81"/>
      <c r="G66" s="81"/>
      <c r="H66" s="81"/>
      <c r="I66" s="81"/>
      <c r="J66" s="81"/>
      <c r="K66" s="81"/>
      <c r="L66" s="81"/>
      <c r="M66" s="81"/>
      <c r="N66" s="81"/>
      <c r="O66" s="81"/>
      <c r="P66" s="81"/>
      <c r="Q66" s="81"/>
      <c r="R66" s="81"/>
      <c r="S66" s="81"/>
      <c r="T66" s="81"/>
      <c r="U66" s="81"/>
      <c r="V66" s="81"/>
      <c r="W66" s="81"/>
      <c r="X66" s="81"/>
      <c r="Y66" s="75" t="str">
        <f>IFERROR(INDEX(PARAMETRES!$B$536:$B$586,MATCH(X66,PARAMETRES!$J$536:$J$586,0)),"")</f>
        <v/>
      </c>
      <c r="Z66" s="75" t="str">
        <f>IFERROR(INDEX(PARAMETRES!$D$536:$D$586,MATCH(X66,PARAMETRES!$J$536:$J$586,0)),"")</f>
        <v/>
      </c>
      <c r="AA66" s="75" t="str">
        <f>IFERROR(INDEX(PARAMETRES!$F$536:$F$586,MATCH(X66,PARAMETRES!$J$536:$J$586,0)),"")</f>
        <v/>
      </c>
      <c r="AB66" s="81"/>
      <c r="AC66" s="82"/>
      <c r="AD66" s="81"/>
      <c r="AE66" s="82"/>
      <c r="AF66" s="82"/>
      <c r="AG66" s="81"/>
      <c r="AH66" s="81"/>
      <c r="AI66" s="75">
        <f>IF(A66="",0,COUNTIF(tbl_Donateurs_Opportunites[ID Donateur],A66))</f>
        <v>0</v>
      </c>
      <c r="AJ66" s="75">
        <f>IF(A66="",0,COUNTIFS(tbl_Donateurs_Opportunites[ID Donateur],A66,tbl_Donateurs_Opportunites[Statut],"Ouverte"))</f>
        <v>0</v>
      </c>
      <c r="AK66" s="75">
        <f>IF(A66="",0,COUNTIF(tbl_Donateurs_Demandes[ID Donateur],A66))</f>
        <v>0</v>
      </c>
      <c r="AL66" s="75">
        <f>IF(A66="",0,COUNTIFS(tbl_Donateurs_Demandes[ID Donateur],A66,tbl_Donateurs_Demandes[Statut],"Approuvee")+COUNTIFS(tbl_Donateurs_Demandes[ID Donateur],A66,tbl_Donateurs_Demandes[Statut],"Financement recu"))</f>
        <v>0</v>
      </c>
      <c r="AM66" s="76">
        <f>IF(A66="",0,SUMIF(tbl_Donateurs_Demandes[ID Donateur],A66,tbl_Donateurs_Demandes[Montant demande]))</f>
        <v>0</v>
      </c>
      <c r="AN66" s="76">
        <f>IF(A66="",0,SUMIF(tbl_Donateurs_Demandes[ID Donateur],A66,tbl_Donateurs_Demandes[Montant accorde]))</f>
        <v>0</v>
      </c>
      <c r="AO66" s="76">
        <f>IF(A66="",0,SUMIF(tbl_Donateurs_Decaissements[ID Donateur],A66,tbl_Donateurs_Decaissements[Montant recu]))</f>
        <v>0</v>
      </c>
      <c r="AP66" s="77" t="str">
        <f t="shared" si="1"/>
        <v/>
      </c>
      <c r="AQ66" s="75">
        <f>IF(A66="",0,COUNTIF(tbl_Donateurs_Contacts[ID Donateur],A66))</f>
        <v>0</v>
      </c>
      <c r="AR66" s="75">
        <f>IF(A66="",0,COUNTIF(tbl_Donateurs_Documents[ID Donateur],A66))</f>
        <v>0</v>
      </c>
      <c r="AS66" s="75">
        <f>IF(A66="",0,COUNTIF(tbl_Donateurs_Conventions[ID Donateur],A66))</f>
        <v>0</v>
      </c>
      <c r="AT66" s="83" t="str">
        <f ca="1">IFERROR(_xlfn.MAXIFS(tbl_Donateurs_Decaissements[Date recue],tbl_Donateurs_Decaissements[ID Donateur],A66),"")</f>
        <v/>
      </c>
      <c r="AU66" s="76" t="str">
        <f t="shared" si="4"/>
        <v/>
      </c>
      <c r="AV66" s="75" t="str">
        <f t="shared" ca="1" si="2"/>
        <v/>
      </c>
      <c r="AW66" s="75" t="str">
        <f t="shared" si="3"/>
        <v/>
      </c>
      <c r="AX66" s="81"/>
    </row>
    <row r="67" spans="1:50" ht="15" customHeight="1">
      <c r="A67" s="75" t="str">
        <f t="shared" si="0"/>
        <v/>
      </c>
      <c r="B67" s="81"/>
      <c r="C67" s="81"/>
      <c r="D67" s="81"/>
      <c r="E67" s="81"/>
      <c r="F67" s="81"/>
      <c r="G67" s="81"/>
      <c r="H67" s="81"/>
      <c r="I67" s="81"/>
      <c r="J67" s="81"/>
      <c r="K67" s="81"/>
      <c r="L67" s="81"/>
      <c r="M67" s="81"/>
      <c r="N67" s="81"/>
      <c r="O67" s="81"/>
      <c r="P67" s="81"/>
      <c r="Q67" s="81"/>
      <c r="R67" s="81"/>
      <c r="S67" s="81"/>
      <c r="T67" s="81"/>
      <c r="U67" s="81"/>
      <c r="V67" s="81"/>
      <c r="W67" s="81"/>
      <c r="X67" s="81"/>
      <c r="Y67" s="75" t="str">
        <f>IFERROR(INDEX(PARAMETRES!$B$536:$B$586,MATCH(X67,PARAMETRES!$J$536:$J$586,0)),"")</f>
        <v/>
      </c>
      <c r="Z67" s="75" t="str">
        <f>IFERROR(INDEX(PARAMETRES!$D$536:$D$586,MATCH(X67,PARAMETRES!$J$536:$J$586,0)),"")</f>
        <v/>
      </c>
      <c r="AA67" s="75" t="str">
        <f>IFERROR(INDEX(PARAMETRES!$F$536:$F$586,MATCH(X67,PARAMETRES!$J$536:$J$586,0)),"")</f>
        <v/>
      </c>
      <c r="AB67" s="81"/>
      <c r="AC67" s="82"/>
      <c r="AD67" s="81"/>
      <c r="AE67" s="82"/>
      <c r="AF67" s="82"/>
      <c r="AG67" s="81"/>
      <c r="AH67" s="81"/>
      <c r="AI67" s="75">
        <f>IF(A67="",0,COUNTIF(tbl_Donateurs_Opportunites[ID Donateur],A67))</f>
        <v>0</v>
      </c>
      <c r="AJ67" s="75">
        <f>IF(A67="",0,COUNTIFS(tbl_Donateurs_Opportunites[ID Donateur],A67,tbl_Donateurs_Opportunites[Statut],"Ouverte"))</f>
        <v>0</v>
      </c>
      <c r="AK67" s="75">
        <f>IF(A67="",0,COUNTIF(tbl_Donateurs_Demandes[ID Donateur],A67))</f>
        <v>0</v>
      </c>
      <c r="AL67" s="75">
        <f>IF(A67="",0,COUNTIFS(tbl_Donateurs_Demandes[ID Donateur],A67,tbl_Donateurs_Demandes[Statut],"Approuvee")+COUNTIFS(tbl_Donateurs_Demandes[ID Donateur],A67,tbl_Donateurs_Demandes[Statut],"Financement recu"))</f>
        <v>0</v>
      </c>
      <c r="AM67" s="76">
        <f>IF(A67="",0,SUMIF(tbl_Donateurs_Demandes[ID Donateur],A67,tbl_Donateurs_Demandes[Montant demande]))</f>
        <v>0</v>
      </c>
      <c r="AN67" s="76">
        <f>IF(A67="",0,SUMIF(tbl_Donateurs_Demandes[ID Donateur],A67,tbl_Donateurs_Demandes[Montant accorde]))</f>
        <v>0</v>
      </c>
      <c r="AO67" s="76">
        <f>IF(A67="",0,SUMIF(tbl_Donateurs_Decaissements[ID Donateur],A67,tbl_Donateurs_Decaissements[Montant recu]))</f>
        <v>0</v>
      </c>
      <c r="AP67" s="77" t="str">
        <f t="shared" si="1"/>
        <v/>
      </c>
      <c r="AQ67" s="75">
        <f>IF(A67="",0,COUNTIF(tbl_Donateurs_Contacts[ID Donateur],A67))</f>
        <v>0</v>
      </c>
      <c r="AR67" s="75">
        <f>IF(A67="",0,COUNTIF(tbl_Donateurs_Documents[ID Donateur],A67))</f>
        <v>0</v>
      </c>
      <c r="AS67" s="75">
        <f>IF(A67="",0,COUNTIF(tbl_Donateurs_Conventions[ID Donateur],A67))</f>
        <v>0</v>
      </c>
      <c r="AT67" s="83" t="str">
        <f ca="1">IFERROR(_xlfn.MAXIFS(tbl_Donateurs_Decaissements[Date recue],tbl_Donateurs_Decaissements[ID Donateur],A67),"")</f>
        <v/>
      </c>
      <c r="AU67" s="76" t="str">
        <f t="shared" si="4"/>
        <v/>
      </c>
      <c r="AV67" s="75" t="str">
        <f t="shared" ca="1" si="2"/>
        <v/>
      </c>
      <c r="AW67" s="75" t="str">
        <f t="shared" si="3"/>
        <v/>
      </c>
      <c r="AX67" s="81"/>
    </row>
    <row r="68" spans="1:50" ht="15" customHeight="1">
      <c r="A68" s="75" t="str">
        <f t="shared" si="0"/>
        <v/>
      </c>
      <c r="B68" s="81"/>
      <c r="C68" s="81"/>
      <c r="D68" s="81"/>
      <c r="E68" s="81"/>
      <c r="F68" s="81"/>
      <c r="G68" s="81"/>
      <c r="H68" s="81"/>
      <c r="I68" s="81"/>
      <c r="J68" s="81"/>
      <c r="K68" s="81"/>
      <c r="L68" s="81"/>
      <c r="M68" s="81"/>
      <c r="N68" s="81"/>
      <c r="O68" s="81"/>
      <c r="P68" s="81"/>
      <c r="Q68" s="81"/>
      <c r="R68" s="81"/>
      <c r="S68" s="81"/>
      <c r="T68" s="81"/>
      <c r="U68" s="81"/>
      <c r="V68" s="81"/>
      <c r="W68" s="81"/>
      <c r="X68" s="81"/>
      <c r="Y68" s="75" t="str">
        <f>IFERROR(INDEX(PARAMETRES!$B$536:$B$586,MATCH(X68,PARAMETRES!$J$536:$J$586,0)),"")</f>
        <v/>
      </c>
      <c r="Z68" s="75" t="str">
        <f>IFERROR(INDEX(PARAMETRES!$D$536:$D$586,MATCH(X68,PARAMETRES!$J$536:$J$586,0)),"")</f>
        <v/>
      </c>
      <c r="AA68" s="75" t="str">
        <f>IFERROR(INDEX(PARAMETRES!$F$536:$F$586,MATCH(X68,PARAMETRES!$J$536:$J$586,0)),"")</f>
        <v/>
      </c>
      <c r="AB68" s="81"/>
      <c r="AC68" s="82"/>
      <c r="AD68" s="81"/>
      <c r="AE68" s="82"/>
      <c r="AF68" s="82"/>
      <c r="AG68" s="81"/>
      <c r="AH68" s="81"/>
      <c r="AI68" s="75">
        <f>IF(A68="",0,COUNTIF(tbl_Donateurs_Opportunites[ID Donateur],A68))</f>
        <v>0</v>
      </c>
      <c r="AJ68" s="75">
        <f>IF(A68="",0,COUNTIFS(tbl_Donateurs_Opportunites[ID Donateur],A68,tbl_Donateurs_Opportunites[Statut],"Ouverte"))</f>
        <v>0</v>
      </c>
      <c r="AK68" s="75">
        <f>IF(A68="",0,COUNTIF(tbl_Donateurs_Demandes[ID Donateur],A68))</f>
        <v>0</v>
      </c>
      <c r="AL68" s="75">
        <f>IF(A68="",0,COUNTIFS(tbl_Donateurs_Demandes[ID Donateur],A68,tbl_Donateurs_Demandes[Statut],"Approuvee")+COUNTIFS(tbl_Donateurs_Demandes[ID Donateur],A68,tbl_Donateurs_Demandes[Statut],"Financement recu"))</f>
        <v>0</v>
      </c>
      <c r="AM68" s="76">
        <f>IF(A68="",0,SUMIF(tbl_Donateurs_Demandes[ID Donateur],A68,tbl_Donateurs_Demandes[Montant demande]))</f>
        <v>0</v>
      </c>
      <c r="AN68" s="76">
        <f>IF(A68="",0,SUMIF(tbl_Donateurs_Demandes[ID Donateur],A68,tbl_Donateurs_Demandes[Montant accorde]))</f>
        <v>0</v>
      </c>
      <c r="AO68" s="76">
        <f>IF(A68="",0,SUMIF(tbl_Donateurs_Decaissements[ID Donateur],A68,tbl_Donateurs_Decaissements[Montant recu]))</f>
        <v>0</v>
      </c>
      <c r="AP68" s="77" t="str">
        <f t="shared" si="1"/>
        <v/>
      </c>
      <c r="AQ68" s="75">
        <f>IF(A68="",0,COUNTIF(tbl_Donateurs_Contacts[ID Donateur],A68))</f>
        <v>0</v>
      </c>
      <c r="AR68" s="75">
        <f>IF(A68="",0,COUNTIF(tbl_Donateurs_Documents[ID Donateur],A68))</f>
        <v>0</v>
      </c>
      <c r="AS68" s="75">
        <f>IF(A68="",0,COUNTIF(tbl_Donateurs_Conventions[ID Donateur],A68))</f>
        <v>0</v>
      </c>
      <c r="AT68" s="83" t="str">
        <f ca="1">IFERROR(_xlfn.MAXIFS(tbl_Donateurs_Decaissements[Date recue],tbl_Donateurs_Decaissements[ID Donateur],A68),"")</f>
        <v/>
      </c>
      <c r="AU68" s="76" t="str">
        <f t="shared" si="4"/>
        <v/>
      </c>
      <c r="AV68" s="75" t="str">
        <f t="shared" ca="1" si="2"/>
        <v/>
      </c>
      <c r="AW68" s="75" t="str">
        <f t="shared" si="3"/>
        <v/>
      </c>
      <c r="AX68" s="81"/>
    </row>
    <row r="69" spans="1:50" ht="15" customHeight="1">
      <c r="A69" s="75" t="str">
        <f t="shared" si="0"/>
        <v/>
      </c>
      <c r="B69" s="81"/>
      <c r="C69" s="81"/>
      <c r="D69" s="81"/>
      <c r="E69" s="81"/>
      <c r="F69" s="81"/>
      <c r="G69" s="81"/>
      <c r="H69" s="81"/>
      <c r="I69" s="81"/>
      <c r="J69" s="81"/>
      <c r="K69" s="81"/>
      <c r="L69" s="81"/>
      <c r="M69" s="81"/>
      <c r="N69" s="81"/>
      <c r="O69" s="81"/>
      <c r="P69" s="81"/>
      <c r="Q69" s="81"/>
      <c r="R69" s="81"/>
      <c r="S69" s="81"/>
      <c r="T69" s="81"/>
      <c r="U69" s="81"/>
      <c r="V69" s="81"/>
      <c r="W69" s="81"/>
      <c r="X69" s="81"/>
      <c r="Y69" s="75" t="str">
        <f>IFERROR(INDEX(PARAMETRES!$B$536:$B$586,MATCH(X69,PARAMETRES!$J$536:$J$586,0)),"")</f>
        <v/>
      </c>
      <c r="Z69" s="75" t="str">
        <f>IFERROR(INDEX(PARAMETRES!$D$536:$D$586,MATCH(X69,PARAMETRES!$J$536:$J$586,0)),"")</f>
        <v/>
      </c>
      <c r="AA69" s="75" t="str">
        <f>IFERROR(INDEX(PARAMETRES!$F$536:$F$586,MATCH(X69,PARAMETRES!$J$536:$J$586,0)),"")</f>
        <v/>
      </c>
      <c r="AB69" s="81"/>
      <c r="AC69" s="82"/>
      <c r="AD69" s="81"/>
      <c r="AE69" s="82"/>
      <c r="AF69" s="82"/>
      <c r="AG69" s="81"/>
      <c r="AH69" s="81"/>
      <c r="AI69" s="75">
        <f>IF(A69="",0,COUNTIF(tbl_Donateurs_Opportunites[ID Donateur],A69))</f>
        <v>0</v>
      </c>
      <c r="AJ69" s="75">
        <f>IF(A69="",0,COUNTIFS(tbl_Donateurs_Opportunites[ID Donateur],A69,tbl_Donateurs_Opportunites[Statut],"Ouverte"))</f>
        <v>0</v>
      </c>
      <c r="AK69" s="75">
        <f>IF(A69="",0,COUNTIF(tbl_Donateurs_Demandes[ID Donateur],A69))</f>
        <v>0</v>
      </c>
      <c r="AL69" s="75">
        <f>IF(A69="",0,COUNTIFS(tbl_Donateurs_Demandes[ID Donateur],A69,tbl_Donateurs_Demandes[Statut],"Approuvee")+COUNTIFS(tbl_Donateurs_Demandes[ID Donateur],A69,tbl_Donateurs_Demandes[Statut],"Financement recu"))</f>
        <v>0</v>
      </c>
      <c r="AM69" s="76">
        <f>IF(A69="",0,SUMIF(tbl_Donateurs_Demandes[ID Donateur],A69,tbl_Donateurs_Demandes[Montant demande]))</f>
        <v>0</v>
      </c>
      <c r="AN69" s="76">
        <f>IF(A69="",0,SUMIF(tbl_Donateurs_Demandes[ID Donateur],A69,tbl_Donateurs_Demandes[Montant accorde]))</f>
        <v>0</v>
      </c>
      <c r="AO69" s="76">
        <f>IF(A69="",0,SUMIF(tbl_Donateurs_Decaissements[ID Donateur],A69,tbl_Donateurs_Decaissements[Montant recu]))</f>
        <v>0</v>
      </c>
      <c r="AP69" s="77" t="str">
        <f t="shared" si="1"/>
        <v/>
      </c>
      <c r="AQ69" s="75">
        <f>IF(A69="",0,COUNTIF(tbl_Donateurs_Contacts[ID Donateur],A69))</f>
        <v>0</v>
      </c>
      <c r="AR69" s="75">
        <f>IF(A69="",0,COUNTIF(tbl_Donateurs_Documents[ID Donateur],A69))</f>
        <v>0</v>
      </c>
      <c r="AS69" s="75">
        <f>IF(A69="",0,COUNTIF(tbl_Donateurs_Conventions[ID Donateur],A69))</f>
        <v>0</v>
      </c>
      <c r="AT69" s="83" t="str">
        <f ca="1">IFERROR(_xlfn.MAXIFS(tbl_Donateurs_Decaissements[Date recue],tbl_Donateurs_Decaissements[ID Donateur],A69),"")</f>
        <v/>
      </c>
      <c r="AU69" s="76" t="str">
        <f t="shared" si="4"/>
        <v/>
      </c>
      <c r="AV69" s="75" t="str">
        <f t="shared" ca="1" si="2"/>
        <v/>
      </c>
      <c r="AW69" s="75" t="str">
        <f t="shared" si="3"/>
        <v/>
      </c>
      <c r="AX69" s="81"/>
    </row>
    <row r="70" spans="1:50" ht="15" customHeight="1">
      <c r="A70" s="75" t="str">
        <f t="shared" si="0"/>
        <v/>
      </c>
      <c r="B70" s="81"/>
      <c r="C70" s="81"/>
      <c r="D70" s="81"/>
      <c r="E70" s="81"/>
      <c r="F70" s="81"/>
      <c r="G70" s="81"/>
      <c r="H70" s="81"/>
      <c r="I70" s="81"/>
      <c r="J70" s="81"/>
      <c r="K70" s="81"/>
      <c r="L70" s="81"/>
      <c r="M70" s="81"/>
      <c r="N70" s="81"/>
      <c r="O70" s="81"/>
      <c r="P70" s="81"/>
      <c r="Q70" s="81"/>
      <c r="R70" s="81"/>
      <c r="S70" s="81"/>
      <c r="T70" s="81"/>
      <c r="U70" s="81"/>
      <c r="V70" s="81"/>
      <c r="W70" s="81"/>
      <c r="X70" s="81"/>
      <c r="Y70" s="75" t="str">
        <f>IFERROR(INDEX(PARAMETRES!$B$536:$B$586,MATCH(X70,PARAMETRES!$J$536:$J$586,0)),"")</f>
        <v/>
      </c>
      <c r="Z70" s="75" t="str">
        <f>IFERROR(INDEX(PARAMETRES!$D$536:$D$586,MATCH(X70,PARAMETRES!$J$536:$J$586,0)),"")</f>
        <v/>
      </c>
      <c r="AA70" s="75" t="str">
        <f>IFERROR(INDEX(PARAMETRES!$F$536:$F$586,MATCH(X70,PARAMETRES!$J$536:$J$586,0)),"")</f>
        <v/>
      </c>
      <c r="AB70" s="81"/>
      <c r="AC70" s="82"/>
      <c r="AD70" s="81"/>
      <c r="AE70" s="82"/>
      <c r="AF70" s="82"/>
      <c r="AG70" s="81"/>
      <c r="AH70" s="81"/>
      <c r="AI70" s="75">
        <f>IF(A70="",0,COUNTIF(tbl_Donateurs_Opportunites[ID Donateur],A70))</f>
        <v>0</v>
      </c>
      <c r="AJ70" s="75">
        <f>IF(A70="",0,COUNTIFS(tbl_Donateurs_Opportunites[ID Donateur],A70,tbl_Donateurs_Opportunites[Statut],"Ouverte"))</f>
        <v>0</v>
      </c>
      <c r="AK70" s="75">
        <f>IF(A70="",0,COUNTIF(tbl_Donateurs_Demandes[ID Donateur],A70))</f>
        <v>0</v>
      </c>
      <c r="AL70" s="75">
        <f>IF(A70="",0,COUNTIFS(tbl_Donateurs_Demandes[ID Donateur],A70,tbl_Donateurs_Demandes[Statut],"Approuvee")+COUNTIFS(tbl_Donateurs_Demandes[ID Donateur],A70,tbl_Donateurs_Demandes[Statut],"Financement recu"))</f>
        <v>0</v>
      </c>
      <c r="AM70" s="76">
        <f>IF(A70="",0,SUMIF(tbl_Donateurs_Demandes[ID Donateur],A70,tbl_Donateurs_Demandes[Montant demande]))</f>
        <v>0</v>
      </c>
      <c r="AN70" s="76">
        <f>IF(A70="",0,SUMIF(tbl_Donateurs_Demandes[ID Donateur],A70,tbl_Donateurs_Demandes[Montant accorde]))</f>
        <v>0</v>
      </c>
      <c r="AO70" s="76">
        <f>IF(A70="",0,SUMIF(tbl_Donateurs_Decaissements[ID Donateur],A70,tbl_Donateurs_Decaissements[Montant recu]))</f>
        <v>0</v>
      </c>
      <c r="AP70" s="77" t="str">
        <f t="shared" si="1"/>
        <v/>
      </c>
      <c r="AQ70" s="75">
        <f>IF(A70="",0,COUNTIF(tbl_Donateurs_Contacts[ID Donateur],A70))</f>
        <v>0</v>
      </c>
      <c r="AR70" s="75">
        <f>IF(A70="",0,COUNTIF(tbl_Donateurs_Documents[ID Donateur],A70))</f>
        <v>0</v>
      </c>
      <c r="AS70" s="75">
        <f>IF(A70="",0,COUNTIF(tbl_Donateurs_Conventions[ID Donateur],A70))</f>
        <v>0</v>
      </c>
      <c r="AT70" s="83" t="str">
        <f ca="1">IFERROR(_xlfn.MAXIFS(tbl_Donateurs_Decaissements[Date recue],tbl_Donateurs_Decaissements[ID Donateur],A70),"")</f>
        <v/>
      </c>
      <c r="AU70" s="76" t="str">
        <f t="shared" si="4"/>
        <v/>
      </c>
      <c r="AV70" s="75" t="str">
        <f t="shared" ca="1" si="2"/>
        <v/>
      </c>
      <c r="AW70" s="75" t="str">
        <f t="shared" si="3"/>
        <v/>
      </c>
      <c r="AX70" s="81"/>
    </row>
    <row r="71" spans="1:50" ht="15" customHeight="1">
      <c r="A71" s="75" t="str">
        <f t="shared" si="0"/>
        <v/>
      </c>
      <c r="B71" s="81"/>
      <c r="C71" s="81"/>
      <c r="D71" s="81"/>
      <c r="E71" s="81"/>
      <c r="F71" s="81"/>
      <c r="G71" s="81"/>
      <c r="H71" s="81"/>
      <c r="I71" s="81"/>
      <c r="J71" s="81"/>
      <c r="K71" s="81"/>
      <c r="L71" s="81"/>
      <c r="M71" s="81"/>
      <c r="N71" s="81"/>
      <c r="O71" s="81"/>
      <c r="P71" s="81"/>
      <c r="Q71" s="81"/>
      <c r="R71" s="81"/>
      <c r="S71" s="81"/>
      <c r="T71" s="81"/>
      <c r="U71" s="81"/>
      <c r="V71" s="81"/>
      <c r="W71" s="81"/>
      <c r="X71" s="81"/>
      <c r="Y71" s="75" t="str">
        <f>IFERROR(INDEX(PARAMETRES!$B$536:$B$586,MATCH(X71,PARAMETRES!$J$536:$J$586,0)),"")</f>
        <v/>
      </c>
      <c r="Z71" s="75" t="str">
        <f>IFERROR(INDEX(PARAMETRES!$D$536:$D$586,MATCH(X71,PARAMETRES!$J$536:$J$586,0)),"")</f>
        <v/>
      </c>
      <c r="AA71" s="75" t="str">
        <f>IFERROR(INDEX(PARAMETRES!$F$536:$F$586,MATCH(X71,PARAMETRES!$J$536:$J$586,0)),"")</f>
        <v/>
      </c>
      <c r="AB71" s="81"/>
      <c r="AC71" s="82"/>
      <c r="AD71" s="81"/>
      <c r="AE71" s="82"/>
      <c r="AF71" s="82"/>
      <c r="AG71" s="81"/>
      <c r="AH71" s="81"/>
      <c r="AI71" s="75">
        <f>IF(A71="",0,COUNTIF(tbl_Donateurs_Opportunites[ID Donateur],A71))</f>
        <v>0</v>
      </c>
      <c r="AJ71" s="75">
        <f>IF(A71="",0,COUNTIFS(tbl_Donateurs_Opportunites[ID Donateur],A71,tbl_Donateurs_Opportunites[Statut],"Ouverte"))</f>
        <v>0</v>
      </c>
      <c r="AK71" s="75">
        <f>IF(A71="",0,COUNTIF(tbl_Donateurs_Demandes[ID Donateur],A71))</f>
        <v>0</v>
      </c>
      <c r="AL71" s="75">
        <f>IF(A71="",0,COUNTIFS(tbl_Donateurs_Demandes[ID Donateur],A71,tbl_Donateurs_Demandes[Statut],"Approuvee")+COUNTIFS(tbl_Donateurs_Demandes[ID Donateur],A71,tbl_Donateurs_Demandes[Statut],"Financement recu"))</f>
        <v>0</v>
      </c>
      <c r="AM71" s="76">
        <f>IF(A71="",0,SUMIF(tbl_Donateurs_Demandes[ID Donateur],A71,tbl_Donateurs_Demandes[Montant demande]))</f>
        <v>0</v>
      </c>
      <c r="AN71" s="76">
        <f>IF(A71="",0,SUMIF(tbl_Donateurs_Demandes[ID Donateur],A71,tbl_Donateurs_Demandes[Montant accorde]))</f>
        <v>0</v>
      </c>
      <c r="AO71" s="76">
        <f>IF(A71="",0,SUMIF(tbl_Donateurs_Decaissements[ID Donateur],A71,tbl_Donateurs_Decaissements[Montant recu]))</f>
        <v>0</v>
      </c>
      <c r="AP71" s="77" t="str">
        <f t="shared" si="1"/>
        <v/>
      </c>
      <c r="AQ71" s="75">
        <f>IF(A71="",0,COUNTIF(tbl_Donateurs_Contacts[ID Donateur],A71))</f>
        <v>0</v>
      </c>
      <c r="AR71" s="75">
        <f>IF(A71="",0,COUNTIF(tbl_Donateurs_Documents[ID Donateur],A71))</f>
        <v>0</v>
      </c>
      <c r="AS71" s="75">
        <f>IF(A71="",0,COUNTIF(tbl_Donateurs_Conventions[ID Donateur],A71))</f>
        <v>0</v>
      </c>
      <c r="AT71" s="83" t="str">
        <f ca="1">IFERROR(_xlfn.MAXIFS(tbl_Donateurs_Decaissements[Date recue],tbl_Donateurs_Decaissements[ID Donateur],A71),"")</f>
        <v/>
      </c>
      <c r="AU71" s="76" t="str">
        <f t="shared" si="4"/>
        <v/>
      </c>
      <c r="AV71" s="75" t="str">
        <f t="shared" ca="1" si="2"/>
        <v/>
      </c>
      <c r="AW71" s="75" t="str">
        <f t="shared" si="3"/>
        <v/>
      </c>
      <c r="AX71" s="81"/>
    </row>
    <row r="72" spans="1:50" ht="15" customHeight="1">
      <c r="A72" s="75" t="str">
        <f t="shared" si="0"/>
        <v/>
      </c>
      <c r="B72" s="81"/>
      <c r="C72" s="81"/>
      <c r="D72" s="81"/>
      <c r="E72" s="81"/>
      <c r="F72" s="81"/>
      <c r="G72" s="81"/>
      <c r="H72" s="81"/>
      <c r="I72" s="81"/>
      <c r="J72" s="81"/>
      <c r="K72" s="81"/>
      <c r="L72" s="81"/>
      <c r="M72" s="81"/>
      <c r="N72" s="81"/>
      <c r="O72" s="81"/>
      <c r="P72" s="81"/>
      <c r="Q72" s="81"/>
      <c r="R72" s="81"/>
      <c r="S72" s="81"/>
      <c r="T72" s="81"/>
      <c r="U72" s="81"/>
      <c r="V72" s="81"/>
      <c r="W72" s="81"/>
      <c r="X72" s="81"/>
      <c r="Y72" s="75" t="str">
        <f>IFERROR(INDEX(PARAMETRES!$B$536:$B$586,MATCH(X72,PARAMETRES!$J$536:$J$586,0)),"")</f>
        <v/>
      </c>
      <c r="Z72" s="75" t="str">
        <f>IFERROR(INDEX(PARAMETRES!$D$536:$D$586,MATCH(X72,PARAMETRES!$J$536:$J$586,0)),"")</f>
        <v/>
      </c>
      <c r="AA72" s="75" t="str">
        <f>IFERROR(INDEX(PARAMETRES!$F$536:$F$586,MATCH(X72,PARAMETRES!$J$536:$J$586,0)),"")</f>
        <v/>
      </c>
      <c r="AB72" s="81"/>
      <c r="AC72" s="82"/>
      <c r="AD72" s="81"/>
      <c r="AE72" s="82"/>
      <c r="AF72" s="82"/>
      <c r="AG72" s="81"/>
      <c r="AH72" s="81"/>
      <c r="AI72" s="75">
        <f>IF(A72="",0,COUNTIF(tbl_Donateurs_Opportunites[ID Donateur],A72))</f>
        <v>0</v>
      </c>
      <c r="AJ72" s="75">
        <f>IF(A72="",0,COUNTIFS(tbl_Donateurs_Opportunites[ID Donateur],A72,tbl_Donateurs_Opportunites[Statut],"Ouverte"))</f>
        <v>0</v>
      </c>
      <c r="AK72" s="75">
        <f>IF(A72="",0,COUNTIF(tbl_Donateurs_Demandes[ID Donateur],A72))</f>
        <v>0</v>
      </c>
      <c r="AL72" s="75">
        <f>IF(A72="",0,COUNTIFS(tbl_Donateurs_Demandes[ID Donateur],A72,tbl_Donateurs_Demandes[Statut],"Approuvee")+COUNTIFS(tbl_Donateurs_Demandes[ID Donateur],A72,tbl_Donateurs_Demandes[Statut],"Financement recu"))</f>
        <v>0</v>
      </c>
      <c r="AM72" s="76">
        <f>IF(A72="",0,SUMIF(tbl_Donateurs_Demandes[ID Donateur],A72,tbl_Donateurs_Demandes[Montant demande]))</f>
        <v>0</v>
      </c>
      <c r="AN72" s="76">
        <f>IF(A72="",0,SUMIF(tbl_Donateurs_Demandes[ID Donateur],A72,tbl_Donateurs_Demandes[Montant accorde]))</f>
        <v>0</v>
      </c>
      <c r="AO72" s="76">
        <f>IF(A72="",0,SUMIF(tbl_Donateurs_Decaissements[ID Donateur],A72,tbl_Donateurs_Decaissements[Montant recu]))</f>
        <v>0</v>
      </c>
      <c r="AP72" s="77" t="str">
        <f t="shared" si="1"/>
        <v/>
      </c>
      <c r="AQ72" s="75">
        <f>IF(A72="",0,COUNTIF(tbl_Donateurs_Contacts[ID Donateur],A72))</f>
        <v>0</v>
      </c>
      <c r="AR72" s="75">
        <f>IF(A72="",0,COUNTIF(tbl_Donateurs_Documents[ID Donateur],A72))</f>
        <v>0</v>
      </c>
      <c r="AS72" s="75">
        <f>IF(A72="",0,COUNTIF(tbl_Donateurs_Conventions[ID Donateur],A72))</f>
        <v>0</v>
      </c>
      <c r="AT72" s="83" t="str">
        <f ca="1">IFERROR(_xlfn.MAXIFS(tbl_Donateurs_Decaissements[Date recue],tbl_Donateurs_Decaissements[ID Donateur],A72),"")</f>
        <v/>
      </c>
      <c r="AU72" s="76" t="str">
        <f t="shared" si="4"/>
        <v/>
      </c>
      <c r="AV72" s="75" t="str">
        <f t="shared" ca="1" si="2"/>
        <v/>
      </c>
      <c r="AW72" s="75" t="str">
        <f t="shared" si="3"/>
        <v/>
      </c>
      <c r="AX72" s="81"/>
    </row>
    <row r="73" spans="1:50" ht="15" customHeight="1">
      <c r="A73" s="75" t="str">
        <f t="shared" si="0"/>
        <v/>
      </c>
      <c r="B73" s="81"/>
      <c r="C73" s="81"/>
      <c r="D73" s="81"/>
      <c r="E73" s="81"/>
      <c r="F73" s="81"/>
      <c r="G73" s="81"/>
      <c r="H73" s="81"/>
      <c r="I73" s="81"/>
      <c r="J73" s="81"/>
      <c r="K73" s="81"/>
      <c r="L73" s="81"/>
      <c r="M73" s="81"/>
      <c r="N73" s="81"/>
      <c r="O73" s="81"/>
      <c r="P73" s="81"/>
      <c r="Q73" s="81"/>
      <c r="R73" s="81"/>
      <c r="S73" s="81"/>
      <c r="T73" s="81"/>
      <c r="U73" s="81"/>
      <c r="V73" s="81"/>
      <c r="W73" s="81"/>
      <c r="X73" s="81"/>
      <c r="Y73" s="75" t="str">
        <f>IFERROR(INDEX(PARAMETRES!$B$536:$B$586,MATCH(X73,PARAMETRES!$J$536:$J$586,0)),"")</f>
        <v/>
      </c>
      <c r="Z73" s="75" t="str">
        <f>IFERROR(INDEX(PARAMETRES!$D$536:$D$586,MATCH(X73,PARAMETRES!$J$536:$J$586,0)),"")</f>
        <v/>
      </c>
      <c r="AA73" s="75" t="str">
        <f>IFERROR(INDEX(PARAMETRES!$F$536:$F$586,MATCH(X73,PARAMETRES!$J$536:$J$586,0)),"")</f>
        <v/>
      </c>
      <c r="AB73" s="81"/>
      <c r="AC73" s="82"/>
      <c r="AD73" s="81"/>
      <c r="AE73" s="82"/>
      <c r="AF73" s="82"/>
      <c r="AG73" s="81"/>
      <c r="AH73" s="81"/>
      <c r="AI73" s="75">
        <f>IF(A73="",0,COUNTIF(tbl_Donateurs_Opportunites[ID Donateur],A73))</f>
        <v>0</v>
      </c>
      <c r="AJ73" s="75">
        <f>IF(A73="",0,COUNTIFS(tbl_Donateurs_Opportunites[ID Donateur],A73,tbl_Donateurs_Opportunites[Statut],"Ouverte"))</f>
        <v>0</v>
      </c>
      <c r="AK73" s="75">
        <f>IF(A73="",0,COUNTIF(tbl_Donateurs_Demandes[ID Donateur],A73))</f>
        <v>0</v>
      </c>
      <c r="AL73" s="75">
        <f>IF(A73="",0,COUNTIFS(tbl_Donateurs_Demandes[ID Donateur],A73,tbl_Donateurs_Demandes[Statut],"Approuvee")+COUNTIFS(tbl_Donateurs_Demandes[ID Donateur],A73,tbl_Donateurs_Demandes[Statut],"Financement recu"))</f>
        <v>0</v>
      </c>
      <c r="AM73" s="76">
        <f>IF(A73="",0,SUMIF(tbl_Donateurs_Demandes[ID Donateur],A73,tbl_Donateurs_Demandes[Montant demande]))</f>
        <v>0</v>
      </c>
      <c r="AN73" s="76">
        <f>IF(A73="",0,SUMIF(tbl_Donateurs_Demandes[ID Donateur],A73,tbl_Donateurs_Demandes[Montant accorde]))</f>
        <v>0</v>
      </c>
      <c r="AO73" s="76">
        <f>IF(A73="",0,SUMIF(tbl_Donateurs_Decaissements[ID Donateur],A73,tbl_Donateurs_Decaissements[Montant recu]))</f>
        <v>0</v>
      </c>
      <c r="AP73" s="77" t="str">
        <f t="shared" si="1"/>
        <v/>
      </c>
      <c r="AQ73" s="75">
        <f>IF(A73="",0,COUNTIF(tbl_Donateurs_Contacts[ID Donateur],A73))</f>
        <v>0</v>
      </c>
      <c r="AR73" s="75">
        <f>IF(A73="",0,COUNTIF(tbl_Donateurs_Documents[ID Donateur],A73))</f>
        <v>0</v>
      </c>
      <c r="AS73" s="75">
        <f>IF(A73="",0,COUNTIF(tbl_Donateurs_Conventions[ID Donateur],A73))</f>
        <v>0</v>
      </c>
      <c r="AT73" s="83" t="str">
        <f ca="1">IFERROR(_xlfn.MAXIFS(tbl_Donateurs_Decaissements[Date recue],tbl_Donateurs_Decaissements[ID Donateur],A73),"")</f>
        <v/>
      </c>
      <c r="AU73" s="76" t="str">
        <f t="shared" si="4"/>
        <v/>
      </c>
      <c r="AV73" s="75" t="str">
        <f t="shared" ca="1" si="2"/>
        <v/>
      </c>
      <c r="AW73" s="75" t="str">
        <f t="shared" si="3"/>
        <v/>
      </c>
      <c r="AX73" s="81"/>
    </row>
    <row r="74" spans="1:50" ht="15" customHeight="1">
      <c r="A74" s="75" t="str">
        <f t="shared" si="0"/>
        <v/>
      </c>
      <c r="B74" s="81"/>
      <c r="C74" s="81"/>
      <c r="D74" s="81"/>
      <c r="E74" s="81"/>
      <c r="F74" s="81"/>
      <c r="G74" s="81"/>
      <c r="H74" s="81"/>
      <c r="I74" s="81"/>
      <c r="J74" s="81"/>
      <c r="K74" s="81"/>
      <c r="L74" s="81"/>
      <c r="M74" s="81"/>
      <c r="N74" s="81"/>
      <c r="O74" s="81"/>
      <c r="P74" s="81"/>
      <c r="Q74" s="81"/>
      <c r="R74" s="81"/>
      <c r="S74" s="81"/>
      <c r="T74" s="81"/>
      <c r="U74" s="81"/>
      <c r="V74" s="81"/>
      <c r="W74" s="81"/>
      <c r="X74" s="81"/>
      <c r="Y74" s="75" t="str">
        <f>IFERROR(INDEX(PARAMETRES!$B$536:$B$586,MATCH(X74,PARAMETRES!$J$536:$J$586,0)),"")</f>
        <v/>
      </c>
      <c r="Z74" s="75" t="str">
        <f>IFERROR(INDEX(PARAMETRES!$D$536:$D$586,MATCH(X74,PARAMETRES!$J$536:$J$586,0)),"")</f>
        <v/>
      </c>
      <c r="AA74" s="75" t="str">
        <f>IFERROR(INDEX(PARAMETRES!$F$536:$F$586,MATCH(X74,PARAMETRES!$J$536:$J$586,0)),"")</f>
        <v/>
      </c>
      <c r="AB74" s="81"/>
      <c r="AC74" s="82"/>
      <c r="AD74" s="81"/>
      <c r="AE74" s="82"/>
      <c r="AF74" s="82"/>
      <c r="AG74" s="81"/>
      <c r="AH74" s="81"/>
      <c r="AI74" s="75">
        <f>IF(A74="",0,COUNTIF(tbl_Donateurs_Opportunites[ID Donateur],A74))</f>
        <v>0</v>
      </c>
      <c r="AJ74" s="75">
        <f>IF(A74="",0,COUNTIFS(tbl_Donateurs_Opportunites[ID Donateur],A74,tbl_Donateurs_Opportunites[Statut],"Ouverte"))</f>
        <v>0</v>
      </c>
      <c r="AK74" s="75">
        <f>IF(A74="",0,COUNTIF(tbl_Donateurs_Demandes[ID Donateur],A74))</f>
        <v>0</v>
      </c>
      <c r="AL74" s="75">
        <f>IF(A74="",0,COUNTIFS(tbl_Donateurs_Demandes[ID Donateur],A74,tbl_Donateurs_Demandes[Statut],"Approuvee")+COUNTIFS(tbl_Donateurs_Demandes[ID Donateur],A74,tbl_Donateurs_Demandes[Statut],"Financement recu"))</f>
        <v>0</v>
      </c>
      <c r="AM74" s="76">
        <f>IF(A74="",0,SUMIF(tbl_Donateurs_Demandes[ID Donateur],A74,tbl_Donateurs_Demandes[Montant demande]))</f>
        <v>0</v>
      </c>
      <c r="AN74" s="76">
        <f>IF(A74="",0,SUMIF(tbl_Donateurs_Demandes[ID Donateur],A74,tbl_Donateurs_Demandes[Montant accorde]))</f>
        <v>0</v>
      </c>
      <c r="AO74" s="76">
        <f>IF(A74="",0,SUMIF(tbl_Donateurs_Decaissements[ID Donateur],A74,tbl_Donateurs_Decaissements[Montant recu]))</f>
        <v>0</v>
      </c>
      <c r="AP74" s="77" t="str">
        <f t="shared" si="1"/>
        <v/>
      </c>
      <c r="AQ74" s="75">
        <f>IF(A74="",0,COUNTIF(tbl_Donateurs_Contacts[ID Donateur],A74))</f>
        <v>0</v>
      </c>
      <c r="AR74" s="75">
        <f>IF(A74="",0,COUNTIF(tbl_Donateurs_Documents[ID Donateur],A74))</f>
        <v>0</v>
      </c>
      <c r="AS74" s="75">
        <f>IF(A74="",0,COUNTIF(tbl_Donateurs_Conventions[ID Donateur],A74))</f>
        <v>0</v>
      </c>
      <c r="AT74" s="83" t="str">
        <f ca="1">IFERROR(_xlfn.MAXIFS(tbl_Donateurs_Decaissements[Date recue],tbl_Donateurs_Decaissements[ID Donateur],A74),"")</f>
        <v/>
      </c>
      <c r="AU74" s="76" t="str">
        <f t="shared" si="4"/>
        <v/>
      </c>
      <c r="AV74" s="75" t="str">
        <f t="shared" ca="1" si="2"/>
        <v/>
      </c>
      <c r="AW74" s="75" t="str">
        <f t="shared" si="3"/>
        <v/>
      </c>
      <c r="AX74" s="81"/>
    </row>
    <row r="75" spans="1:50" ht="15" customHeight="1">
      <c r="A75" s="75" t="str">
        <f t="shared" si="0"/>
        <v/>
      </c>
      <c r="B75" s="81"/>
      <c r="C75" s="81"/>
      <c r="D75" s="81"/>
      <c r="E75" s="81"/>
      <c r="F75" s="81"/>
      <c r="G75" s="81"/>
      <c r="H75" s="81"/>
      <c r="I75" s="81"/>
      <c r="J75" s="81"/>
      <c r="K75" s="81"/>
      <c r="L75" s="81"/>
      <c r="M75" s="81"/>
      <c r="N75" s="81"/>
      <c r="O75" s="81"/>
      <c r="P75" s="81"/>
      <c r="Q75" s="81"/>
      <c r="R75" s="81"/>
      <c r="S75" s="81"/>
      <c r="T75" s="81"/>
      <c r="U75" s="81"/>
      <c r="V75" s="81"/>
      <c r="W75" s="81"/>
      <c r="X75" s="81"/>
      <c r="Y75" s="75" t="str">
        <f>IFERROR(INDEX(PARAMETRES!$B$536:$B$586,MATCH(X75,PARAMETRES!$J$536:$J$586,0)),"")</f>
        <v/>
      </c>
      <c r="Z75" s="75" t="str">
        <f>IFERROR(INDEX(PARAMETRES!$D$536:$D$586,MATCH(X75,PARAMETRES!$J$536:$J$586,0)),"")</f>
        <v/>
      </c>
      <c r="AA75" s="75" t="str">
        <f>IFERROR(INDEX(PARAMETRES!$F$536:$F$586,MATCH(X75,PARAMETRES!$J$536:$J$586,0)),"")</f>
        <v/>
      </c>
      <c r="AB75" s="81"/>
      <c r="AC75" s="82"/>
      <c r="AD75" s="81"/>
      <c r="AE75" s="82"/>
      <c r="AF75" s="82"/>
      <c r="AG75" s="81"/>
      <c r="AH75" s="81"/>
      <c r="AI75" s="75">
        <f>IF(A75="",0,COUNTIF(tbl_Donateurs_Opportunites[ID Donateur],A75))</f>
        <v>0</v>
      </c>
      <c r="AJ75" s="75">
        <f>IF(A75="",0,COUNTIFS(tbl_Donateurs_Opportunites[ID Donateur],A75,tbl_Donateurs_Opportunites[Statut],"Ouverte"))</f>
        <v>0</v>
      </c>
      <c r="AK75" s="75">
        <f>IF(A75="",0,COUNTIF(tbl_Donateurs_Demandes[ID Donateur],A75))</f>
        <v>0</v>
      </c>
      <c r="AL75" s="75">
        <f>IF(A75="",0,COUNTIFS(tbl_Donateurs_Demandes[ID Donateur],A75,tbl_Donateurs_Demandes[Statut],"Approuvee")+COUNTIFS(tbl_Donateurs_Demandes[ID Donateur],A75,tbl_Donateurs_Demandes[Statut],"Financement recu"))</f>
        <v>0</v>
      </c>
      <c r="AM75" s="76">
        <f>IF(A75="",0,SUMIF(tbl_Donateurs_Demandes[ID Donateur],A75,tbl_Donateurs_Demandes[Montant demande]))</f>
        <v>0</v>
      </c>
      <c r="AN75" s="76">
        <f>IF(A75="",0,SUMIF(tbl_Donateurs_Demandes[ID Donateur],A75,tbl_Donateurs_Demandes[Montant accorde]))</f>
        <v>0</v>
      </c>
      <c r="AO75" s="76">
        <f>IF(A75="",0,SUMIF(tbl_Donateurs_Decaissements[ID Donateur],A75,tbl_Donateurs_Decaissements[Montant recu]))</f>
        <v>0</v>
      </c>
      <c r="AP75" s="77" t="str">
        <f t="shared" si="1"/>
        <v/>
      </c>
      <c r="AQ75" s="75">
        <f>IF(A75="",0,COUNTIF(tbl_Donateurs_Contacts[ID Donateur],A75))</f>
        <v>0</v>
      </c>
      <c r="AR75" s="75">
        <f>IF(A75="",0,COUNTIF(tbl_Donateurs_Documents[ID Donateur],A75))</f>
        <v>0</v>
      </c>
      <c r="AS75" s="75">
        <f>IF(A75="",0,COUNTIF(tbl_Donateurs_Conventions[ID Donateur],A75))</f>
        <v>0</v>
      </c>
      <c r="AT75" s="83" t="str">
        <f ca="1">IFERROR(_xlfn.MAXIFS(tbl_Donateurs_Decaissements[Date recue],tbl_Donateurs_Decaissements[ID Donateur],A75),"")</f>
        <v/>
      </c>
      <c r="AU75" s="76" t="str">
        <f t="shared" si="4"/>
        <v/>
      </c>
      <c r="AV75" s="75" t="str">
        <f t="shared" ca="1" si="2"/>
        <v/>
      </c>
      <c r="AW75" s="75" t="str">
        <f t="shared" si="3"/>
        <v/>
      </c>
      <c r="AX75" s="81"/>
    </row>
    <row r="76" spans="1:50" ht="15" customHeight="1">
      <c r="A76" s="75" t="str">
        <f t="shared" si="0"/>
        <v/>
      </c>
      <c r="B76" s="81"/>
      <c r="C76" s="81"/>
      <c r="D76" s="81"/>
      <c r="E76" s="81"/>
      <c r="F76" s="81"/>
      <c r="G76" s="81"/>
      <c r="H76" s="81"/>
      <c r="I76" s="81"/>
      <c r="J76" s="81"/>
      <c r="K76" s="81"/>
      <c r="L76" s="81"/>
      <c r="M76" s="81"/>
      <c r="N76" s="81"/>
      <c r="O76" s="81"/>
      <c r="P76" s="81"/>
      <c r="Q76" s="81"/>
      <c r="R76" s="81"/>
      <c r="S76" s="81"/>
      <c r="T76" s="81"/>
      <c r="U76" s="81"/>
      <c r="V76" s="81"/>
      <c r="W76" s="81"/>
      <c r="X76" s="81"/>
      <c r="Y76" s="75" t="str">
        <f>IFERROR(INDEX(PARAMETRES!$B$536:$B$586,MATCH(X76,PARAMETRES!$J$536:$J$586,0)),"")</f>
        <v/>
      </c>
      <c r="Z76" s="75" t="str">
        <f>IFERROR(INDEX(PARAMETRES!$D$536:$D$586,MATCH(X76,PARAMETRES!$J$536:$J$586,0)),"")</f>
        <v/>
      </c>
      <c r="AA76" s="75" t="str">
        <f>IFERROR(INDEX(PARAMETRES!$F$536:$F$586,MATCH(X76,PARAMETRES!$J$536:$J$586,0)),"")</f>
        <v/>
      </c>
      <c r="AB76" s="81"/>
      <c r="AC76" s="82"/>
      <c r="AD76" s="81"/>
      <c r="AE76" s="82"/>
      <c r="AF76" s="82"/>
      <c r="AG76" s="81"/>
      <c r="AH76" s="81"/>
      <c r="AI76" s="75">
        <f>IF(A76="",0,COUNTIF(tbl_Donateurs_Opportunites[ID Donateur],A76))</f>
        <v>0</v>
      </c>
      <c r="AJ76" s="75">
        <f>IF(A76="",0,COUNTIFS(tbl_Donateurs_Opportunites[ID Donateur],A76,tbl_Donateurs_Opportunites[Statut],"Ouverte"))</f>
        <v>0</v>
      </c>
      <c r="AK76" s="75">
        <f>IF(A76="",0,COUNTIF(tbl_Donateurs_Demandes[ID Donateur],A76))</f>
        <v>0</v>
      </c>
      <c r="AL76" s="75">
        <f>IF(A76="",0,COUNTIFS(tbl_Donateurs_Demandes[ID Donateur],A76,tbl_Donateurs_Demandes[Statut],"Approuvee")+COUNTIFS(tbl_Donateurs_Demandes[ID Donateur],A76,tbl_Donateurs_Demandes[Statut],"Financement recu"))</f>
        <v>0</v>
      </c>
      <c r="AM76" s="76">
        <f>IF(A76="",0,SUMIF(tbl_Donateurs_Demandes[ID Donateur],A76,tbl_Donateurs_Demandes[Montant demande]))</f>
        <v>0</v>
      </c>
      <c r="AN76" s="76">
        <f>IF(A76="",0,SUMIF(tbl_Donateurs_Demandes[ID Donateur],A76,tbl_Donateurs_Demandes[Montant accorde]))</f>
        <v>0</v>
      </c>
      <c r="AO76" s="76">
        <f>IF(A76="",0,SUMIF(tbl_Donateurs_Decaissements[ID Donateur],A76,tbl_Donateurs_Decaissements[Montant recu]))</f>
        <v>0</v>
      </c>
      <c r="AP76" s="77" t="str">
        <f t="shared" si="1"/>
        <v/>
      </c>
      <c r="AQ76" s="75">
        <f>IF(A76="",0,COUNTIF(tbl_Donateurs_Contacts[ID Donateur],A76))</f>
        <v>0</v>
      </c>
      <c r="AR76" s="75">
        <f>IF(A76="",0,COUNTIF(tbl_Donateurs_Documents[ID Donateur],A76))</f>
        <v>0</v>
      </c>
      <c r="AS76" s="75">
        <f>IF(A76="",0,COUNTIF(tbl_Donateurs_Conventions[ID Donateur],A76))</f>
        <v>0</v>
      </c>
      <c r="AT76" s="83" t="str">
        <f ca="1">IFERROR(_xlfn.MAXIFS(tbl_Donateurs_Decaissements[Date recue],tbl_Donateurs_Decaissements[ID Donateur],A76),"")</f>
        <v/>
      </c>
      <c r="AU76" s="76" t="str">
        <f t="shared" si="4"/>
        <v/>
      </c>
      <c r="AV76" s="75" t="str">
        <f t="shared" ca="1" si="2"/>
        <v/>
      </c>
      <c r="AW76" s="75" t="str">
        <f t="shared" si="3"/>
        <v/>
      </c>
      <c r="AX76" s="81"/>
    </row>
    <row r="77" spans="1:50" ht="15" customHeight="1">
      <c r="A77" s="75" t="str">
        <f t="shared" si="0"/>
        <v/>
      </c>
      <c r="B77" s="81"/>
      <c r="C77" s="81"/>
      <c r="D77" s="81"/>
      <c r="E77" s="81"/>
      <c r="F77" s="81"/>
      <c r="G77" s="81"/>
      <c r="H77" s="81"/>
      <c r="I77" s="81"/>
      <c r="J77" s="81"/>
      <c r="K77" s="81"/>
      <c r="L77" s="81"/>
      <c r="M77" s="81"/>
      <c r="N77" s="81"/>
      <c r="O77" s="81"/>
      <c r="P77" s="81"/>
      <c r="Q77" s="81"/>
      <c r="R77" s="81"/>
      <c r="S77" s="81"/>
      <c r="T77" s="81"/>
      <c r="U77" s="81"/>
      <c r="V77" s="81"/>
      <c r="W77" s="81"/>
      <c r="X77" s="81"/>
      <c r="Y77" s="75" t="str">
        <f>IFERROR(INDEX(PARAMETRES!$B$536:$B$586,MATCH(X77,PARAMETRES!$J$536:$J$586,0)),"")</f>
        <v/>
      </c>
      <c r="Z77" s="75" t="str">
        <f>IFERROR(INDEX(PARAMETRES!$D$536:$D$586,MATCH(X77,PARAMETRES!$J$536:$J$586,0)),"")</f>
        <v/>
      </c>
      <c r="AA77" s="75" t="str">
        <f>IFERROR(INDEX(PARAMETRES!$F$536:$F$586,MATCH(X77,PARAMETRES!$J$536:$J$586,0)),"")</f>
        <v/>
      </c>
      <c r="AB77" s="81"/>
      <c r="AC77" s="82"/>
      <c r="AD77" s="81"/>
      <c r="AE77" s="82"/>
      <c r="AF77" s="82"/>
      <c r="AG77" s="81"/>
      <c r="AH77" s="81"/>
      <c r="AI77" s="75">
        <f>IF(A77="",0,COUNTIF(tbl_Donateurs_Opportunites[ID Donateur],A77))</f>
        <v>0</v>
      </c>
      <c r="AJ77" s="75">
        <f>IF(A77="",0,COUNTIFS(tbl_Donateurs_Opportunites[ID Donateur],A77,tbl_Donateurs_Opportunites[Statut],"Ouverte"))</f>
        <v>0</v>
      </c>
      <c r="AK77" s="75">
        <f>IF(A77="",0,COUNTIF(tbl_Donateurs_Demandes[ID Donateur],A77))</f>
        <v>0</v>
      </c>
      <c r="AL77" s="75">
        <f>IF(A77="",0,COUNTIFS(tbl_Donateurs_Demandes[ID Donateur],A77,tbl_Donateurs_Demandes[Statut],"Approuvee")+COUNTIFS(tbl_Donateurs_Demandes[ID Donateur],A77,tbl_Donateurs_Demandes[Statut],"Financement recu"))</f>
        <v>0</v>
      </c>
      <c r="AM77" s="76">
        <f>IF(A77="",0,SUMIF(tbl_Donateurs_Demandes[ID Donateur],A77,tbl_Donateurs_Demandes[Montant demande]))</f>
        <v>0</v>
      </c>
      <c r="AN77" s="76">
        <f>IF(A77="",0,SUMIF(tbl_Donateurs_Demandes[ID Donateur],A77,tbl_Donateurs_Demandes[Montant accorde]))</f>
        <v>0</v>
      </c>
      <c r="AO77" s="76">
        <f>IF(A77="",0,SUMIF(tbl_Donateurs_Decaissements[ID Donateur],A77,tbl_Donateurs_Decaissements[Montant recu]))</f>
        <v>0</v>
      </c>
      <c r="AP77" s="77" t="str">
        <f t="shared" si="1"/>
        <v/>
      </c>
      <c r="AQ77" s="75">
        <f>IF(A77="",0,COUNTIF(tbl_Donateurs_Contacts[ID Donateur],A77))</f>
        <v>0</v>
      </c>
      <c r="AR77" s="75">
        <f>IF(A77="",0,COUNTIF(tbl_Donateurs_Documents[ID Donateur],A77))</f>
        <v>0</v>
      </c>
      <c r="AS77" s="75">
        <f>IF(A77="",0,COUNTIF(tbl_Donateurs_Conventions[ID Donateur],A77))</f>
        <v>0</v>
      </c>
      <c r="AT77" s="83" t="str">
        <f ca="1">IFERROR(_xlfn.MAXIFS(tbl_Donateurs_Decaissements[Date recue],tbl_Donateurs_Decaissements[ID Donateur],A77),"")</f>
        <v/>
      </c>
      <c r="AU77" s="76" t="str">
        <f t="shared" si="4"/>
        <v/>
      </c>
      <c r="AV77" s="75" t="str">
        <f t="shared" ca="1" si="2"/>
        <v/>
      </c>
      <c r="AW77" s="75" t="str">
        <f t="shared" si="3"/>
        <v/>
      </c>
      <c r="AX77" s="81"/>
    </row>
    <row r="78" spans="1:50" ht="15" customHeight="1">
      <c r="A78" s="75" t="str">
        <f t="shared" si="0"/>
        <v/>
      </c>
      <c r="B78" s="81"/>
      <c r="C78" s="81"/>
      <c r="D78" s="81"/>
      <c r="E78" s="81"/>
      <c r="F78" s="81"/>
      <c r="G78" s="81"/>
      <c r="H78" s="81"/>
      <c r="I78" s="81"/>
      <c r="J78" s="81"/>
      <c r="K78" s="81"/>
      <c r="L78" s="81"/>
      <c r="M78" s="81"/>
      <c r="N78" s="81"/>
      <c r="O78" s="81"/>
      <c r="P78" s="81"/>
      <c r="Q78" s="81"/>
      <c r="R78" s="81"/>
      <c r="S78" s="81"/>
      <c r="T78" s="81"/>
      <c r="U78" s="81"/>
      <c r="V78" s="81"/>
      <c r="W78" s="81"/>
      <c r="X78" s="81"/>
      <c r="Y78" s="75" t="str">
        <f>IFERROR(INDEX(PARAMETRES!$B$536:$B$586,MATCH(X78,PARAMETRES!$J$536:$J$586,0)),"")</f>
        <v/>
      </c>
      <c r="Z78" s="75" t="str">
        <f>IFERROR(INDEX(PARAMETRES!$D$536:$D$586,MATCH(X78,PARAMETRES!$J$536:$J$586,0)),"")</f>
        <v/>
      </c>
      <c r="AA78" s="75" t="str">
        <f>IFERROR(INDEX(PARAMETRES!$F$536:$F$586,MATCH(X78,PARAMETRES!$J$536:$J$586,0)),"")</f>
        <v/>
      </c>
      <c r="AB78" s="81"/>
      <c r="AC78" s="82"/>
      <c r="AD78" s="81"/>
      <c r="AE78" s="82"/>
      <c r="AF78" s="82"/>
      <c r="AG78" s="81"/>
      <c r="AH78" s="81"/>
      <c r="AI78" s="75">
        <f>IF(A78="",0,COUNTIF(tbl_Donateurs_Opportunites[ID Donateur],A78))</f>
        <v>0</v>
      </c>
      <c r="AJ78" s="75">
        <f>IF(A78="",0,COUNTIFS(tbl_Donateurs_Opportunites[ID Donateur],A78,tbl_Donateurs_Opportunites[Statut],"Ouverte"))</f>
        <v>0</v>
      </c>
      <c r="AK78" s="75">
        <f>IF(A78="",0,COUNTIF(tbl_Donateurs_Demandes[ID Donateur],A78))</f>
        <v>0</v>
      </c>
      <c r="AL78" s="75">
        <f>IF(A78="",0,COUNTIFS(tbl_Donateurs_Demandes[ID Donateur],A78,tbl_Donateurs_Demandes[Statut],"Approuvee")+COUNTIFS(tbl_Donateurs_Demandes[ID Donateur],A78,tbl_Donateurs_Demandes[Statut],"Financement recu"))</f>
        <v>0</v>
      </c>
      <c r="AM78" s="76">
        <f>IF(A78="",0,SUMIF(tbl_Donateurs_Demandes[ID Donateur],A78,tbl_Donateurs_Demandes[Montant demande]))</f>
        <v>0</v>
      </c>
      <c r="AN78" s="76">
        <f>IF(A78="",0,SUMIF(tbl_Donateurs_Demandes[ID Donateur],A78,tbl_Donateurs_Demandes[Montant accorde]))</f>
        <v>0</v>
      </c>
      <c r="AO78" s="76">
        <f>IF(A78="",0,SUMIF(tbl_Donateurs_Decaissements[ID Donateur],A78,tbl_Donateurs_Decaissements[Montant recu]))</f>
        <v>0</v>
      </c>
      <c r="AP78" s="77" t="str">
        <f t="shared" si="1"/>
        <v/>
      </c>
      <c r="AQ78" s="75">
        <f>IF(A78="",0,COUNTIF(tbl_Donateurs_Contacts[ID Donateur],A78))</f>
        <v>0</v>
      </c>
      <c r="AR78" s="75">
        <f>IF(A78="",0,COUNTIF(tbl_Donateurs_Documents[ID Donateur],A78))</f>
        <v>0</v>
      </c>
      <c r="AS78" s="75">
        <f>IF(A78="",0,COUNTIF(tbl_Donateurs_Conventions[ID Donateur],A78))</f>
        <v>0</v>
      </c>
      <c r="AT78" s="83" t="str">
        <f ca="1">IFERROR(_xlfn.MAXIFS(tbl_Donateurs_Decaissements[Date recue],tbl_Donateurs_Decaissements[ID Donateur],A78),"")</f>
        <v/>
      </c>
      <c r="AU78" s="76" t="str">
        <f t="shared" si="4"/>
        <v/>
      </c>
      <c r="AV78" s="75" t="str">
        <f t="shared" ca="1" si="2"/>
        <v/>
      </c>
      <c r="AW78" s="75" t="str">
        <f t="shared" si="3"/>
        <v/>
      </c>
      <c r="AX78" s="81"/>
    </row>
    <row r="79" spans="1:50" ht="15" customHeight="1">
      <c r="A79" s="75" t="str">
        <f t="shared" si="0"/>
        <v/>
      </c>
      <c r="B79" s="81"/>
      <c r="C79" s="81"/>
      <c r="D79" s="81"/>
      <c r="E79" s="81"/>
      <c r="F79" s="81"/>
      <c r="G79" s="81"/>
      <c r="H79" s="81"/>
      <c r="I79" s="81"/>
      <c r="J79" s="81"/>
      <c r="K79" s="81"/>
      <c r="L79" s="81"/>
      <c r="M79" s="81"/>
      <c r="N79" s="81"/>
      <c r="O79" s="81"/>
      <c r="P79" s="81"/>
      <c r="Q79" s="81"/>
      <c r="R79" s="81"/>
      <c r="S79" s="81"/>
      <c r="T79" s="81"/>
      <c r="U79" s="81"/>
      <c r="V79" s="81"/>
      <c r="W79" s="81"/>
      <c r="X79" s="81"/>
      <c r="Y79" s="75" t="str">
        <f>IFERROR(INDEX(PARAMETRES!$B$536:$B$586,MATCH(X79,PARAMETRES!$J$536:$J$586,0)),"")</f>
        <v/>
      </c>
      <c r="Z79" s="75" t="str">
        <f>IFERROR(INDEX(PARAMETRES!$D$536:$D$586,MATCH(X79,PARAMETRES!$J$536:$J$586,0)),"")</f>
        <v/>
      </c>
      <c r="AA79" s="75" t="str">
        <f>IFERROR(INDEX(PARAMETRES!$F$536:$F$586,MATCH(X79,PARAMETRES!$J$536:$J$586,0)),"")</f>
        <v/>
      </c>
      <c r="AB79" s="81"/>
      <c r="AC79" s="82"/>
      <c r="AD79" s="81"/>
      <c r="AE79" s="82"/>
      <c r="AF79" s="82"/>
      <c r="AG79" s="81"/>
      <c r="AH79" s="81"/>
      <c r="AI79" s="75">
        <f>IF(A79="",0,COUNTIF(tbl_Donateurs_Opportunites[ID Donateur],A79))</f>
        <v>0</v>
      </c>
      <c r="AJ79" s="75">
        <f>IF(A79="",0,COUNTIFS(tbl_Donateurs_Opportunites[ID Donateur],A79,tbl_Donateurs_Opportunites[Statut],"Ouverte"))</f>
        <v>0</v>
      </c>
      <c r="AK79" s="75">
        <f>IF(A79="",0,COUNTIF(tbl_Donateurs_Demandes[ID Donateur],A79))</f>
        <v>0</v>
      </c>
      <c r="AL79" s="75">
        <f>IF(A79="",0,COUNTIFS(tbl_Donateurs_Demandes[ID Donateur],A79,tbl_Donateurs_Demandes[Statut],"Approuvee")+COUNTIFS(tbl_Donateurs_Demandes[ID Donateur],A79,tbl_Donateurs_Demandes[Statut],"Financement recu"))</f>
        <v>0</v>
      </c>
      <c r="AM79" s="76">
        <f>IF(A79="",0,SUMIF(tbl_Donateurs_Demandes[ID Donateur],A79,tbl_Donateurs_Demandes[Montant demande]))</f>
        <v>0</v>
      </c>
      <c r="AN79" s="76">
        <f>IF(A79="",0,SUMIF(tbl_Donateurs_Demandes[ID Donateur],A79,tbl_Donateurs_Demandes[Montant accorde]))</f>
        <v>0</v>
      </c>
      <c r="AO79" s="76">
        <f>IF(A79="",0,SUMIF(tbl_Donateurs_Decaissements[ID Donateur],A79,tbl_Donateurs_Decaissements[Montant recu]))</f>
        <v>0</v>
      </c>
      <c r="AP79" s="77" t="str">
        <f t="shared" si="1"/>
        <v/>
      </c>
      <c r="AQ79" s="75">
        <f>IF(A79="",0,COUNTIF(tbl_Donateurs_Contacts[ID Donateur],A79))</f>
        <v>0</v>
      </c>
      <c r="AR79" s="75">
        <f>IF(A79="",0,COUNTIF(tbl_Donateurs_Documents[ID Donateur],A79))</f>
        <v>0</v>
      </c>
      <c r="AS79" s="75">
        <f>IF(A79="",0,COUNTIF(tbl_Donateurs_Conventions[ID Donateur],A79))</f>
        <v>0</v>
      </c>
      <c r="AT79" s="83" t="str">
        <f ca="1">IFERROR(_xlfn.MAXIFS(tbl_Donateurs_Decaissements[Date recue],tbl_Donateurs_Decaissements[ID Donateur],A79),"")</f>
        <v/>
      </c>
      <c r="AU79" s="76" t="str">
        <f t="shared" si="4"/>
        <v/>
      </c>
      <c r="AV79" s="75" t="str">
        <f t="shared" ca="1" si="2"/>
        <v/>
      </c>
      <c r="AW79" s="75" t="str">
        <f t="shared" si="3"/>
        <v/>
      </c>
      <c r="AX79" s="81"/>
    </row>
    <row r="80" spans="1:50" ht="15" customHeight="1">
      <c r="A80" s="75" t="str">
        <f t="shared" si="0"/>
        <v/>
      </c>
      <c r="B80" s="81"/>
      <c r="C80" s="81"/>
      <c r="D80" s="81"/>
      <c r="E80" s="81"/>
      <c r="F80" s="81"/>
      <c r="G80" s="81"/>
      <c r="H80" s="81"/>
      <c r="I80" s="81"/>
      <c r="J80" s="81"/>
      <c r="K80" s="81"/>
      <c r="L80" s="81"/>
      <c r="M80" s="81"/>
      <c r="N80" s="81"/>
      <c r="O80" s="81"/>
      <c r="P80" s="81"/>
      <c r="Q80" s="81"/>
      <c r="R80" s="81"/>
      <c r="S80" s="81"/>
      <c r="T80" s="81"/>
      <c r="U80" s="81"/>
      <c r="V80" s="81"/>
      <c r="W80" s="81"/>
      <c r="X80" s="81"/>
      <c r="Y80" s="75" t="str">
        <f>IFERROR(INDEX(PARAMETRES!$B$536:$B$586,MATCH(X80,PARAMETRES!$J$536:$J$586,0)),"")</f>
        <v/>
      </c>
      <c r="Z80" s="75" t="str">
        <f>IFERROR(INDEX(PARAMETRES!$D$536:$D$586,MATCH(X80,PARAMETRES!$J$536:$J$586,0)),"")</f>
        <v/>
      </c>
      <c r="AA80" s="75" t="str">
        <f>IFERROR(INDEX(PARAMETRES!$F$536:$F$586,MATCH(X80,PARAMETRES!$J$536:$J$586,0)),"")</f>
        <v/>
      </c>
      <c r="AB80" s="81"/>
      <c r="AC80" s="82"/>
      <c r="AD80" s="81"/>
      <c r="AE80" s="82"/>
      <c r="AF80" s="82"/>
      <c r="AG80" s="81"/>
      <c r="AH80" s="81"/>
      <c r="AI80" s="75">
        <f>IF(A80="",0,COUNTIF(tbl_Donateurs_Opportunites[ID Donateur],A80))</f>
        <v>0</v>
      </c>
      <c r="AJ80" s="75">
        <f>IF(A80="",0,COUNTIFS(tbl_Donateurs_Opportunites[ID Donateur],A80,tbl_Donateurs_Opportunites[Statut],"Ouverte"))</f>
        <v>0</v>
      </c>
      <c r="AK80" s="75">
        <f>IF(A80="",0,COUNTIF(tbl_Donateurs_Demandes[ID Donateur],A80))</f>
        <v>0</v>
      </c>
      <c r="AL80" s="75">
        <f>IF(A80="",0,COUNTIFS(tbl_Donateurs_Demandes[ID Donateur],A80,tbl_Donateurs_Demandes[Statut],"Approuvee")+COUNTIFS(tbl_Donateurs_Demandes[ID Donateur],A80,tbl_Donateurs_Demandes[Statut],"Financement recu"))</f>
        <v>0</v>
      </c>
      <c r="AM80" s="76">
        <f>IF(A80="",0,SUMIF(tbl_Donateurs_Demandes[ID Donateur],A80,tbl_Donateurs_Demandes[Montant demande]))</f>
        <v>0</v>
      </c>
      <c r="AN80" s="76">
        <f>IF(A80="",0,SUMIF(tbl_Donateurs_Demandes[ID Donateur],A80,tbl_Donateurs_Demandes[Montant accorde]))</f>
        <v>0</v>
      </c>
      <c r="AO80" s="76">
        <f>IF(A80="",0,SUMIF(tbl_Donateurs_Decaissements[ID Donateur],A80,tbl_Donateurs_Decaissements[Montant recu]))</f>
        <v>0</v>
      </c>
      <c r="AP80" s="77" t="str">
        <f t="shared" si="1"/>
        <v/>
      </c>
      <c r="AQ80" s="75">
        <f>IF(A80="",0,COUNTIF(tbl_Donateurs_Contacts[ID Donateur],A80))</f>
        <v>0</v>
      </c>
      <c r="AR80" s="75">
        <f>IF(A80="",0,COUNTIF(tbl_Donateurs_Documents[ID Donateur],A80))</f>
        <v>0</v>
      </c>
      <c r="AS80" s="75">
        <f>IF(A80="",0,COUNTIF(tbl_Donateurs_Conventions[ID Donateur],A80))</f>
        <v>0</v>
      </c>
      <c r="AT80" s="83" t="str">
        <f ca="1">IFERROR(_xlfn.MAXIFS(tbl_Donateurs_Decaissements[Date recue],tbl_Donateurs_Decaissements[ID Donateur],A80),"")</f>
        <v/>
      </c>
      <c r="AU80" s="76" t="str">
        <f t="shared" si="4"/>
        <v/>
      </c>
      <c r="AV80" s="75" t="str">
        <f t="shared" ca="1" si="2"/>
        <v/>
      </c>
      <c r="AW80" s="75" t="str">
        <f t="shared" si="3"/>
        <v/>
      </c>
      <c r="AX80" s="81"/>
    </row>
    <row r="81" spans="1:50" ht="15" customHeight="1">
      <c r="A81" s="75" t="str">
        <f t="shared" si="0"/>
        <v/>
      </c>
      <c r="B81" s="81"/>
      <c r="C81" s="81"/>
      <c r="D81" s="81"/>
      <c r="E81" s="81"/>
      <c r="F81" s="81"/>
      <c r="G81" s="81"/>
      <c r="H81" s="81"/>
      <c r="I81" s="81"/>
      <c r="J81" s="81"/>
      <c r="K81" s="81"/>
      <c r="L81" s="81"/>
      <c r="M81" s="81"/>
      <c r="N81" s="81"/>
      <c r="O81" s="81"/>
      <c r="P81" s="81"/>
      <c r="Q81" s="81"/>
      <c r="R81" s="81"/>
      <c r="S81" s="81"/>
      <c r="T81" s="81"/>
      <c r="U81" s="81"/>
      <c r="V81" s="81"/>
      <c r="W81" s="81"/>
      <c r="X81" s="81"/>
      <c r="Y81" s="75" t="str">
        <f>IFERROR(INDEX(PARAMETRES!$B$536:$B$586,MATCH(X81,PARAMETRES!$J$536:$J$586,0)),"")</f>
        <v/>
      </c>
      <c r="Z81" s="75" t="str">
        <f>IFERROR(INDEX(PARAMETRES!$D$536:$D$586,MATCH(X81,PARAMETRES!$J$536:$J$586,0)),"")</f>
        <v/>
      </c>
      <c r="AA81" s="75" t="str">
        <f>IFERROR(INDEX(PARAMETRES!$F$536:$F$586,MATCH(X81,PARAMETRES!$J$536:$J$586,0)),"")</f>
        <v/>
      </c>
      <c r="AB81" s="81"/>
      <c r="AC81" s="82"/>
      <c r="AD81" s="81"/>
      <c r="AE81" s="82"/>
      <c r="AF81" s="82"/>
      <c r="AG81" s="81"/>
      <c r="AH81" s="81"/>
      <c r="AI81" s="75">
        <f>IF(A81="",0,COUNTIF(tbl_Donateurs_Opportunites[ID Donateur],A81))</f>
        <v>0</v>
      </c>
      <c r="AJ81" s="75">
        <f>IF(A81="",0,COUNTIFS(tbl_Donateurs_Opportunites[ID Donateur],A81,tbl_Donateurs_Opportunites[Statut],"Ouverte"))</f>
        <v>0</v>
      </c>
      <c r="AK81" s="75">
        <f>IF(A81="",0,COUNTIF(tbl_Donateurs_Demandes[ID Donateur],A81))</f>
        <v>0</v>
      </c>
      <c r="AL81" s="75">
        <f>IF(A81="",0,COUNTIFS(tbl_Donateurs_Demandes[ID Donateur],A81,tbl_Donateurs_Demandes[Statut],"Approuvee")+COUNTIFS(tbl_Donateurs_Demandes[ID Donateur],A81,tbl_Donateurs_Demandes[Statut],"Financement recu"))</f>
        <v>0</v>
      </c>
      <c r="AM81" s="76">
        <f>IF(A81="",0,SUMIF(tbl_Donateurs_Demandes[ID Donateur],A81,tbl_Donateurs_Demandes[Montant demande]))</f>
        <v>0</v>
      </c>
      <c r="AN81" s="76">
        <f>IF(A81="",0,SUMIF(tbl_Donateurs_Demandes[ID Donateur],A81,tbl_Donateurs_Demandes[Montant accorde]))</f>
        <v>0</v>
      </c>
      <c r="AO81" s="76">
        <f>IF(A81="",0,SUMIF(tbl_Donateurs_Decaissements[ID Donateur],A81,tbl_Donateurs_Decaissements[Montant recu]))</f>
        <v>0</v>
      </c>
      <c r="AP81" s="77" t="str">
        <f t="shared" si="1"/>
        <v/>
      </c>
      <c r="AQ81" s="75">
        <f>IF(A81="",0,COUNTIF(tbl_Donateurs_Contacts[ID Donateur],A81))</f>
        <v>0</v>
      </c>
      <c r="AR81" s="75">
        <f>IF(A81="",0,COUNTIF(tbl_Donateurs_Documents[ID Donateur],A81))</f>
        <v>0</v>
      </c>
      <c r="AS81" s="75">
        <f>IF(A81="",0,COUNTIF(tbl_Donateurs_Conventions[ID Donateur],A81))</f>
        <v>0</v>
      </c>
      <c r="AT81" s="83" t="str">
        <f ca="1">IFERROR(_xlfn.MAXIFS(tbl_Donateurs_Decaissements[Date recue],tbl_Donateurs_Decaissements[ID Donateur],A81),"")</f>
        <v/>
      </c>
      <c r="AU81" s="76" t="str">
        <f t="shared" si="4"/>
        <v/>
      </c>
      <c r="AV81" s="75" t="str">
        <f t="shared" ca="1" si="2"/>
        <v/>
      </c>
      <c r="AW81" s="75" t="str">
        <f t="shared" si="3"/>
        <v/>
      </c>
      <c r="AX81" s="81"/>
    </row>
    <row r="82" spans="1:50" ht="15" customHeight="1">
      <c r="A82" s="75" t="str">
        <f t="shared" si="0"/>
        <v/>
      </c>
      <c r="B82" s="81"/>
      <c r="C82" s="81"/>
      <c r="D82" s="81"/>
      <c r="E82" s="81"/>
      <c r="F82" s="81"/>
      <c r="G82" s="81"/>
      <c r="H82" s="81"/>
      <c r="I82" s="81"/>
      <c r="J82" s="81"/>
      <c r="K82" s="81"/>
      <c r="L82" s="81"/>
      <c r="M82" s="81"/>
      <c r="N82" s="81"/>
      <c r="O82" s="81"/>
      <c r="P82" s="81"/>
      <c r="Q82" s="81"/>
      <c r="R82" s="81"/>
      <c r="S82" s="81"/>
      <c r="T82" s="81"/>
      <c r="U82" s="81"/>
      <c r="V82" s="81"/>
      <c r="W82" s="81"/>
      <c r="X82" s="81"/>
      <c r="Y82" s="75" t="str">
        <f>IFERROR(INDEX(PARAMETRES!$B$536:$B$586,MATCH(X82,PARAMETRES!$J$536:$J$586,0)),"")</f>
        <v/>
      </c>
      <c r="Z82" s="75" t="str">
        <f>IFERROR(INDEX(PARAMETRES!$D$536:$D$586,MATCH(X82,PARAMETRES!$J$536:$J$586,0)),"")</f>
        <v/>
      </c>
      <c r="AA82" s="75" t="str">
        <f>IFERROR(INDEX(PARAMETRES!$F$536:$F$586,MATCH(X82,PARAMETRES!$J$536:$J$586,0)),"")</f>
        <v/>
      </c>
      <c r="AB82" s="81"/>
      <c r="AC82" s="82"/>
      <c r="AD82" s="81"/>
      <c r="AE82" s="82"/>
      <c r="AF82" s="82"/>
      <c r="AG82" s="81"/>
      <c r="AH82" s="81"/>
      <c r="AI82" s="75">
        <f>IF(A82="",0,COUNTIF(tbl_Donateurs_Opportunites[ID Donateur],A82))</f>
        <v>0</v>
      </c>
      <c r="AJ82" s="75">
        <f>IF(A82="",0,COUNTIFS(tbl_Donateurs_Opportunites[ID Donateur],A82,tbl_Donateurs_Opportunites[Statut],"Ouverte"))</f>
        <v>0</v>
      </c>
      <c r="AK82" s="75">
        <f>IF(A82="",0,COUNTIF(tbl_Donateurs_Demandes[ID Donateur],A82))</f>
        <v>0</v>
      </c>
      <c r="AL82" s="75">
        <f>IF(A82="",0,COUNTIFS(tbl_Donateurs_Demandes[ID Donateur],A82,tbl_Donateurs_Demandes[Statut],"Approuvee")+COUNTIFS(tbl_Donateurs_Demandes[ID Donateur],A82,tbl_Donateurs_Demandes[Statut],"Financement recu"))</f>
        <v>0</v>
      </c>
      <c r="AM82" s="76">
        <f>IF(A82="",0,SUMIF(tbl_Donateurs_Demandes[ID Donateur],A82,tbl_Donateurs_Demandes[Montant demande]))</f>
        <v>0</v>
      </c>
      <c r="AN82" s="76">
        <f>IF(A82="",0,SUMIF(tbl_Donateurs_Demandes[ID Donateur],A82,tbl_Donateurs_Demandes[Montant accorde]))</f>
        <v>0</v>
      </c>
      <c r="AO82" s="76">
        <f>IF(A82="",0,SUMIF(tbl_Donateurs_Decaissements[ID Donateur],A82,tbl_Donateurs_Decaissements[Montant recu]))</f>
        <v>0</v>
      </c>
      <c r="AP82" s="77" t="str">
        <f t="shared" si="1"/>
        <v/>
      </c>
      <c r="AQ82" s="75">
        <f>IF(A82="",0,COUNTIF(tbl_Donateurs_Contacts[ID Donateur],A82))</f>
        <v>0</v>
      </c>
      <c r="AR82" s="75">
        <f>IF(A82="",0,COUNTIF(tbl_Donateurs_Documents[ID Donateur],A82))</f>
        <v>0</v>
      </c>
      <c r="AS82" s="75">
        <f>IF(A82="",0,COUNTIF(tbl_Donateurs_Conventions[ID Donateur],A82))</f>
        <v>0</v>
      </c>
      <c r="AT82" s="83" t="str">
        <f ca="1">IFERROR(_xlfn.MAXIFS(tbl_Donateurs_Decaissements[Date recue],tbl_Donateurs_Decaissements[ID Donateur],A82),"")</f>
        <v/>
      </c>
      <c r="AU82" s="76" t="str">
        <f t="shared" si="4"/>
        <v/>
      </c>
      <c r="AV82" s="75" t="str">
        <f t="shared" ca="1" si="2"/>
        <v/>
      </c>
      <c r="AW82" s="75" t="str">
        <f t="shared" si="3"/>
        <v/>
      </c>
      <c r="AX82" s="81"/>
    </row>
    <row r="83" spans="1:50" ht="15" customHeight="1">
      <c r="A83" s="75" t="str">
        <f t="shared" si="0"/>
        <v/>
      </c>
      <c r="B83" s="81"/>
      <c r="C83" s="81"/>
      <c r="D83" s="81"/>
      <c r="E83" s="81"/>
      <c r="F83" s="81"/>
      <c r="G83" s="81"/>
      <c r="H83" s="81"/>
      <c r="I83" s="81"/>
      <c r="J83" s="81"/>
      <c r="K83" s="81"/>
      <c r="L83" s="81"/>
      <c r="M83" s="81"/>
      <c r="N83" s="81"/>
      <c r="O83" s="81"/>
      <c r="P83" s="81"/>
      <c r="Q83" s="81"/>
      <c r="R83" s="81"/>
      <c r="S83" s="81"/>
      <c r="T83" s="81"/>
      <c r="U83" s="81"/>
      <c r="V83" s="81"/>
      <c r="W83" s="81"/>
      <c r="X83" s="81"/>
      <c r="Y83" s="75" t="str">
        <f>IFERROR(INDEX(PARAMETRES!$B$536:$B$586,MATCH(X83,PARAMETRES!$J$536:$J$586,0)),"")</f>
        <v/>
      </c>
      <c r="Z83" s="75" t="str">
        <f>IFERROR(INDEX(PARAMETRES!$D$536:$D$586,MATCH(X83,PARAMETRES!$J$536:$J$586,0)),"")</f>
        <v/>
      </c>
      <c r="AA83" s="75" t="str">
        <f>IFERROR(INDEX(PARAMETRES!$F$536:$F$586,MATCH(X83,PARAMETRES!$J$536:$J$586,0)),"")</f>
        <v/>
      </c>
      <c r="AB83" s="81"/>
      <c r="AC83" s="82"/>
      <c r="AD83" s="81"/>
      <c r="AE83" s="82"/>
      <c r="AF83" s="82"/>
      <c r="AG83" s="81"/>
      <c r="AH83" s="81"/>
      <c r="AI83" s="75">
        <f>IF(A83="",0,COUNTIF(tbl_Donateurs_Opportunites[ID Donateur],A83))</f>
        <v>0</v>
      </c>
      <c r="AJ83" s="75">
        <f>IF(A83="",0,COUNTIFS(tbl_Donateurs_Opportunites[ID Donateur],A83,tbl_Donateurs_Opportunites[Statut],"Ouverte"))</f>
        <v>0</v>
      </c>
      <c r="AK83" s="75">
        <f>IF(A83="",0,COUNTIF(tbl_Donateurs_Demandes[ID Donateur],A83))</f>
        <v>0</v>
      </c>
      <c r="AL83" s="75">
        <f>IF(A83="",0,COUNTIFS(tbl_Donateurs_Demandes[ID Donateur],A83,tbl_Donateurs_Demandes[Statut],"Approuvee")+COUNTIFS(tbl_Donateurs_Demandes[ID Donateur],A83,tbl_Donateurs_Demandes[Statut],"Financement recu"))</f>
        <v>0</v>
      </c>
      <c r="AM83" s="76">
        <f>IF(A83="",0,SUMIF(tbl_Donateurs_Demandes[ID Donateur],A83,tbl_Donateurs_Demandes[Montant demande]))</f>
        <v>0</v>
      </c>
      <c r="AN83" s="76">
        <f>IF(A83="",0,SUMIF(tbl_Donateurs_Demandes[ID Donateur],A83,tbl_Donateurs_Demandes[Montant accorde]))</f>
        <v>0</v>
      </c>
      <c r="AO83" s="76">
        <f>IF(A83="",0,SUMIF(tbl_Donateurs_Decaissements[ID Donateur],A83,tbl_Donateurs_Decaissements[Montant recu]))</f>
        <v>0</v>
      </c>
      <c r="AP83" s="77" t="str">
        <f t="shared" si="1"/>
        <v/>
      </c>
      <c r="AQ83" s="75">
        <f>IF(A83="",0,COUNTIF(tbl_Donateurs_Contacts[ID Donateur],A83))</f>
        <v>0</v>
      </c>
      <c r="AR83" s="75">
        <f>IF(A83="",0,COUNTIF(tbl_Donateurs_Documents[ID Donateur],A83))</f>
        <v>0</v>
      </c>
      <c r="AS83" s="75">
        <f>IF(A83="",0,COUNTIF(tbl_Donateurs_Conventions[ID Donateur],A83))</f>
        <v>0</v>
      </c>
      <c r="AT83" s="83" t="str">
        <f ca="1">IFERROR(_xlfn.MAXIFS(tbl_Donateurs_Decaissements[Date recue],tbl_Donateurs_Decaissements[ID Donateur],A83),"")</f>
        <v/>
      </c>
      <c r="AU83" s="76" t="str">
        <f t="shared" si="4"/>
        <v/>
      </c>
      <c r="AV83" s="75" t="str">
        <f t="shared" ca="1" si="2"/>
        <v/>
      </c>
      <c r="AW83" s="75" t="str">
        <f t="shared" si="3"/>
        <v/>
      </c>
      <c r="AX83" s="81"/>
    </row>
    <row r="84" spans="1:50" ht="15" customHeight="1">
      <c r="A84" s="75" t="str">
        <f t="shared" si="0"/>
        <v/>
      </c>
      <c r="B84" s="81"/>
      <c r="C84" s="81"/>
      <c r="D84" s="81"/>
      <c r="E84" s="81"/>
      <c r="F84" s="81"/>
      <c r="G84" s="81"/>
      <c r="H84" s="81"/>
      <c r="I84" s="81"/>
      <c r="J84" s="81"/>
      <c r="K84" s="81"/>
      <c r="L84" s="81"/>
      <c r="M84" s="81"/>
      <c r="N84" s="81"/>
      <c r="O84" s="81"/>
      <c r="P84" s="81"/>
      <c r="Q84" s="81"/>
      <c r="R84" s="81"/>
      <c r="S84" s="81"/>
      <c r="T84" s="81"/>
      <c r="U84" s="81"/>
      <c r="V84" s="81"/>
      <c r="W84" s="81"/>
      <c r="X84" s="81"/>
      <c r="Y84" s="75" t="str">
        <f>IFERROR(INDEX(PARAMETRES!$B$536:$B$586,MATCH(X84,PARAMETRES!$J$536:$J$586,0)),"")</f>
        <v/>
      </c>
      <c r="Z84" s="75" t="str">
        <f>IFERROR(INDEX(PARAMETRES!$D$536:$D$586,MATCH(X84,PARAMETRES!$J$536:$J$586,0)),"")</f>
        <v/>
      </c>
      <c r="AA84" s="75" t="str">
        <f>IFERROR(INDEX(PARAMETRES!$F$536:$F$586,MATCH(X84,PARAMETRES!$J$536:$J$586,0)),"")</f>
        <v/>
      </c>
      <c r="AB84" s="81"/>
      <c r="AC84" s="82"/>
      <c r="AD84" s="81"/>
      <c r="AE84" s="82"/>
      <c r="AF84" s="82"/>
      <c r="AG84" s="81"/>
      <c r="AH84" s="81"/>
      <c r="AI84" s="75">
        <f>IF(A84="",0,COUNTIF(tbl_Donateurs_Opportunites[ID Donateur],A84))</f>
        <v>0</v>
      </c>
      <c r="AJ84" s="75">
        <f>IF(A84="",0,COUNTIFS(tbl_Donateurs_Opportunites[ID Donateur],A84,tbl_Donateurs_Opportunites[Statut],"Ouverte"))</f>
        <v>0</v>
      </c>
      <c r="AK84" s="75">
        <f>IF(A84="",0,COUNTIF(tbl_Donateurs_Demandes[ID Donateur],A84))</f>
        <v>0</v>
      </c>
      <c r="AL84" s="75">
        <f>IF(A84="",0,COUNTIFS(tbl_Donateurs_Demandes[ID Donateur],A84,tbl_Donateurs_Demandes[Statut],"Approuvee")+COUNTIFS(tbl_Donateurs_Demandes[ID Donateur],A84,tbl_Donateurs_Demandes[Statut],"Financement recu"))</f>
        <v>0</v>
      </c>
      <c r="AM84" s="76">
        <f>IF(A84="",0,SUMIF(tbl_Donateurs_Demandes[ID Donateur],A84,tbl_Donateurs_Demandes[Montant demande]))</f>
        <v>0</v>
      </c>
      <c r="AN84" s="76">
        <f>IF(A84="",0,SUMIF(tbl_Donateurs_Demandes[ID Donateur],A84,tbl_Donateurs_Demandes[Montant accorde]))</f>
        <v>0</v>
      </c>
      <c r="AO84" s="76">
        <f>IF(A84="",0,SUMIF(tbl_Donateurs_Decaissements[ID Donateur],A84,tbl_Donateurs_Decaissements[Montant recu]))</f>
        <v>0</v>
      </c>
      <c r="AP84" s="77" t="str">
        <f t="shared" si="1"/>
        <v/>
      </c>
      <c r="AQ84" s="75">
        <f>IF(A84="",0,COUNTIF(tbl_Donateurs_Contacts[ID Donateur],A84))</f>
        <v>0</v>
      </c>
      <c r="AR84" s="75">
        <f>IF(A84="",0,COUNTIF(tbl_Donateurs_Documents[ID Donateur],A84))</f>
        <v>0</v>
      </c>
      <c r="AS84" s="75">
        <f>IF(A84="",0,COUNTIF(tbl_Donateurs_Conventions[ID Donateur],A84))</f>
        <v>0</v>
      </c>
      <c r="AT84" s="83" t="str">
        <f ca="1">IFERROR(_xlfn.MAXIFS(tbl_Donateurs_Decaissements[Date recue],tbl_Donateurs_Decaissements[ID Donateur],A84),"")</f>
        <v/>
      </c>
      <c r="AU84" s="76" t="str">
        <f t="shared" si="4"/>
        <v/>
      </c>
      <c r="AV84" s="75" t="str">
        <f t="shared" ca="1" si="2"/>
        <v/>
      </c>
      <c r="AW84" s="75" t="str">
        <f t="shared" si="3"/>
        <v/>
      </c>
      <c r="AX84" s="81"/>
    </row>
    <row r="85" spans="1:50" ht="15" customHeight="1">
      <c r="A85" s="75" t="str">
        <f t="shared" si="0"/>
        <v/>
      </c>
      <c r="B85" s="81"/>
      <c r="C85" s="81"/>
      <c r="D85" s="81"/>
      <c r="E85" s="81"/>
      <c r="F85" s="81"/>
      <c r="G85" s="81"/>
      <c r="H85" s="81"/>
      <c r="I85" s="81"/>
      <c r="J85" s="81"/>
      <c r="K85" s="81"/>
      <c r="L85" s="81"/>
      <c r="M85" s="81"/>
      <c r="N85" s="81"/>
      <c r="O85" s="81"/>
      <c r="P85" s="81"/>
      <c r="Q85" s="81"/>
      <c r="R85" s="81"/>
      <c r="S85" s="81"/>
      <c r="T85" s="81"/>
      <c r="U85" s="81"/>
      <c r="V85" s="81"/>
      <c r="W85" s="81"/>
      <c r="X85" s="81"/>
      <c r="Y85" s="75" t="str">
        <f>IFERROR(INDEX(PARAMETRES!$B$536:$B$586,MATCH(X85,PARAMETRES!$J$536:$J$586,0)),"")</f>
        <v/>
      </c>
      <c r="Z85" s="75" t="str">
        <f>IFERROR(INDEX(PARAMETRES!$D$536:$D$586,MATCH(X85,PARAMETRES!$J$536:$J$586,0)),"")</f>
        <v/>
      </c>
      <c r="AA85" s="75" t="str">
        <f>IFERROR(INDEX(PARAMETRES!$F$536:$F$586,MATCH(X85,PARAMETRES!$J$536:$J$586,0)),"")</f>
        <v/>
      </c>
      <c r="AB85" s="81"/>
      <c r="AC85" s="82"/>
      <c r="AD85" s="81"/>
      <c r="AE85" s="82"/>
      <c r="AF85" s="82"/>
      <c r="AG85" s="81"/>
      <c r="AH85" s="81"/>
      <c r="AI85" s="75">
        <f>IF(A85="",0,COUNTIF(tbl_Donateurs_Opportunites[ID Donateur],A85))</f>
        <v>0</v>
      </c>
      <c r="AJ85" s="75">
        <f>IF(A85="",0,COUNTIFS(tbl_Donateurs_Opportunites[ID Donateur],A85,tbl_Donateurs_Opportunites[Statut],"Ouverte"))</f>
        <v>0</v>
      </c>
      <c r="AK85" s="75">
        <f>IF(A85="",0,COUNTIF(tbl_Donateurs_Demandes[ID Donateur],A85))</f>
        <v>0</v>
      </c>
      <c r="AL85" s="75">
        <f>IF(A85="",0,COUNTIFS(tbl_Donateurs_Demandes[ID Donateur],A85,tbl_Donateurs_Demandes[Statut],"Approuvee")+COUNTIFS(tbl_Donateurs_Demandes[ID Donateur],A85,tbl_Donateurs_Demandes[Statut],"Financement recu"))</f>
        <v>0</v>
      </c>
      <c r="AM85" s="76">
        <f>IF(A85="",0,SUMIF(tbl_Donateurs_Demandes[ID Donateur],A85,tbl_Donateurs_Demandes[Montant demande]))</f>
        <v>0</v>
      </c>
      <c r="AN85" s="76">
        <f>IF(A85="",0,SUMIF(tbl_Donateurs_Demandes[ID Donateur],A85,tbl_Donateurs_Demandes[Montant accorde]))</f>
        <v>0</v>
      </c>
      <c r="AO85" s="76">
        <f>IF(A85="",0,SUMIF(tbl_Donateurs_Decaissements[ID Donateur],A85,tbl_Donateurs_Decaissements[Montant recu]))</f>
        <v>0</v>
      </c>
      <c r="AP85" s="77" t="str">
        <f t="shared" si="1"/>
        <v/>
      </c>
      <c r="AQ85" s="75">
        <f>IF(A85="",0,COUNTIF(tbl_Donateurs_Contacts[ID Donateur],A85))</f>
        <v>0</v>
      </c>
      <c r="AR85" s="75">
        <f>IF(A85="",0,COUNTIF(tbl_Donateurs_Documents[ID Donateur],A85))</f>
        <v>0</v>
      </c>
      <c r="AS85" s="75">
        <f>IF(A85="",0,COUNTIF(tbl_Donateurs_Conventions[ID Donateur],A85))</f>
        <v>0</v>
      </c>
      <c r="AT85" s="83" t="str">
        <f ca="1">IFERROR(_xlfn.MAXIFS(tbl_Donateurs_Decaissements[Date recue],tbl_Donateurs_Decaissements[ID Donateur],A85),"")</f>
        <v/>
      </c>
      <c r="AU85" s="76" t="str">
        <f t="shared" si="4"/>
        <v/>
      </c>
      <c r="AV85" s="75" t="str">
        <f t="shared" ca="1" si="2"/>
        <v/>
      </c>
      <c r="AW85" s="75" t="str">
        <f t="shared" si="3"/>
        <v/>
      </c>
      <c r="AX85" s="81"/>
    </row>
    <row r="86" spans="1:50" ht="15" customHeight="1">
      <c r="A86" s="75" t="str">
        <f t="shared" si="0"/>
        <v/>
      </c>
      <c r="B86" s="81"/>
      <c r="C86" s="81"/>
      <c r="D86" s="81"/>
      <c r="E86" s="81"/>
      <c r="F86" s="81"/>
      <c r="G86" s="81"/>
      <c r="H86" s="81"/>
      <c r="I86" s="81"/>
      <c r="J86" s="81"/>
      <c r="K86" s="81"/>
      <c r="L86" s="81"/>
      <c r="M86" s="81"/>
      <c r="N86" s="81"/>
      <c r="O86" s="81"/>
      <c r="P86" s="81"/>
      <c r="Q86" s="81"/>
      <c r="R86" s="81"/>
      <c r="S86" s="81"/>
      <c r="T86" s="81"/>
      <c r="U86" s="81"/>
      <c r="V86" s="81"/>
      <c r="W86" s="81"/>
      <c r="X86" s="81"/>
      <c r="Y86" s="75" t="str">
        <f>IFERROR(INDEX(PARAMETRES!$B$536:$B$586,MATCH(X86,PARAMETRES!$J$536:$J$586,0)),"")</f>
        <v/>
      </c>
      <c r="Z86" s="75" t="str">
        <f>IFERROR(INDEX(PARAMETRES!$D$536:$D$586,MATCH(X86,PARAMETRES!$J$536:$J$586,0)),"")</f>
        <v/>
      </c>
      <c r="AA86" s="75" t="str">
        <f>IFERROR(INDEX(PARAMETRES!$F$536:$F$586,MATCH(X86,PARAMETRES!$J$536:$J$586,0)),"")</f>
        <v/>
      </c>
      <c r="AB86" s="81"/>
      <c r="AC86" s="82"/>
      <c r="AD86" s="81"/>
      <c r="AE86" s="82"/>
      <c r="AF86" s="82"/>
      <c r="AG86" s="81"/>
      <c r="AH86" s="81"/>
      <c r="AI86" s="75">
        <f>IF(A86="",0,COUNTIF(tbl_Donateurs_Opportunites[ID Donateur],A86))</f>
        <v>0</v>
      </c>
      <c r="AJ86" s="75">
        <f>IF(A86="",0,COUNTIFS(tbl_Donateurs_Opportunites[ID Donateur],A86,tbl_Donateurs_Opportunites[Statut],"Ouverte"))</f>
        <v>0</v>
      </c>
      <c r="AK86" s="75">
        <f>IF(A86="",0,COUNTIF(tbl_Donateurs_Demandes[ID Donateur],A86))</f>
        <v>0</v>
      </c>
      <c r="AL86" s="75">
        <f>IF(A86="",0,COUNTIFS(tbl_Donateurs_Demandes[ID Donateur],A86,tbl_Donateurs_Demandes[Statut],"Approuvee")+COUNTIFS(tbl_Donateurs_Demandes[ID Donateur],A86,tbl_Donateurs_Demandes[Statut],"Financement recu"))</f>
        <v>0</v>
      </c>
      <c r="AM86" s="76">
        <f>IF(A86="",0,SUMIF(tbl_Donateurs_Demandes[ID Donateur],A86,tbl_Donateurs_Demandes[Montant demande]))</f>
        <v>0</v>
      </c>
      <c r="AN86" s="76">
        <f>IF(A86="",0,SUMIF(tbl_Donateurs_Demandes[ID Donateur],A86,tbl_Donateurs_Demandes[Montant accorde]))</f>
        <v>0</v>
      </c>
      <c r="AO86" s="76">
        <f>IF(A86="",0,SUMIF(tbl_Donateurs_Decaissements[ID Donateur],A86,tbl_Donateurs_Decaissements[Montant recu]))</f>
        <v>0</v>
      </c>
      <c r="AP86" s="77" t="str">
        <f t="shared" si="1"/>
        <v/>
      </c>
      <c r="AQ86" s="75">
        <f>IF(A86="",0,COUNTIF(tbl_Donateurs_Contacts[ID Donateur],A86))</f>
        <v>0</v>
      </c>
      <c r="AR86" s="75">
        <f>IF(A86="",0,COUNTIF(tbl_Donateurs_Documents[ID Donateur],A86))</f>
        <v>0</v>
      </c>
      <c r="AS86" s="75">
        <f>IF(A86="",0,COUNTIF(tbl_Donateurs_Conventions[ID Donateur],A86))</f>
        <v>0</v>
      </c>
      <c r="AT86" s="83" t="str">
        <f ca="1">IFERROR(_xlfn.MAXIFS(tbl_Donateurs_Decaissements[Date recue],tbl_Donateurs_Decaissements[ID Donateur],A86),"")</f>
        <v/>
      </c>
      <c r="AU86" s="76" t="str">
        <f t="shared" si="4"/>
        <v/>
      </c>
      <c r="AV86" s="75" t="str">
        <f t="shared" ca="1" si="2"/>
        <v/>
      </c>
      <c r="AW86" s="75" t="str">
        <f t="shared" si="3"/>
        <v/>
      </c>
      <c r="AX86" s="81"/>
    </row>
    <row r="87" spans="1:50" ht="15" customHeight="1">
      <c r="A87" s="75" t="str">
        <f t="shared" si="0"/>
        <v/>
      </c>
      <c r="B87" s="81"/>
      <c r="C87" s="81"/>
      <c r="D87" s="81"/>
      <c r="E87" s="81"/>
      <c r="F87" s="81"/>
      <c r="G87" s="81"/>
      <c r="H87" s="81"/>
      <c r="I87" s="81"/>
      <c r="J87" s="81"/>
      <c r="K87" s="81"/>
      <c r="L87" s="81"/>
      <c r="M87" s="81"/>
      <c r="N87" s="81"/>
      <c r="O87" s="81"/>
      <c r="P87" s="81"/>
      <c r="Q87" s="81"/>
      <c r="R87" s="81"/>
      <c r="S87" s="81"/>
      <c r="T87" s="81"/>
      <c r="U87" s="81"/>
      <c r="V87" s="81"/>
      <c r="W87" s="81"/>
      <c r="X87" s="81"/>
      <c r="Y87" s="75" t="str">
        <f>IFERROR(INDEX(PARAMETRES!$B$536:$B$586,MATCH(X87,PARAMETRES!$J$536:$J$586,0)),"")</f>
        <v/>
      </c>
      <c r="Z87" s="75" t="str">
        <f>IFERROR(INDEX(PARAMETRES!$D$536:$D$586,MATCH(X87,PARAMETRES!$J$536:$J$586,0)),"")</f>
        <v/>
      </c>
      <c r="AA87" s="75" t="str">
        <f>IFERROR(INDEX(PARAMETRES!$F$536:$F$586,MATCH(X87,PARAMETRES!$J$536:$J$586,0)),"")</f>
        <v/>
      </c>
      <c r="AB87" s="81"/>
      <c r="AC87" s="82"/>
      <c r="AD87" s="81"/>
      <c r="AE87" s="82"/>
      <c r="AF87" s="82"/>
      <c r="AG87" s="81"/>
      <c r="AH87" s="81"/>
      <c r="AI87" s="75">
        <f>IF(A87="",0,COUNTIF(tbl_Donateurs_Opportunites[ID Donateur],A87))</f>
        <v>0</v>
      </c>
      <c r="AJ87" s="75">
        <f>IF(A87="",0,COUNTIFS(tbl_Donateurs_Opportunites[ID Donateur],A87,tbl_Donateurs_Opportunites[Statut],"Ouverte"))</f>
        <v>0</v>
      </c>
      <c r="AK87" s="75">
        <f>IF(A87="",0,COUNTIF(tbl_Donateurs_Demandes[ID Donateur],A87))</f>
        <v>0</v>
      </c>
      <c r="AL87" s="75">
        <f>IF(A87="",0,COUNTIFS(tbl_Donateurs_Demandes[ID Donateur],A87,tbl_Donateurs_Demandes[Statut],"Approuvee")+COUNTIFS(tbl_Donateurs_Demandes[ID Donateur],A87,tbl_Donateurs_Demandes[Statut],"Financement recu"))</f>
        <v>0</v>
      </c>
      <c r="AM87" s="76">
        <f>IF(A87="",0,SUMIF(tbl_Donateurs_Demandes[ID Donateur],A87,tbl_Donateurs_Demandes[Montant demande]))</f>
        <v>0</v>
      </c>
      <c r="AN87" s="76">
        <f>IF(A87="",0,SUMIF(tbl_Donateurs_Demandes[ID Donateur],A87,tbl_Donateurs_Demandes[Montant accorde]))</f>
        <v>0</v>
      </c>
      <c r="AO87" s="76">
        <f>IF(A87="",0,SUMIF(tbl_Donateurs_Decaissements[ID Donateur],A87,tbl_Donateurs_Decaissements[Montant recu]))</f>
        <v>0</v>
      </c>
      <c r="AP87" s="77" t="str">
        <f t="shared" si="1"/>
        <v/>
      </c>
      <c r="AQ87" s="75">
        <f>IF(A87="",0,COUNTIF(tbl_Donateurs_Contacts[ID Donateur],A87))</f>
        <v>0</v>
      </c>
      <c r="AR87" s="75">
        <f>IF(A87="",0,COUNTIF(tbl_Donateurs_Documents[ID Donateur],A87))</f>
        <v>0</v>
      </c>
      <c r="AS87" s="75">
        <f>IF(A87="",0,COUNTIF(tbl_Donateurs_Conventions[ID Donateur],A87))</f>
        <v>0</v>
      </c>
      <c r="AT87" s="83" t="str">
        <f ca="1">IFERROR(_xlfn.MAXIFS(tbl_Donateurs_Decaissements[Date recue],tbl_Donateurs_Decaissements[ID Donateur],A87),"")</f>
        <v/>
      </c>
      <c r="AU87" s="76" t="str">
        <f t="shared" si="4"/>
        <v/>
      </c>
      <c r="AV87" s="75" t="str">
        <f t="shared" ca="1" si="2"/>
        <v/>
      </c>
      <c r="AW87" s="75" t="str">
        <f t="shared" si="3"/>
        <v/>
      </c>
      <c r="AX87" s="81"/>
    </row>
    <row r="88" spans="1:50" ht="15" customHeight="1">
      <c r="A88" s="75" t="str">
        <f t="shared" ref="A88:A119" si="5">IF(B88="","","DON"&amp;TEXT(ROW()-55,"00000"))</f>
        <v/>
      </c>
      <c r="B88" s="81"/>
      <c r="C88" s="81"/>
      <c r="D88" s="81"/>
      <c r="E88" s="81"/>
      <c r="F88" s="81"/>
      <c r="G88" s="81"/>
      <c r="H88" s="81"/>
      <c r="I88" s="81"/>
      <c r="J88" s="81"/>
      <c r="K88" s="81"/>
      <c r="L88" s="81"/>
      <c r="M88" s="81"/>
      <c r="N88" s="81"/>
      <c r="O88" s="81"/>
      <c r="P88" s="81"/>
      <c r="Q88" s="81"/>
      <c r="R88" s="81"/>
      <c r="S88" s="81"/>
      <c r="T88" s="81"/>
      <c r="U88" s="81"/>
      <c r="V88" s="81"/>
      <c r="W88" s="81"/>
      <c r="X88" s="81"/>
      <c r="Y88" s="75" t="str">
        <f>IFERROR(INDEX(PARAMETRES!$B$536:$B$586,MATCH(X88,PARAMETRES!$J$536:$J$586,0)),"")</f>
        <v/>
      </c>
      <c r="Z88" s="75" t="str">
        <f>IFERROR(INDEX(PARAMETRES!$D$536:$D$586,MATCH(X88,PARAMETRES!$J$536:$J$586,0)),"")</f>
        <v/>
      </c>
      <c r="AA88" s="75" t="str">
        <f>IFERROR(INDEX(PARAMETRES!$F$536:$F$586,MATCH(X88,PARAMETRES!$J$536:$J$586,0)),"")</f>
        <v/>
      </c>
      <c r="AB88" s="81"/>
      <c r="AC88" s="82"/>
      <c r="AD88" s="81"/>
      <c r="AE88" s="82"/>
      <c r="AF88" s="82"/>
      <c r="AG88" s="81"/>
      <c r="AH88" s="81"/>
      <c r="AI88" s="75">
        <f>IF(A88="",0,COUNTIF(tbl_Donateurs_Opportunites[ID Donateur],A88))</f>
        <v>0</v>
      </c>
      <c r="AJ88" s="75">
        <f>IF(A88="",0,COUNTIFS(tbl_Donateurs_Opportunites[ID Donateur],A88,tbl_Donateurs_Opportunites[Statut],"Ouverte"))</f>
        <v>0</v>
      </c>
      <c r="AK88" s="75">
        <f>IF(A88="",0,COUNTIF(tbl_Donateurs_Demandes[ID Donateur],A88))</f>
        <v>0</v>
      </c>
      <c r="AL88" s="75">
        <f>IF(A88="",0,COUNTIFS(tbl_Donateurs_Demandes[ID Donateur],A88,tbl_Donateurs_Demandes[Statut],"Approuvee")+COUNTIFS(tbl_Donateurs_Demandes[ID Donateur],A88,tbl_Donateurs_Demandes[Statut],"Financement recu"))</f>
        <v>0</v>
      </c>
      <c r="AM88" s="76">
        <f>IF(A88="",0,SUMIF(tbl_Donateurs_Demandes[ID Donateur],A88,tbl_Donateurs_Demandes[Montant demande]))</f>
        <v>0</v>
      </c>
      <c r="AN88" s="76">
        <f>IF(A88="",0,SUMIF(tbl_Donateurs_Demandes[ID Donateur],A88,tbl_Donateurs_Demandes[Montant accorde]))</f>
        <v>0</v>
      </c>
      <c r="AO88" s="76">
        <f>IF(A88="",0,SUMIF(tbl_Donateurs_Decaissements[ID Donateur],A88,tbl_Donateurs_Decaissements[Montant recu]))</f>
        <v>0</v>
      </c>
      <c r="AP88" s="77" t="str">
        <f t="shared" ref="AP88:AP119" si="6">IFERROR(AL88/AK88,"")</f>
        <v/>
      </c>
      <c r="AQ88" s="75">
        <f>IF(A88="",0,COUNTIF(tbl_Donateurs_Contacts[ID Donateur],A88))</f>
        <v>0</v>
      </c>
      <c r="AR88" s="75">
        <f>IF(A88="",0,COUNTIF(tbl_Donateurs_Documents[ID Donateur],A88))</f>
        <v>0</v>
      </c>
      <c r="AS88" s="75">
        <f>IF(A88="",0,COUNTIF(tbl_Donateurs_Conventions[ID Donateur],A88))</f>
        <v>0</v>
      </c>
      <c r="AT88" s="83" t="str">
        <f ca="1">IFERROR(_xlfn.MAXIFS(tbl_Donateurs_Decaissements[Date recue],tbl_Donateurs_Decaissements[ID Donateur],A88),"")</f>
        <v/>
      </c>
      <c r="AU88" s="76" t="str">
        <f t="shared" si="4"/>
        <v/>
      </c>
      <c r="AV88" s="75" t="str">
        <f t="shared" ref="AV88:AV119" ca="1" si="7">IF(A88="","",IF(OR(AB88="A relancer",AND(AF88&lt;&gt;"",AF88&lt;=TODAY())),"OUI","NON"))</f>
        <v/>
      </c>
      <c r="AW88" s="75" t="str">
        <f t="shared" ref="AW88:AW119" si="8">IF(B88="","",IF(OR(COUNTIF($B$56:$B$205,B88)&gt;1,AND(D88&lt;&gt;"",COUNTIF($D$56:$D$205,D88)&gt;1),AND(K88&lt;&gt;"",COUNTIF($K$56:$K$205,K88)&gt;1),AND(L88&lt;&gt;"",COUNTIF($L$56:$L$205,L88)&gt;1)),"OUI","NON"))</f>
        <v/>
      </c>
      <c r="AX88" s="81"/>
    </row>
    <row r="89" spans="1:50" ht="15" customHeight="1">
      <c r="A89" s="75" t="str">
        <f t="shared" si="5"/>
        <v/>
      </c>
      <c r="B89" s="81"/>
      <c r="C89" s="81"/>
      <c r="D89" s="81"/>
      <c r="E89" s="81"/>
      <c r="F89" s="81"/>
      <c r="G89" s="81"/>
      <c r="H89" s="81"/>
      <c r="I89" s="81"/>
      <c r="J89" s="81"/>
      <c r="K89" s="81"/>
      <c r="L89" s="81"/>
      <c r="M89" s="81"/>
      <c r="N89" s="81"/>
      <c r="O89" s="81"/>
      <c r="P89" s="81"/>
      <c r="Q89" s="81"/>
      <c r="R89" s="81"/>
      <c r="S89" s="81"/>
      <c r="T89" s="81"/>
      <c r="U89" s="81"/>
      <c r="V89" s="81"/>
      <c r="W89" s="81"/>
      <c r="X89" s="81"/>
      <c r="Y89" s="75" t="str">
        <f>IFERROR(INDEX(PARAMETRES!$B$536:$B$586,MATCH(X89,PARAMETRES!$J$536:$J$586,0)),"")</f>
        <v/>
      </c>
      <c r="Z89" s="75" t="str">
        <f>IFERROR(INDEX(PARAMETRES!$D$536:$D$586,MATCH(X89,PARAMETRES!$J$536:$J$586,0)),"")</f>
        <v/>
      </c>
      <c r="AA89" s="75" t="str">
        <f>IFERROR(INDEX(PARAMETRES!$F$536:$F$586,MATCH(X89,PARAMETRES!$J$536:$J$586,0)),"")</f>
        <v/>
      </c>
      <c r="AB89" s="81"/>
      <c r="AC89" s="82"/>
      <c r="AD89" s="81"/>
      <c r="AE89" s="82"/>
      <c r="AF89" s="82"/>
      <c r="AG89" s="81"/>
      <c r="AH89" s="81"/>
      <c r="AI89" s="75">
        <f>IF(A89="",0,COUNTIF(tbl_Donateurs_Opportunites[ID Donateur],A89))</f>
        <v>0</v>
      </c>
      <c r="AJ89" s="75">
        <f>IF(A89="",0,COUNTIFS(tbl_Donateurs_Opportunites[ID Donateur],A89,tbl_Donateurs_Opportunites[Statut],"Ouverte"))</f>
        <v>0</v>
      </c>
      <c r="AK89" s="75">
        <f>IF(A89="",0,COUNTIF(tbl_Donateurs_Demandes[ID Donateur],A89))</f>
        <v>0</v>
      </c>
      <c r="AL89" s="75">
        <f>IF(A89="",0,COUNTIFS(tbl_Donateurs_Demandes[ID Donateur],A89,tbl_Donateurs_Demandes[Statut],"Approuvee")+COUNTIFS(tbl_Donateurs_Demandes[ID Donateur],A89,tbl_Donateurs_Demandes[Statut],"Financement recu"))</f>
        <v>0</v>
      </c>
      <c r="AM89" s="76">
        <f>IF(A89="",0,SUMIF(tbl_Donateurs_Demandes[ID Donateur],A89,tbl_Donateurs_Demandes[Montant demande]))</f>
        <v>0</v>
      </c>
      <c r="AN89" s="76">
        <f>IF(A89="",0,SUMIF(tbl_Donateurs_Demandes[ID Donateur],A89,tbl_Donateurs_Demandes[Montant accorde]))</f>
        <v>0</v>
      </c>
      <c r="AO89" s="76">
        <f>IF(A89="",0,SUMIF(tbl_Donateurs_Decaissements[ID Donateur],A89,tbl_Donateurs_Decaissements[Montant recu]))</f>
        <v>0</v>
      </c>
      <c r="AP89" s="77" t="str">
        <f t="shared" si="6"/>
        <v/>
      </c>
      <c r="AQ89" s="75">
        <f>IF(A89="",0,COUNTIF(tbl_Donateurs_Contacts[ID Donateur],A89))</f>
        <v>0</v>
      </c>
      <c r="AR89" s="75">
        <f>IF(A89="",0,COUNTIF(tbl_Donateurs_Documents[ID Donateur],A89))</f>
        <v>0</v>
      </c>
      <c r="AS89" s="75">
        <f>IF(A89="",0,COUNTIF(tbl_Donateurs_Conventions[ID Donateur],A89))</f>
        <v>0</v>
      </c>
      <c r="AT89" s="83" t="str">
        <f ca="1">IFERROR(_xlfn.MAXIFS(tbl_Donateurs_Decaissements[Date recue],tbl_Donateurs_Decaissements[ID Donateur],A89),"")</f>
        <v/>
      </c>
      <c r="AU89" s="76" t="str">
        <f t="shared" ref="AU89:AU120" si="9">IFERROR(AN89/AL89,"")</f>
        <v/>
      </c>
      <c r="AV89" s="75" t="str">
        <f t="shared" ca="1" si="7"/>
        <v/>
      </c>
      <c r="AW89" s="75" t="str">
        <f t="shared" si="8"/>
        <v/>
      </c>
      <c r="AX89" s="81"/>
    </row>
    <row r="90" spans="1:50" ht="15" customHeight="1">
      <c r="A90" s="75" t="str">
        <f t="shared" si="5"/>
        <v/>
      </c>
      <c r="B90" s="81"/>
      <c r="C90" s="81"/>
      <c r="D90" s="81"/>
      <c r="E90" s="81"/>
      <c r="F90" s="81"/>
      <c r="G90" s="81"/>
      <c r="H90" s="81"/>
      <c r="I90" s="81"/>
      <c r="J90" s="81"/>
      <c r="K90" s="81"/>
      <c r="L90" s="81"/>
      <c r="M90" s="81"/>
      <c r="N90" s="81"/>
      <c r="O90" s="81"/>
      <c r="P90" s="81"/>
      <c r="Q90" s="81"/>
      <c r="R90" s="81"/>
      <c r="S90" s="81"/>
      <c r="T90" s="81"/>
      <c r="U90" s="81"/>
      <c r="V90" s="81"/>
      <c r="W90" s="81"/>
      <c r="X90" s="81"/>
      <c r="Y90" s="75" t="str">
        <f>IFERROR(INDEX(PARAMETRES!$B$536:$B$586,MATCH(X90,PARAMETRES!$J$536:$J$586,0)),"")</f>
        <v/>
      </c>
      <c r="Z90" s="75" t="str">
        <f>IFERROR(INDEX(PARAMETRES!$D$536:$D$586,MATCH(X90,PARAMETRES!$J$536:$J$586,0)),"")</f>
        <v/>
      </c>
      <c r="AA90" s="75" t="str">
        <f>IFERROR(INDEX(PARAMETRES!$F$536:$F$586,MATCH(X90,PARAMETRES!$J$536:$J$586,0)),"")</f>
        <v/>
      </c>
      <c r="AB90" s="81"/>
      <c r="AC90" s="82"/>
      <c r="AD90" s="81"/>
      <c r="AE90" s="82"/>
      <c r="AF90" s="82"/>
      <c r="AG90" s="81"/>
      <c r="AH90" s="81"/>
      <c r="AI90" s="75">
        <f>IF(A90="",0,COUNTIF(tbl_Donateurs_Opportunites[ID Donateur],A90))</f>
        <v>0</v>
      </c>
      <c r="AJ90" s="75">
        <f>IF(A90="",0,COUNTIFS(tbl_Donateurs_Opportunites[ID Donateur],A90,tbl_Donateurs_Opportunites[Statut],"Ouverte"))</f>
        <v>0</v>
      </c>
      <c r="AK90" s="75">
        <f>IF(A90="",0,COUNTIF(tbl_Donateurs_Demandes[ID Donateur],A90))</f>
        <v>0</v>
      </c>
      <c r="AL90" s="75">
        <f>IF(A90="",0,COUNTIFS(tbl_Donateurs_Demandes[ID Donateur],A90,tbl_Donateurs_Demandes[Statut],"Approuvee")+COUNTIFS(tbl_Donateurs_Demandes[ID Donateur],A90,tbl_Donateurs_Demandes[Statut],"Financement recu"))</f>
        <v>0</v>
      </c>
      <c r="AM90" s="76">
        <f>IF(A90="",0,SUMIF(tbl_Donateurs_Demandes[ID Donateur],A90,tbl_Donateurs_Demandes[Montant demande]))</f>
        <v>0</v>
      </c>
      <c r="AN90" s="76">
        <f>IF(A90="",0,SUMIF(tbl_Donateurs_Demandes[ID Donateur],A90,tbl_Donateurs_Demandes[Montant accorde]))</f>
        <v>0</v>
      </c>
      <c r="AO90" s="76">
        <f>IF(A90="",0,SUMIF(tbl_Donateurs_Decaissements[ID Donateur],A90,tbl_Donateurs_Decaissements[Montant recu]))</f>
        <v>0</v>
      </c>
      <c r="AP90" s="77" t="str">
        <f t="shared" si="6"/>
        <v/>
      </c>
      <c r="AQ90" s="75">
        <f>IF(A90="",0,COUNTIF(tbl_Donateurs_Contacts[ID Donateur],A90))</f>
        <v>0</v>
      </c>
      <c r="AR90" s="75">
        <f>IF(A90="",0,COUNTIF(tbl_Donateurs_Documents[ID Donateur],A90))</f>
        <v>0</v>
      </c>
      <c r="AS90" s="75">
        <f>IF(A90="",0,COUNTIF(tbl_Donateurs_Conventions[ID Donateur],A90))</f>
        <v>0</v>
      </c>
      <c r="AT90" s="83" t="str">
        <f ca="1">IFERROR(_xlfn.MAXIFS(tbl_Donateurs_Decaissements[Date recue],tbl_Donateurs_Decaissements[ID Donateur],A90),"")</f>
        <v/>
      </c>
      <c r="AU90" s="76" t="str">
        <f t="shared" si="9"/>
        <v/>
      </c>
      <c r="AV90" s="75" t="str">
        <f t="shared" ca="1" si="7"/>
        <v/>
      </c>
      <c r="AW90" s="75" t="str">
        <f t="shared" si="8"/>
        <v/>
      </c>
      <c r="AX90" s="81"/>
    </row>
    <row r="91" spans="1:50" ht="15" customHeight="1">
      <c r="A91" s="75" t="str">
        <f t="shared" si="5"/>
        <v/>
      </c>
      <c r="B91" s="81"/>
      <c r="C91" s="81"/>
      <c r="D91" s="81"/>
      <c r="E91" s="81"/>
      <c r="F91" s="81"/>
      <c r="G91" s="81"/>
      <c r="H91" s="81"/>
      <c r="I91" s="81"/>
      <c r="J91" s="81"/>
      <c r="K91" s="81"/>
      <c r="L91" s="81"/>
      <c r="M91" s="81"/>
      <c r="N91" s="81"/>
      <c r="O91" s="81"/>
      <c r="P91" s="81"/>
      <c r="Q91" s="81"/>
      <c r="R91" s="81"/>
      <c r="S91" s="81"/>
      <c r="T91" s="81"/>
      <c r="U91" s="81"/>
      <c r="V91" s="81"/>
      <c r="W91" s="81"/>
      <c r="X91" s="81"/>
      <c r="Y91" s="75" t="str">
        <f>IFERROR(INDEX(PARAMETRES!$B$536:$B$586,MATCH(X91,PARAMETRES!$J$536:$J$586,0)),"")</f>
        <v/>
      </c>
      <c r="Z91" s="75" t="str">
        <f>IFERROR(INDEX(PARAMETRES!$D$536:$D$586,MATCH(X91,PARAMETRES!$J$536:$J$586,0)),"")</f>
        <v/>
      </c>
      <c r="AA91" s="75" t="str">
        <f>IFERROR(INDEX(PARAMETRES!$F$536:$F$586,MATCH(X91,PARAMETRES!$J$536:$J$586,0)),"")</f>
        <v/>
      </c>
      <c r="AB91" s="81"/>
      <c r="AC91" s="82"/>
      <c r="AD91" s="81"/>
      <c r="AE91" s="82"/>
      <c r="AF91" s="82"/>
      <c r="AG91" s="81"/>
      <c r="AH91" s="81"/>
      <c r="AI91" s="75">
        <f>IF(A91="",0,COUNTIF(tbl_Donateurs_Opportunites[ID Donateur],A91))</f>
        <v>0</v>
      </c>
      <c r="AJ91" s="75">
        <f>IF(A91="",0,COUNTIFS(tbl_Donateurs_Opportunites[ID Donateur],A91,tbl_Donateurs_Opportunites[Statut],"Ouverte"))</f>
        <v>0</v>
      </c>
      <c r="AK91" s="75">
        <f>IF(A91="",0,COUNTIF(tbl_Donateurs_Demandes[ID Donateur],A91))</f>
        <v>0</v>
      </c>
      <c r="AL91" s="75">
        <f>IF(A91="",0,COUNTIFS(tbl_Donateurs_Demandes[ID Donateur],A91,tbl_Donateurs_Demandes[Statut],"Approuvee")+COUNTIFS(tbl_Donateurs_Demandes[ID Donateur],A91,tbl_Donateurs_Demandes[Statut],"Financement recu"))</f>
        <v>0</v>
      </c>
      <c r="AM91" s="76">
        <f>IF(A91="",0,SUMIF(tbl_Donateurs_Demandes[ID Donateur],A91,tbl_Donateurs_Demandes[Montant demande]))</f>
        <v>0</v>
      </c>
      <c r="AN91" s="76">
        <f>IF(A91="",0,SUMIF(tbl_Donateurs_Demandes[ID Donateur],A91,tbl_Donateurs_Demandes[Montant accorde]))</f>
        <v>0</v>
      </c>
      <c r="AO91" s="76">
        <f>IF(A91="",0,SUMIF(tbl_Donateurs_Decaissements[ID Donateur],A91,tbl_Donateurs_Decaissements[Montant recu]))</f>
        <v>0</v>
      </c>
      <c r="AP91" s="77" t="str">
        <f t="shared" si="6"/>
        <v/>
      </c>
      <c r="AQ91" s="75">
        <f>IF(A91="",0,COUNTIF(tbl_Donateurs_Contacts[ID Donateur],A91))</f>
        <v>0</v>
      </c>
      <c r="AR91" s="75">
        <f>IF(A91="",0,COUNTIF(tbl_Donateurs_Documents[ID Donateur],A91))</f>
        <v>0</v>
      </c>
      <c r="AS91" s="75">
        <f>IF(A91="",0,COUNTIF(tbl_Donateurs_Conventions[ID Donateur],A91))</f>
        <v>0</v>
      </c>
      <c r="AT91" s="83" t="str">
        <f ca="1">IFERROR(_xlfn.MAXIFS(tbl_Donateurs_Decaissements[Date recue],tbl_Donateurs_Decaissements[ID Donateur],A91),"")</f>
        <v/>
      </c>
      <c r="AU91" s="76" t="str">
        <f t="shared" si="9"/>
        <v/>
      </c>
      <c r="AV91" s="75" t="str">
        <f t="shared" ca="1" si="7"/>
        <v/>
      </c>
      <c r="AW91" s="75" t="str">
        <f t="shared" si="8"/>
        <v/>
      </c>
      <c r="AX91" s="81"/>
    </row>
    <row r="92" spans="1:50" ht="15" customHeight="1">
      <c r="A92" s="75" t="str">
        <f t="shared" si="5"/>
        <v/>
      </c>
      <c r="B92" s="81"/>
      <c r="C92" s="81"/>
      <c r="D92" s="81"/>
      <c r="E92" s="81"/>
      <c r="F92" s="81"/>
      <c r="G92" s="81"/>
      <c r="H92" s="81"/>
      <c r="I92" s="81"/>
      <c r="J92" s="81"/>
      <c r="K92" s="81"/>
      <c r="L92" s="81"/>
      <c r="M92" s="81"/>
      <c r="N92" s="81"/>
      <c r="O92" s="81"/>
      <c r="P92" s="81"/>
      <c r="Q92" s="81"/>
      <c r="R92" s="81"/>
      <c r="S92" s="81"/>
      <c r="T92" s="81"/>
      <c r="U92" s="81"/>
      <c r="V92" s="81"/>
      <c r="W92" s="81"/>
      <c r="X92" s="81"/>
      <c r="Y92" s="75" t="str">
        <f>IFERROR(INDEX(PARAMETRES!$B$536:$B$586,MATCH(X92,PARAMETRES!$J$536:$J$586,0)),"")</f>
        <v/>
      </c>
      <c r="Z92" s="75" t="str">
        <f>IFERROR(INDEX(PARAMETRES!$D$536:$D$586,MATCH(X92,PARAMETRES!$J$536:$J$586,0)),"")</f>
        <v/>
      </c>
      <c r="AA92" s="75" t="str">
        <f>IFERROR(INDEX(PARAMETRES!$F$536:$F$586,MATCH(X92,PARAMETRES!$J$536:$J$586,0)),"")</f>
        <v/>
      </c>
      <c r="AB92" s="81"/>
      <c r="AC92" s="82"/>
      <c r="AD92" s="81"/>
      <c r="AE92" s="82"/>
      <c r="AF92" s="82"/>
      <c r="AG92" s="81"/>
      <c r="AH92" s="81"/>
      <c r="AI92" s="75">
        <f>IF(A92="",0,COUNTIF(tbl_Donateurs_Opportunites[ID Donateur],A92))</f>
        <v>0</v>
      </c>
      <c r="AJ92" s="75">
        <f>IF(A92="",0,COUNTIFS(tbl_Donateurs_Opportunites[ID Donateur],A92,tbl_Donateurs_Opportunites[Statut],"Ouverte"))</f>
        <v>0</v>
      </c>
      <c r="AK92" s="75">
        <f>IF(A92="",0,COUNTIF(tbl_Donateurs_Demandes[ID Donateur],A92))</f>
        <v>0</v>
      </c>
      <c r="AL92" s="75">
        <f>IF(A92="",0,COUNTIFS(tbl_Donateurs_Demandes[ID Donateur],A92,tbl_Donateurs_Demandes[Statut],"Approuvee")+COUNTIFS(tbl_Donateurs_Demandes[ID Donateur],A92,tbl_Donateurs_Demandes[Statut],"Financement recu"))</f>
        <v>0</v>
      </c>
      <c r="AM92" s="76">
        <f>IF(A92="",0,SUMIF(tbl_Donateurs_Demandes[ID Donateur],A92,tbl_Donateurs_Demandes[Montant demande]))</f>
        <v>0</v>
      </c>
      <c r="AN92" s="76">
        <f>IF(A92="",0,SUMIF(tbl_Donateurs_Demandes[ID Donateur],A92,tbl_Donateurs_Demandes[Montant accorde]))</f>
        <v>0</v>
      </c>
      <c r="AO92" s="76">
        <f>IF(A92="",0,SUMIF(tbl_Donateurs_Decaissements[ID Donateur],A92,tbl_Donateurs_Decaissements[Montant recu]))</f>
        <v>0</v>
      </c>
      <c r="AP92" s="77" t="str">
        <f t="shared" si="6"/>
        <v/>
      </c>
      <c r="AQ92" s="75">
        <f>IF(A92="",0,COUNTIF(tbl_Donateurs_Contacts[ID Donateur],A92))</f>
        <v>0</v>
      </c>
      <c r="AR92" s="75">
        <f>IF(A92="",0,COUNTIF(tbl_Donateurs_Documents[ID Donateur],A92))</f>
        <v>0</v>
      </c>
      <c r="AS92" s="75">
        <f>IF(A92="",0,COUNTIF(tbl_Donateurs_Conventions[ID Donateur],A92))</f>
        <v>0</v>
      </c>
      <c r="AT92" s="83" t="str">
        <f ca="1">IFERROR(_xlfn.MAXIFS(tbl_Donateurs_Decaissements[Date recue],tbl_Donateurs_Decaissements[ID Donateur],A92),"")</f>
        <v/>
      </c>
      <c r="AU92" s="76" t="str">
        <f t="shared" si="9"/>
        <v/>
      </c>
      <c r="AV92" s="75" t="str">
        <f t="shared" ca="1" si="7"/>
        <v/>
      </c>
      <c r="AW92" s="75" t="str">
        <f t="shared" si="8"/>
        <v/>
      </c>
      <c r="AX92" s="81"/>
    </row>
    <row r="93" spans="1:50" ht="15" customHeight="1">
      <c r="A93" s="75" t="str">
        <f t="shared" si="5"/>
        <v/>
      </c>
      <c r="B93" s="81"/>
      <c r="C93" s="81"/>
      <c r="D93" s="81"/>
      <c r="E93" s="81"/>
      <c r="F93" s="81"/>
      <c r="G93" s="81"/>
      <c r="H93" s="81"/>
      <c r="I93" s="81"/>
      <c r="J93" s="81"/>
      <c r="K93" s="81"/>
      <c r="L93" s="81"/>
      <c r="M93" s="81"/>
      <c r="N93" s="81"/>
      <c r="O93" s="81"/>
      <c r="P93" s="81"/>
      <c r="Q93" s="81"/>
      <c r="R93" s="81"/>
      <c r="S93" s="81"/>
      <c r="T93" s="81"/>
      <c r="U93" s="81"/>
      <c r="V93" s="81"/>
      <c r="W93" s="81"/>
      <c r="X93" s="81"/>
      <c r="Y93" s="75" t="str">
        <f>IFERROR(INDEX(PARAMETRES!$B$536:$B$586,MATCH(X93,PARAMETRES!$J$536:$J$586,0)),"")</f>
        <v/>
      </c>
      <c r="Z93" s="75" t="str">
        <f>IFERROR(INDEX(PARAMETRES!$D$536:$D$586,MATCH(X93,PARAMETRES!$J$536:$J$586,0)),"")</f>
        <v/>
      </c>
      <c r="AA93" s="75" t="str">
        <f>IFERROR(INDEX(PARAMETRES!$F$536:$F$586,MATCH(X93,PARAMETRES!$J$536:$J$586,0)),"")</f>
        <v/>
      </c>
      <c r="AB93" s="81"/>
      <c r="AC93" s="82"/>
      <c r="AD93" s="81"/>
      <c r="AE93" s="82"/>
      <c r="AF93" s="82"/>
      <c r="AG93" s="81"/>
      <c r="AH93" s="81"/>
      <c r="AI93" s="75">
        <f>IF(A93="",0,COUNTIF(tbl_Donateurs_Opportunites[ID Donateur],A93))</f>
        <v>0</v>
      </c>
      <c r="AJ93" s="75">
        <f>IF(A93="",0,COUNTIFS(tbl_Donateurs_Opportunites[ID Donateur],A93,tbl_Donateurs_Opportunites[Statut],"Ouverte"))</f>
        <v>0</v>
      </c>
      <c r="AK93" s="75">
        <f>IF(A93="",0,COUNTIF(tbl_Donateurs_Demandes[ID Donateur],A93))</f>
        <v>0</v>
      </c>
      <c r="AL93" s="75">
        <f>IF(A93="",0,COUNTIFS(tbl_Donateurs_Demandes[ID Donateur],A93,tbl_Donateurs_Demandes[Statut],"Approuvee")+COUNTIFS(tbl_Donateurs_Demandes[ID Donateur],A93,tbl_Donateurs_Demandes[Statut],"Financement recu"))</f>
        <v>0</v>
      </c>
      <c r="AM93" s="76">
        <f>IF(A93="",0,SUMIF(tbl_Donateurs_Demandes[ID Donateur],A93,tbl_Donateurs_Demandes[Montant demande]))</f>
        <v>0</v>
      </c>
      <c r="AN93" s="76">
        <f>IF(A93="",0,SUMIF(tbl_Donateurs_Demandes[ID Donateur],A93,tbl_Donateurs_Demandes[Montant accorde]))</f>
        <v>0</v>
      </c>
      <c r="AO93" s="76">
        <f>IF(A93="",0,SUMIF(tbl_Donateurs_Decaissements[ID Donateur],A93,tbl_Donateurs_Decaissements[Montant recu]))</f>
        <v>0</v>
      </c>
      <c r="AP93" s="77" t="str">
        <f t="shared" si="6"/>
        <v/>
      </c>
      <c r="AQ93" s="75">
        <f>IF(A93="",0,COUNTIF(tbl_Donateurs_Contacts[ID Donateur],A93))</f>
        <v>0</v>
      </c>
      <c r="AR93" s="75">
        <f>IF(A93="",0,COUNTIF(tbl_Donateurs_Documents[ID Donateur],A93))</f>
        <v>0</v>
      </c>
      <c r="AS93" s="75">
        <f>IF(A93="",0,COUNTIF(tbl_Donateurs_Conventions[ID Donateur],A93))</f>
        <v>0</v>
      </c>
      <c r="AT93" s="83" t="str">
        <f ca="1">IFERROR(_xlfn.MAXIFS(tbl_Donateurs_Decaissements[Date recue],tbl_Donateurs_Decaissements[ID Donateur],A93),"")</f>
        <v/>
      </c>
      <c r="AU93" s="76" t="str">
        <f t="shared" si="9"/>
        <v/>
      </c>
      <c r="AV93" s="75" t="str">
        <f t="shared" ca="1" si="7"/>
        <v/>
      </c>
      <c r="AW93" s="75" t="str">
        <f t="shared" si="8"/>
        <v/>
      </c>
      <c r="AX93" s="81"/>
    </row>
    <row r="94" spans="1:50" ht="15" customHeight="1">
      <c r="A94" s="75" t="str">
        <f t="shared" si="5"/>
        <v/>
      </c>
      <c r="B94" s="81"/>
      <c r="C94" s="81"/>
      <c r="D94" s="81"/>
      <c r="E94" s="81"/>
      <c r="F94" s="81"/>
      <c r="G94" s="81"/>
      <c r="H94" s="81"/>
      <c r="I94" s="81"/>
      <c r="J94" s="81"/>
      <c r="K94" s="81"/>
      <c r="L94" s="81"/>
      <c r="M94" s="81"/>
      <c r="N94" s="81"/>
      <c r="O94" s="81"/>
      <c r="P94" s="81"/>
      <c r="Q94" s="81"/>
      <c r="R94" s="81"/>
      <c r="S94" s="81"/>
      <c r="T94" s="81"/>
      <c r="U94" s="81"/>
      <c r="V94" s="81"/>
      <c r="W94" s="81"/>
      <c r="X94" s="81"/>
      <c r="Y94" s="75" t="str">
        <f>IFERROR(INDEX(PARAMETRES!$B$536:$B$586,MATCH(X94,PARAMETRES!$J$536:$J$586,0)),"")</f>
        <v/>
      </c>
      <c r="Z94" s="75" t="str">
        <f>IFERROR(INDEX(PARAMETRES!$D$536:$D$586,MATCH(X94,PARAMETRES!$J$536:$J$586,0)),"")</f>
        <v/>
      </c>
      <c r="AA94" s="75" t="str">
        <f>IFERROR(INDEX(PARAMETRES!$F$536:$F$586,MATCH(X94,PARAMETRES!$J$536:$J$586,0)),"")</f>
        <v/>
      </c>
      <c r="AB94" s="81"/>
      <c r="AC94" s="82"/>
      <c r="AD94" s="81"/>
      <c r="AE94" s="82"/>
      <c r="AF94" s="82"/>
      <c r="AG94" s="81"/>
      <c r="AH94" s="81"/>
      <c r="AI94" s="75">
        <f>IF(A94="",0,COUNTIF(tbl_Donateurs_Opportunites[ID Donateur],A94))</f>
        <v>0</v>
      </c>
      <c r="AJ94" s="75">
        <f>IF(A94="",0,COUNTIFS(tbl_Donateurs_Opportunites[ID Donateur],A94,tbl_Donateurs_Opportunites[Statut],"Ouverte"))</f>
        <v>0</v>
      </c>
      <c r="AK94" s="75">
        <f>IF(A94="",0,COUNTIF(tbl_Donateurs_Demandes[ID Donateur],A94))</f>
        <v>0</v>
      </c>
      <c r="AL94" s="75">
        <f>IF(A94="",0,COUNTIFS(tbl_Donateurs_Demandes[ID Donateur],A94,tbl_Donateurs_Demandes[Statut],"Approuvee")+COUNTIFS(tbl_Donateurs_Demandes[ID Donateur],A94,tbl_Donateurs_Demandes[Statut],"Financement recu"))</f>
        <v>0</v>
      </c>
      <c r="AM94" s="76">
        <f>IF(A94="",0,SUMIF(tbl_Donateurs_Demandes[ID Donateur],A94,tbl_Donateurs_Demandes[Montant demande]))</f>
        <v>0</v>
      </c>
      <c r="AN94" s="76">
        <f>IF(A94="",0,SUMIF(tbl_Donateurs_Demandes[ID Donateur],A94,tbl_Donateurs_Demandes[Montant accorde]))</f>
        <v>0</v>
      </c>
      <c r="AO94" s="76">
        <f>IF(A94="",0,SUMIF(tbl_Donateurs_Decaissements[ID Donateur],A94,tbl_Donateurs_Decaissements[Montant recu]))</f>
        <v>0</v>
      </c>
      <c r="AP94" s="77" t="str">
        <f t="shared" si="6"/>
        <v/>
      </c>
      <c r="AQ94" s="75">
        <f>IF(A94="",0,COUNTIF(tbl_Donateurs_Contacts[ID Donateur],A94))</f>
        <v>0</v>
      </c>
      <c r="AR94" s="75">
        <f>IF(A94="",0,COUNTIF(tbl_Donateurs_Documents[ID Donateur],A94))</f>
        <v>0</v>
      </c>
      <c r="AS94" s="75">
        <f>IF(A94="",0,COUNTIF(tbl_Donateurs_Conventions[ID Donateur],A94))</f>
        <v>0</v>
      </c>
      <c r="AT94" s="83" t="str">
        <f ca="1">IFERROR(_xlfn.MAXIFS(tbl_Donateurs_Decaissements[Date recue],tbl_Donateurs_Decaissements[ID Donateur],A94),"")</f>
        <v/>
      </c>
      <c r="AU94" s="76" t="str">
        <f t="shared" si="9"/>
        <v/>
      </c>
      <c r="AV94" s="75" t="str">
        <f t="shared" ca="1" si="7"/>
        <v/>
      </c>
      <c r="AW94" s="75" t="str">
        <f t="shared" si="8"/>
        <v/>
      </c>
      <c r="AX94" s="81"/>
    </row>
    <row r="95" spans="1:50" ht="15" customHeight="1">
      <c r="A95" s="75" t="str">
        <f t="shared" si="5"/>
        <v/>
      </c>
      <c r="B95" s="81"/>
      <c r="C95" s="81"/>
      <c r="D95" s="81"/>
      <c r="E95" s="81"/>
      <c r="F95" s="81"/>
      <c r="G95" s="81"/>
      <c r="H95" s="81"/>
      <c r="I95" s="81"/>
      <c r="J95" s="81"/>
      <c r="K95" s="81"/>
      <c r="L95" s="81"/>
      <c r="M95" s="81"/>
      <c r="N95" s="81"/>
      <c r="O95" s="81"/>
      <c r="P95" s="81"/>
      <c r="Q95" s="81"/>
      <c r="R95" s="81"/>
      <c r="S95" s="81"/>
      <c r="T95" s="81"/>
      <c r="U95" s="81"/>
      <c r="V95" s="81"/>
      <c r="W95" s="81"/>
      <c r="X95" s="81"/>
      <c r="Y95" s="75" t="str">
        <f>IFERROR(INDEX(PARAMETRES!$B$536:$B$586,MATCH(X95,PARAMETRES!$J$536:$J$586,0)),"")</f>
        <v/>
      </c>
      <c r="Z95" s="75" t="str">
        <f>IFERROR(INDEX(PARAMETRES!$D$536:$D$586,MATCH(X95,PARAMETRES!$J$536:$J$586,0)),"")</f>
        <v/>
      </c>
      <c r="AA95" s="75" t="str">
        <f>IFERROR(INDEX(PARAMETRES!$F$536:$F$586,MATCH(X95,PARAMETRES!$J$536:$J$586,0)),"")</f>
        <v/>
      </c>
      <c r="AB95" s="81"/>
      <c r="AC95" s="82"/>
      <c r="AD95" s="81"/>
      <c r="AE95" s="82"/>
      <c r="AF95" s="82"/>
      <c r="AG95" s="81"/>
      <c r="AH95" s="81"/>
      <c r="AI95" s="75">
        <f>IF(A95="",0,COUNTIF(tbl_Donateurs_Opportunites[ID Donateur],A95))</f>
        <v>0</v>
      </c>
      <c r="AJ95" s="75">
        <f>IF(A95="",0,COUNTIFS(tbl_Donateurs_Opportunites[ID Donateur],A95,tbl_Donateurs_Opportunites[Statut],"Ouverte"))</f>
        <v>0</v>
      </c>
      <c r="AK95" s="75">
        <f>IF(A95="",0,COUNTIF(tbl_Donateurs_Demandes[ID Donateur],A95))</f>
        <v>0</v>
      </c>
      <c r="AL95" s="75">
        <f>IF(A95="",0,COUNTIFS(tbl_Donateurs_Demandes[ID Donateur],A95,tbl_Donateurs_Demandes[Statut],"Approuvee")+COUNTIFS(tbl_Donateurs_Demandes[ID Donateur],A95,tbl_Donateurs_Demandes[Statut],"Financement recu"))</f>
        <v>0</v>
      </c>
      <c r="AM95" s="76">
        <f>IF(A95="",0,SUMIF(tbl_Donateurs_Demandes[ID Donateur],A95,tbl_Donateurs_Demandes[Montant demande]))</f>
        <v>0</v>
      </c>
      <c r="AN95" s="76">
        <f>IF(A95="",0,SUMIF(tbl_Donateurs_Demandes[ID Donateur],A95,tbl_Donateurs_Demandes[Montant accorde]))</f>
        <v>0</v>
      </c>
      <c r="AO95" s="76">
        <f>IF(A95="",0,SUMIF(tbl_Donateurs_Decaissements[ID Donateur],A95,tbl_Donateurs_Decaissements[Montant recu]))</f>
        <v>0</v>
      </c>
      <c r="AP95" s="77" t="str">
        <f t="shared" si="6"/>
        <v/>
      </c>
      <c r="AQ95" s="75">
        <f>IF(A95="",0,COUNTIF(tbl_Donateurs_Contacts[ID Donateur],A95))</f>
        <v>0</v>
      </c>
      <c r="AR95" s="75">
        <f>IF(A95="",0,COUNTIF(tbl_Donateurs_Documents[ID Donateur],A95))</f>
        <v>0</v>
      </c>
      <c r="AS95" s="75">
        <f>IF(A95="",0,COUNTIF(tbl_Donateurs_Conventions[ID Donateur],A95))</f>
        <v>0</v>
      </c>
      <c r="AT95" s="83" t="str">
        <f ca="1">IFERROR(_xlfn.MAXIFS(tbl_Donateurs_Decaissements[Date recue],tbl_Donateurs_Decaissements[ID Donateur],A95),"")</f>
        <v/>
      </c>
      <c r="AU95" s="76" t="str">
        <f t="shared" si="9"/>
        <v/>
      </c>
      <c r="AV95" s="75" t="str">
        <f t="shared" ca="1" si="7"/>
        <v/>
      </c>
      <c r="AW95" s="75" t="str">
        <f t="shared" si="8"/>
        <v/>
      </c>
      <c r="AX95" s="81"/>
    </row>
    <row r="96" spans="1:50" ht="15" customHeight="1">
      <c r="A96" s="75" t="str">
        <f t="shared" si="5"/>
        <v/>
      </c>
      <c r="B96" s="81"/>
      <c r="C96" s="81"/>
      <c r="D96" s="81"/>
      <c r="E96" s="81"/>
      <c r="F96" s="81"/>
      <c r="G96" s="81"/>
      <c r="H96" s="81"/>
      <c r="I96" s="81"/>
      <c r="J96" s="81"/>
      <c r="K96" s="81"/>
      <c r="L96" s="81"/>
      <c r="M96" s="81"/>
      <c r="N96" s="81"/>
      <c r="O96" s="81"/>
      <c r="P96" s="81"/>
      <c r="Q96" s="81"/>
      <c r="R96" s="81"/>
      <c r="S96" s="81"/>
      <c r="T96" s="81"/>
      <c r="U96" s="81"/>
      <c r="V96" s="81"/>
      <c r="W96" s="81"/>
      <c r="X96" s="81"/>
      <c r="Y96" s="75" t="str">
        <f>IFERROR(INDEX(PARAMETRES!$B$536:$B$586,MATCH(X96,PARAMETRES!$J$536:$J$586,0)),"")</f>
        <v/>
      </c>
      <c r="Z96" s="75" t="str">
        <f>IFERROR(INDEX(PARAMETRES!$D$536:$D$586,MATCH(X96,PARAMETRES!$J$536:$J$586,0)),"")</f>
        <v/>
      </c>
      <c r="AA96" s="75" t="str">
        <f>IFERROR(INDEX(PARAMETRES!$F$536:$F$586,MATCH(X96,PARAMETRES!$J$536:$J$586,0)),"")</f>
        <v/>
      </c>
      <c r="AB96" s="81"/>
      <c r="AC96" s="82"/>
      <c r="AD96" s="81"/>
      <c r="AE96" s="82"/>
      <c r="AF96" s="82"/>
      <c r="AG96" s="81"/>
      <c r="AH96" s="81"/>
      <c r="AI96" s="75">
        <f>IF(A96="",0,COUNTIF(tbl_Donateurs_Opportunites[ID Donateur],A96))</f>
        <v>0</v>
      </c>
      <c r="AJ96" s="75">
        <f>IF(A96="",0,COUNTIFS(tbl_Donateurs_Opportunites[ID Donateur],A96,tbl_Donateurs_Opportunites[Statut],"Ouverte"))</f>
        <v>0</v>
      </c>
      <c r="AK96" s="75">
        <f>IF(A96="",0,COUNTIF(tbl_Donateurs_Demandes[ID Donateur],A96))</f>
        <v>0</v>
      </c>
      <c r="AL96" s="75">
        <f>IF(A96="",0,COUNTIFS(tbl_Donateurs_Demandes[ID Donateur],A96,tbl_Donateurs_Demandes[Statut],"Approuvee")+COUNTIFS(tbl_Donateurs_Demandes[ID Donateur],A96,tbl_Donateurs_Demandes[Statut],"Financement recu"))</f>
        <v>0</v>
      </c>
      <c r="AM96" s="76">
        <f>IF(A96="",0,SUMIF(tbl_Donateurs_Demandes[ID Donateur],A96,tbl_Donateurs_Demandes[Montant demande]))</f>
        <v>0</v>
      </c>
      <c r="AN96" s="76">
        <f>IF(A96="",0,SUMIF(tbl_Donateurs_Demandes[ID Donateur],A96,tbl_Donateurs_Demandes[Montant accorde]))</f>
        <v>0</v>
      </c>
      <c r="AO96" s="76">
        <f>IF(A96="",0,SUMIF(tbl_Donateurs_Decaissements[ID Donateur],A96,tbl_Donateurs_Decaissements[Montant recu]))</f>
        <v>0</v>
      </c>
      <c r="AP96" s="77" t="str">
        <f t="shared" si="6"/>
        <v/>
      </c>
      <c r="AQ96" s="75">
        <f>IF(A96="",0,COUNTIF(tbl_Donateurs_Contacts[ID Donateur],A96))</f>
        <v>0</v>
      </c>
      <c r="AR96" s="75">
        <f>IF(A96="",0,COUNTIF(tbl_Donateurs_Documents[ID Donateur],A96))</f>
        <v>0</v>
      </c>
      <c r="AS96" s="75">
        <f>IF(A96="",0,COUNTIF(tbl_Donateurs_Conventions[ID Donateur],A96))</f>
        <v>0</v>
      </c>
      <c r="AT96" s="83" t="str">
        <f ca="1">IFERROR(_xlfn.MAXIFS(tbl_Donateurs_Decaissements[Date recue],tbl_Donateurs_Decaissements[ID Donateur],A96),"")</f>
        <v/>
      </c>
      <c r="AU96" s="76" t="str">
        <f t="shared" si="9"/>
        <v/>
      </c>
      <c r="AV96" s="75" t="str">
        <f t="shared" ca="1" si="7"/>
        <v/>
      </c>
      <c r="AW96" s="75" t="str">
        <f t="shared" si="8"/>
        <v/>
      </c>
      <c r="AX96" s="81"/>
    </row>
    <row r="97" spans="1:50" ht="15" customHeight="1">
      <c r="A97" s="75" t="str">
        <f t="shared" si="5"/>
        <v/>
      </c>
      <c r="B97" s="81"/>
      <c r="C97" s="81"/>
      <c r="D97" s="81"/>
      <c r="E97" s="81"/>
      <c r="F97" s="81"/>
      <c r="G97" s="81"/>
      <c r="H97" s="81"/>
      <c r="I97" s="81"/>
      <c r="J97" s="81"/>
      <c r="K97" s="81"/>
      <c r="L97" s="81"/>
      <c r="M97" s="81"/>
      <c r="N97" s="81"/>
      <c r="O97" s="81"/>
      <c r="P97" s="81"/>
      <c r="Q97" s="81"/>
      <c r="R97" s="81"/>
      <c r="S97" s="81"/>
      <c r="T97" s="81"/>
      <c r="U97" s="81"/>
      <c r="V97" s="81"/>
      <c r="W97" s="81"/>
      <c r="X97" s="81"/>
      <c r="Y97" s="75" t="str">
        <f>IFERROR(INDEX(PARAMETRES!$B$536:$B$586,MATCH(X97,PARAMETRES!$J$536:$J$586,0)),"")</f>
        <v/>
      </c>
      <c r="Z97" s="75" t="str">
        <f>IFERROR(INDEX(PARAMETRES!$D$536:$D$586,MATCH(X97,PARAMETRES!$J$536:$J$586,0)),"")</f>
        <v/>
      </c>
      <c r="AA97" s="75" t="str">
        <f>IFERROR(INDEX(PARAMETRES!$F$536:$F$586,MATCH(X97,PARAMETRES!$J$536:$J$586,0)),"")</f>
        <v/>
      </c>
      <c r="AB97" s="81"/>
      <c r="AC97" s="82"/>
      <c r="AD97" s="81"/>
      <c r="AE97" s="82"/>
      <c r="AF97" s="82"/>
      <c r="AG97" s="81"/>
      <c r="AH97" s="81"/>
      <c r="AI97" s="75">
        <f>IF(A97="",0,COUNTIF(tbl_Donateurs_Opportunites[ID Donateur],A97))</f>
        <v>0</v>
      </c>
      <c r="AJ97" s="75">
        <f>IF(A97="",0,COUNTIFS(tbl_Donateurs_Opportunites[ID Donateur],A97,tbl_Donateurs_Opportunites[Statut],"Ouverte"))</f>
        <v>0</v>
      </c>
      <c r="AK97" s="75">
        <f>IF(A97="",0,COUNTIF(tbl_Donateurs_Demandes[ID Donateur],A97))</f>
        <v>0</v>
      </c>
      <c r="AL97" s="75">
        <f>IF(A97="",0,COUNTIFS(tbl_Donateurs_Demandes[ID Donateur],A97,tbl_Donateurs_Demandes[Statut],"Approuvee")+COUNTIFS(tbl_Donateurs_Demandes[ID Donateur],A97,tbl_Donateurs_Demandes[Statut],"Financement recu"))</f>
        <v>0</v>
      </c>
      <c r="AM97" s="76">
        <f>IF(A97="",0,SUMIF(tbl_Donateurs_Demandes[ID Donateur],A97,tbl_Donateurs_Demandes[Montant demande]))</f>
        <v>0</v>
      </c>
      <c r="AN97" s="76">
        <f>IF(A97="",0,SUMIF(tbl_Donateurs_Demandes[ID Donateur],A97,tbl_Donateurs_Demandes[Montant accorde]))</f>
        <v>0</v>
      </c>
      <c r="AO97" s="76">
        <f>IF(A97="",0,SUMIF(tbl_Donateurs_Decaissements[ID Donateur],A97,tbl_Donateurs_Decaissements[Montant recu]))</f>
        <v>0</v>
      </c>
      <c r="AP97" s="77" t="str">
        <f t="shared" si="6"/>
        <v/>
      </c>
      <c r="AQ97" s="75">
        <f>IF(A97="",0,COUNTIF(tbl_Donateurs_Contacts[ID Donateur],A97))</f>
        <v>0</v>
      </c>
      <c r="AR97" s="75">
        <f>IF(A97="",0,COUNTIF(tbl_Donateurs_Documents[ID Donateur],A97))</f>
        <v>0</v>
      </c>
      <c r="AS97" s="75">
        <f>IF(A97="",0,COUNTIF(tbl_Donateurs_Conventions[ID Donateur],A97))</f>
        <v>0</v>
      </c>
      <c r="AT97" s="83" t="str">
        <f ca="1">IFERROR(_xlfn.MAXIFS(tbl_Donateurs_Decaissements[Date recue],tbl_Donateurs_Decaissements[ID Donateur],A97),"")</f>
        <v/>
      </c>
      <c r="AU97" s="76" t="str">
        <f t="shared" si="9"/>
        <v/>
      </c>
      <c r="AV97" s="75" t="str">
        <f t="shared" ca="1" si="7"/>
        <v/>
      </c>
      <c r="AW97" s="75" t="str">
        <f t="shared" si="8"/>
        <v/>
      </c>
      <c r="AX97" s="81"/>
    </row>
    <row r="98" spans="1:50" ht="15" customHeight="1">
      <c r="A98" s="75" t="str">
        <f t="shared" si="5"/>
        <v/>
      </c>
      <c r="B98" s="81"/>
      <c r="C98" s="81"/>
      <c r="D98" s="81"/>
      <c r="E98" s="81"/>
      <c r="F98" s="81"/>
      <c r="G98" s="81"/>
      <c r="H98" s="81"/>
      <c r="I98" s="81"/>
      <c r="J98" s="81"/>
      <c r="K98" s="81"/>
      <c r="L98" s="81"/>
      <c r="M98" s="81"/>
      <c r="N98" s="81"/>
      <c r="O98" s="81"/>
      <c r="P98" s="81"/>
      <c r="Q98" s="81"/>
      <c r="R98" s="81"/>
      <c r="S98" s="81"/>
      <c r="T98" s="81"/>
      <c r="U98" s="81"/>
      <c r="V98" s="81"/>
      <c r="W98" s="81"/>
      <c r="X98" s="81"/>
      <c r="Y98" s="75" t="str">
        <f>IFERROR(INDEX(PARAMETRES!$B$536:$B$586,MATCH(X98,PARAMETRES!$J$536:$J$586,0)),"")</f>
        <v/>
      </c>
      <c r="Z98" s="75" t="str">
        <f>IFERROR(INDEX(PARAMETRES!$D$536:$D$586,MATCH(X98,PARAMETRES!$J$536:$J$586,0)),"")</f>
        <v/>
      </c>
      <c r="AA98" s="75" t="str">
        <f>IFERROR(INDEX(PARAMETRES!$F$536:$F$586,MATCH(X98,PARAMETRES!$J$536:$J$586,0)),"")</f>
        <v/>
      </c>
      <c r="AB98" s="81"/>
      <c r="AC98" s="82"/>
      <c r="AD98" s="81"/>
      <c r="AE98" s="82"/>
      <c r="AF98" s="82"/>
      <c r="AG98" s="81"/>
      <c r="AH98" s="81"/>
      <c r="AI98" s="75">
        <f>IF(A98="",0,COUNTIF(tbl_Donateurs_Opportunites[ID Donateur],A98))</f>
        <v>0</v>
      </c>
      <c r="AJ98" s="75">
        <f>IF(A98="",0,COUNTIFS(tbl_Donateurs_Opportunites[ID Donateur],A98,tbl_Donateurs_Opportunites[Statut],"Ouverte"))</f>
        <v>0</v>
      </c>
      <c r="AK98" s="75">
        <f>IF(A98="",0,COUNTIF(tbl_Donateurs_Demandes[ID Donateur],A98))</f>
        <v>0</v>
      </c>
      <c r="AL98" s="75">
        <f>IF(A98="",0,COUNTIFS(tbl_Donateurs_Demandes[ID Donateur],A98,tbl_Donateurs_Demandes[Statut],"Approuvee")+COUNTIFS(tbl_Donateurs_Demandes[ID Donateur],A98,tbl_Donateurs_Demandes[Statut],"Financement recu"))</f>
        <v>0</v>
      </c>
      <c r="AM98" s="76">
        <f>IF(A98="",0,SUMIF(tbl_Donateurs_Demandes[ID Donateur],A98,tbl_Donateurs_Demandes[Montant demande]))</f>
        <v>0</v>
      </c>
      <c r="AN98" s="76">
        <f>IF(A98="",0,SUMIF(tbl_Donateurs_Demandes[ID Donateur],A98,tbl_Donateurs_Demandes[Montant accorde]))</f>
        <v>0</v>
      </c>
      <c r="AO98" s="76">
        <f>IF(A98="",0,SUMIF(tbl_Donateurs_Decaissements[ID Donateur],A98,tbl_Donateurs_Decaissements[Montant recu]))</f>
        <v>0</v>
      </c>
      <c r="AP98" s="77" t="str">
        <f t="shared" si="6"/>
        <v/>
      </c>
      <c r="AQ98" s="75">
        <f>IF(A98="",0,COUNTIF(tbl_Donateurs_Contacts[ID Donateur],A98))</f>
        <v>0</v>
      </c>
      <c r="AR98" s="75">
        <f>IF(A98="",0,COUNTIF(tbl_Donateurs_Documents[ID Donateur],A98))</f>
        <v>0</v>
      </c>
      <c r="AS98" s="75">
        <f>IF(A98="",0,COUNTIF(tbl_Donateurs_Conventions[ID Donateur],A98))</f>
        <v>0</v>
      </c>
      <c r="AT98" s="83" t="str">
        <f ca="1">IFERROR(_xlfn.MAXIFS(tbl_Donateurs_Decaissements[Date recue],tbl_Donateurs_Decaissements[ID Donateur],A98),"")</f>
        <v/>
      </c>
      <c r="AU98" s="76" t="str">
        <f t="shared" si="9"/>
        <v/>
      </c>
      <c r="AV98" s="75" t="str">
        <f t="shared" ca="1" si="7"/>
        <v/>
      </c>
      <c r="AW98" s="75" t="str">
        <f t="shared" si="8"/>
        <v/>
      </c>
      <c r="AX98" s="81"/>
    </row>
    <row r="99" spans="1:50" ht="15" customHeight="1">
      <c r="A99" s="75" t="str">
        <f t="shared" si="5"/>
        <v/>
      </c>
      <c r="B99" s="81"/>
      <c r="C99" s="81"/>
      <c r="D99" s="81"/>
      <c r="E99" s="81"/>
      <c r="F99" s="81"/>
      <c r="G99" s="81"/>
      <c r="H99" s="81"/>
      <c r="I99" s="81"/>
      <c r="J99" s="81"/>
      <c r="K99" s="81"/>
      <c r="L99" s="81"/>
      <c r="M99" s="81"/>
      <c r="N99" s="81"/>
      <c r="O99" s="81"/>
      <c r="P99" s="81"/>
      <c r="Q99" s="81"/>
      <c r="R99" s="81"/>
      <c r="S99" s="81"/>
      <c r="T99" s="81"/>
      <c r="U99" s="81"/>
      <c r="V99" s="81"/>
      <c r="W99" s="81"/>
      <c r="X99" s="81"/>
      <c r="Y99" s="75" t="str">
        <f>IFERROR(INDEX(PARAMETRES!$B$536:$B$586,MATCH(X99,PARAMETRES!$J$536:$J$586,0)),"")</f>
        <v/>
      </c>
      <c r="Z99" s="75" t="str">
        <f>IFERROR(INDEX(PARAMETRES!$D$536:$D$586,MATCH(X99,PARAMETRES!$J$536:$J$586,0)),"")</f>
        <v/>
      </c>
      <c r="AA99" s="75" t="str">
        <f>IFERROR(INDEX(PARAMETRES!$F$536:$F$586,MATCH(X99,PARAMETRES!$J$536:$J$586,0)),"")</f>
        <v/>
      </c>
      <c r="AB99" s="81"/>
      <c r="AC99" s="82"/>
      <c r="AD99" s="81"/>
      <c r="AE99" s="82"/>
      <c r="AF99" s="82"/>
      <c r="AG99" s="81"/>
      <c r="AH99" s="81"/>
      <c r="AI99" s="75">
        <f>IF(A99="",0,COUNTIF(tbl_Donateurs_Opportunites[ID Donateur],A99))</f>
        <v>0</v>
      </c>
      <c r="AJ99" s="75">
        <f>IF(A99="",0,COUNTIFS(tbl_Donateurs_Opportunites[ID Donateur],A99,tbl_Donateurs_Opportunites[Statut],"Ouverte"))</f>
        <v>0</v>
      </c>
      <c r="AK99" s="75">
        <f>IF(A99="",0,COUNTIF(tbl_Donateurs_Demandes[ID Donateur],A99))</f>
        <v>0</v>
      </c>
      <c r="AL99" s="75">
        <f>IF(A99="",0,COUNTIFS(tbl_Donateurs_Demandes[ID Donateur],A99,tbl_Donateurs_Demandes[Statut],"Approuvee")+COUNTIFS(tbl_Donateurs_Demandes[ID Donateur],A99,tbl_Donateurs_Demandes[Statut],"Financement recu"))</f>
        <v>0</v>
      </c>
      <c r="AM99" s="76">
        <f>IF(A99="",0,SUMIF(tbl_Donateurs_Demandes[ID Donateur],A99,tbl_Donateurs_Demandes[Montant demande]))</f>
        <v>0</v>
      </c>
      <c r="AN99" s="76">
        <f>IF(A99="",0,SUMIF(tbl_Donateurs_Demandes[ID Donateur],A99,tbl_Donateurs_Demandes[Montant accorde]))</f>
        <v>0</v>
      </c>
      <c r="AO99" s="76">
        <f>IF(A99="",0,SUMIF(tbl_Donateurs_Decaissements[ID Donateur],A99,tbl_Donateurs_Decaissements[Montant recu]))</f>
        <v>0</v>
      </c>
      <c r="AP99" s="77" t="str">
        <f t="shared" si="6"/>
        <v/>
      </c>
      <c r="AQ99" s="75">
        <f>IF(A99="",0,COUNTIF(tbl_Donateurs_Contacts[ID Donateur],A99))</f>
        <v>0</v>
      </c>
      <c r="AR99" s="75">
        <f>IF(A99="",0,COUNTIF(tbl_Donateurs_Documents[ID Donateur],A99))</f>
        <v>0</v>
      </c>
      <c r="AS99" s="75">
        <f>IF(A99="",0,COUNTIF(tbl_Donateurs_Conventions[ID Donateur],A99))</f>
        <v>0</v>
      </c>
      <c r="AT99" s="83" t="str">
        <f ca="1">IFERROR(_xlfn.MAXIFS(tbl_Donateurs_Decaissements[Date recue],tbl_Donateurs_Decaissements[ID Donateur],A99),"")</f>
        <v/>
      </c>
      <c r="AU99" s="76" t="str">
        <f t="shared" si="9"/>
        <v/>
      </c>
      <c r="AV99" s="75" t="str">
        <f t="shared" ca="1" si="7"/>
        <v/>
      </c>
      <c r="AW99" s="75" t="str">
        <f t="shared" si="8"/>
        <v/>
      </c>
      <c r="AX99" s="81"/>
    </row>
    <row r="100" spans="1:50" ht="15" customHeight="1">
      <c r="A100" s="75" t="str">
        <f t="shared" si="5"/>
        <v/>
      </c>
      <c r="B100" s="81"/>
      <c r="C100" s="81"/>
      <c r="D100" s="81"/>
      <c r="E100" s="81"/>
      <c r="F100" s="81"/>
      <c r="G100" s="81"/>
      <c r="H100" s="81"/>
      <c r="I100" s="81"/>
      <c r="J100" s="81"/>
      <c r="K100" s="81"/>
      <c r="L100" s="81"/>
      <c r="M100" s="81"/>
      <c r="N100" s="81"/>
      <c r="O100" s="81"/>
      <c r="P100" s="81"/>
      <c r="Q100" s="81"/>
      <c r="R100" s="81"/>
      <c r="S100" s="81"/>
      <c r="T100" s="81"/>
      <c r="U100" s="81"/>
      <c r="V100" s="81"/>
      <c r="W100" s="81"/>
      <c r="X100" s="81"/>
      <c r="Y100" s="75" t="str">
        <f>IFERROR(INDEX(PARAMETRES!$B$536:$B$586,MATCH(X100,PARAMETRES!$J$536:$J$586,0)),"")</f>
        <v/>
      </c>
      <c r="Z100" s="75" t="str">
        <f>IFERROR(INDEX(PARAMETRES!$D$536:$D$586,MATCH(X100,PARAMETRES!$J$536:$J$586,0)),"")</f>
        <v/>
      </c>
      <c r="AA100" s="75" t="str">
        <f>IFERROR(INDEX(PARAMETRES!$F$536:$F$586,MATCH(X100,PARAMETRES!$J$536:$J$586,0)),"")</f>
        <v/>
      </c>
      <c r="AB100" s="81"/>
      <c r="AC100" s="82"/>
      <c r="AD100" s="81"/>
      <c r="AE100" s="82"/>
      <c r="AF100" s="82"/>
      <c r="AG100" s="81"/>
      <c r="AH100" s="81"/>
      <c r="AI100" s="75">
        <f>IF(A100="",0,COUNTIF(tbl_Donateurs_Opportunites[ID Donateur],A100))</f>
        <v>0</v>
      </c>
      <c r="AJ100" s="75">
        <f>IF(A100="",0,COUNTIFS(tbl_Donateurs_Opportunites[ID Donateur],A100,tbl_Donateurs_Opportunites[Statut],"Ouverte"))</f>
        <v>0</v>
      </c>
      <c r="AK100" s="75">
        <f>IF(A100="",0,COUNTIF(tbl_Donateurs_Demandes[ID Donateur],A100))</f>
        <v>0</v>
      </c>
      <c r="AL100" s="75">
        <f>IF(A100="",0,COUNTIFS(tbl_Donateurs_Demandes[ID Donateur],A100,tbl_Donateurs_Demandes[Statut],"Approuvee")+COUNTIFS(tbl_Donateurs_Demandes[ID Donateur],A100,tbl_Donateurs_Demandes[Statut],"Financement recu"))</f>
        <v>0</v>
      </c>
      <c r="AM100" s="76">
        <f>IF(A100="",0,SUMIF(tbl_Donateurs_Demandes[ID Donateur],A100,tbl_Donateurs_Demandes[Montant demande]))</f>
        <v>0</v>
      </c>
      <c r="AN100" s="76">
        <f>IF(A100="",0,SUMIF(tbl_Donateurs_Demandes[ID Donateur],A100,tbl_Donateurs_Demandes[Montant accorde]))</f>
        <v>0</v>
      </c>
      <c r="AO100" s="76">
        <f>IF(A100="",0,SUMIF(tbl_Donateurs_Decaissements[ID Donateur],A100,tbl_Donateurs_Decaissements[Montant recu]))</f>
        <v>0</v>
      </c>
      <c r="AP100" s="77" t="str">
        <f t="shared" si="6"/>
        <v/>
      </c>
      <c r="AQ100" s="75">
        <f>IF(A100="",0,COUNTIF(tbl_Donateurs_Contacts[ID Donateur],A100))</f>
        <v>0</v>
      </c>
      <c r="AR100" s="75">
        <f>IF(A100="",0,COUNTIF(tbl_Donateurs_Documents[ID Donateur],A100))</f>
        <v>0</v>
      </c>
      <c r="AS100" s="75">
        <f>IF(A100="",0,COUNTIF(tbl_Donateurs_Conventions[ID Donateur],A100))</f>
        <v>0</v>
      </c>
      <c r="AT100" s="83" t="str">
        <f ca="1">IFERROR(_xlfn.MAXIFS(tbl_Donateurs_Decaissements[Date recue],tbl_Donateurs_Decaissements[ID Donateur],A100),"")</f>
        <v/>
      </c>
      <c r="AU100" s="76" t="str">
        <f t="shared" si="9"/>
        <v/>
      </c>
      <c r="AV100" s="75" t="str">
        <f t="shared" ca="1" si="7"/>
        <v/>
      </c>
      <c r="AW100" s="75" t="str">
        <f t="shared" si="8"/>
        <v/>
      </c>
      <c r="AX100" s="81"/>
    </row>
    <row r="101" spans="1:50" ht="15" customHeight="1">
      <c r="A101" s="75" t="str">
        <f t="shared" si="5"/>
        <v/>
      </c>
      <c r="B101" s="81"/>
      <c r="C101" s="81"/>
      <c r="D101" s="81"/>
      <c r="E101" s="81"/>
      <c r="F101" s="81"/>
      <c r="G101" s="81"/>
      <c r="H101" s="81"/>
      <c r="I101" s="81"/>
      <c r="J101" s="81"/>
      <c r="K101" s="81"/>
      <c r="L101" s="81"/>
      <c r="M101" s="81"/>
      <c r="N101" s="81"/>
      <c r="O101" s="81"/>
      <c r="P101" s="81"/>
      <c r="Q101" s="81"/>
      <c r="R101" s="81"/>
      <c r="S101" s="81"/>
      <c r="T101" s="81"/>
      <c r="U101" s="81"/>
      <c r="V101" s="81"/>
      <c r="W101" s="81"/>
      <c r="X101" s="81"/>
      <c r="Y101" s="75" t="str">
        <f>IFERROR(INDEX(PARAMETRES!$B$536:$B$586,MATCH(X101,PARAMETRES!$J$536:$J$586,0)),"")</f>
        <v/>
      </c>
      <c r="Z101" s="75" t="str">
        <f>IFERROR(INDEX(PARAMETRES!$D$536:$D$586,MATCH(X101,PARAMETRES!$J$536:$J$586,0)),"")</f>
        <v/>
      </c>
      <c r="AA101" s="75" t="str">
        <f>IFERROR(INDEX(PARAMETRES!$F$536:$F$586,MATCH(X101,PARAMETRES!$J$536:$J$586,0)),"")</f>
        <v/>
      </c>
      <c r="AB101" s="81"/>
      <c r="AC101" s="82"/>
      <c r="AD101" s="81"/>
      <c r="AE101" s="82"/>
      <c r="AF101" s="82"/>
      <c r="AG101" s="81"/>
      <c r="AH101" s="81"/>
      <c r="AI101" s="75">
        <f>IF(A101="",0,COUNTIF(tbl_Donateurs_Opportunites[ID Donateur],A101))</f>
        <v>0</v>
      </c>
      <c r="AJ101" s="75">
        <f>IF(A101="",0,COUNTIFS(tbl_Donateurs_Opportunites[ID Donateur],A101,tbl_Donateurs_Opportunites[Statut],"Ouverte"))</f>
        <v>0</v>
      </c>
      <c r="AK101" s="75">
        <f>IF(A101="",0,COUNTIF(tbl_Donateurs_Demandes[ID Donateur],A101))</f>
        <v>0</v>
      </c>
      <c r="AL101" s="75">
        <f>IF(A101="",0,COUNTIFS(tbl_Donateurs_Demandes[ID Donateur],A101,tbl_Donateurs_Demandes[Statut],"Approuvee")+COUNTIFS(tbl_Donateurs_Demandes[ID Donateur],A101,tbl_Donateurs_Demandes[Statut],"Financement recu"))</f>
        <v>0</v>
      </c>
      <c r="AM101" s="76">
        <f>IF(A101="",0,SUMIF(tbl_Donateurs_Demandes[ID Donateur],A101,tbl_Donateurs_Demandes[Montant demande]))</f>
        <v>0</v>
      </c>
      <c r="AN101" s="76">
        <f>IF(A101="",0,SUMIF(tbl_Donateurs_Demandes[ID Donateur],A101,tbl_Donateurs_Demandes[Montant accorde]))</f>
        <v>0</v>
      </c>
      <c r="AO101" s="76">
        <f>IF(A101="",0,SUMIF(tbl_Donateurs_Decaissements[ID Donateur],A101,tbl_Donateurs_Decaissements[Montant recu]))</f>
        <v>0</v>
      </c>
      <c r="AP101" s="77" t="str">
        <f t="shared" si="6"/>
        <v/>
      </c>
      <c r="AQ101" s="75">
        <f>IF(A101="",0,COUNTIF(tbl_Donateurs_Contacts[ID Donateur],A101))</f>
        <v>0</v>
      </c>
      <c r="AR101" s="75">
        <f>IF(A101="",0,COUNTIF(tbl_Donateurs_Documents[ID Donateur],A101))</f>
        <v>0</v>
      </c>
      <c r="AS101" s="75">
        <f>IF(A101="",0,COUNTIF(tbl_Donateurs_Conventions[ID Donateur],A101))</f>
        <v>0</v>
      </c>
      <c r="AT101" s="83" t="str">
        <f ca="1">IFERROR(_xlfn.MAXIFS(tbl_Donateurs_Decaissements[Date recue],tbl_Donateurs_Decaissements[ID Donateur],A101),"")</f>
        <v/>
      </c>
      <c r="AU101" s="76" t="str">
        <f t="shared" si="9"/>
        <v/>
      </c>
      <c r="AV101" s="75" t="str">
        <f t="shared" ca="1" si="7"/>
        <v/>
      </c>
      <c r="AW101" s="75" t="str">
        <f t="shared" si="8"/>
        <v/>
      </c>
      <c r="AX101" s="81"/>
    </row>
    <row r="102" spans="1:50" ht="15" customHeight="1">
      <c r="A102" s="75" t="str">
        <f t="shared" si="5"/>
        <v/>
      </c>
      <c r="B102" s="81"/>
      <c r="C102" s="81"/>
      <c r="D102" s="81"/>
      <c r="E102" s="81"/>
      <c r="F102" s="81"/>
      <c r="G102" s="81"/>
      <c r="H102" s="81"/>
      <c r="I102" s="81"/>
      <c r="J102" s="81"/>
      <c r="K102" s="81"/>
      <c r="L102" s="81"/>
      <c r="M102" s="81"/>
      <c r="N102" s="81"/>
      <c r="O102" s="81"/>
      <c r="P102" s="81"/>
      <c r="Q102" s="81"/>
      <c r="R102" s="81"/>
      <c r="S102" s="81"/>
      <c r="T102" s="81"/>
      <c r="U102" s="81"/>
      <c r="V102" s="81"/>
      <c r="W102" s="81"/>
      <c r="X102" s="81"/>
      <c r="Y102" s="75" t="str">
        <f>IFERROR(INDEX(PARAMETRES!$B$536:$B$586,MATCH(X102,PARAMETRES!$J$536:$J$586,0)),"")</f>
        <v/>
      </c>
      <c r="Z102" s="75" t="str">
        <f>IFERROR(INDEX(PARAMETRES!$D$536:$D$586,MATCH(X102,PARAMETRES!$J$536:$J$586,0)),"")</f>
        <v/>
      </c>
      <c r="AA102" s="75" t="str">
        <f>IFERROR(INDEX(PARAMETRES!$F$536:$F$586,MATCH(X102,PARAMETRES!$J$536:$J$586,0)),"")</f>
        <v/>
      </c>
      <c r="AB102" s="81"/>
      <c r="AC102" s="82"/>
      <c r="AD102" s="81"/>
      <c r="AE102" s="82"/>
      <c r="AF102" s="82"/>
      <c r="AG102" s="81"/>
      <c r="AH102" s="81"/>
      <c r="AI102" s="75">
        <f>IF(A102="",0,COUNTIF(tbl_Donateurs_Opportunites[ID Donateur],A102))</f>
        <v>0</v>
      </c>
      <c r="AJ102" s="75">
        <f>IF(A102="",0,COUNTIFS(tbl_Donateurs_Opportunites[ID Donateur],A102,tbl_Donateurs_Opportunites[Statut],"Ouverte"))</f>
        <v>0</v>
      </c>
      <c r="AK102" s="75">
        <f>IF(A102="",0,COUNTIF(tbl_Donateurs_Demandes[ID Donateur],A102))</f>
        <v>0</v>
      </c>
      <c r="AL102" s="75">
        <f>IF(A102="",0,COUNTIFS(tbl_Donateurs_Demandes[ID Donateur],A102,tbl_Donateurs_Demandes[Statut],"Approuvee")+COUNTIFS(tbl_Donateurs_Demandes[ID Donateur],A102,tbl_Donateurs_Demandes[Statut],"Financement recu"))</f>
        <v>0</v>
      </c>
      <c r="AM102" s="76">
        <f>IF(A102="",0,SUMIF(tbl_Donateurs_Demandes[ID Donateur],A102,tbl_Donateurs_Demandes[Montant demande]))</f>
        <v>0</v>
      </c>
      <c r="AN102" s="76">
        <f>IF(A102="",0,SUMIF(tbl_Donateurs_Demandes[ID Donateur],A102,tbl_Donateurs_Demandes[Montant accorde]))</f>
        <v>0</v>
      </c>
      <c r="AO102" s="76">
        <f>IF(A102="",0,SUMIF(tbl_Donateurs_Decaissements[ID Donateur],A102,tbl_Donateurs_Decaissements[Montant recu]))</f>
        <v>0</v>
      </c>
      <c r="AP102" s="77" t="str">
        <f t="shared" si="6"/>
        <v/>
      </c>
      <c r="AQ102" s="75">
        <f>IF(A102="",0,COUNTIF(tbl_Donateurs_Contacts[ID Donateur],A102))</f>
        <v>0</v>
      </c>
      <c r="AR102" s="75">
        <f>IF(A102="",0,COUNTIF(tbl_Donateurs_Documents[ID Donateur],A102))</f>
        <v>0</v>
      </c>
      <c r="AS102" s="75">
        <f>IF(A102="",0,COUNTIF(tbl_Donateurs_Conventions[ID Donateur],A102))</f>
        <v>0</v>
      </c>
      <c r="AT102" s="83" t="str">
        <f ca="1">IFERROR(_xlfn.MAXIFS(tbl_Donateurs_Decaissements[Date recue],tbl_Donateurs_Decaissements[ID Donateur],A102),"")</f>
        <v/>
      </c>
      <c r="AU102" s="76" t="str">
        <f t="shared" si="9"/>
        <v/>
      </c>
      <c r="AV102" s="75" t="str">
        <f t="shared" ca="1" si="7"/>
        <v/>
      </c>
      <c r="AW102" s="75" t="str">
        <f t="shared" si="8"/>
        <v/>
      </c>
      <c r="AX102" s="81"/>
    </row>
    <row r="103" spans="1:50" ht="15" customHeight="1">
      <c r="A103" s="75" t="str">
        <f t="shared" si="5"/>
        <v/>
      </c>
      <c r="B103" s="81"/>
      <c r="C103" s="81"/>
      <c r="D103" s="81"/>
      <c r="E103" s="81"/>
      <c r="F103" s="81"/>
      <c r="G103" s="81"/>
      <c r="H103" s="81"/>
      <c r="I103" s="81"/>
      <c r="J103" s="81"/>
      <c r="K103" s="81"/>
      <c r="L103" s="81"/>
      <c r="M103" s="81"/>
      <c r="N103" s="81"/>
      <c r="O103" s="81"/>
      <c r="P103" s="81"/>
      <c r="Q103" s="81"/>
      <c r="R103" s="81"/>
      <c r="S103" s="81"/>
      <c r="T103" s="81"/>
      <c r="U103" s="81"/>
      <c r="V103" s="81"/>
      <c r="W103" s="81"/>
      <c r="X103" s="81"/>
      <c r="Y103" s="75" t="str">
        <f>IFERROR(INDEX(PARAMETRES!$B$536:$B$586,MATCH(X103,PARAMETRES!$J$536:$J$586,0)),"")</f>
        <v/>
      </c>
      <c r="Z103" s="75" t="str">
        <f>IFERROR(INDEX(PARAMETRES!$D$536:$D$586,MATCH(X103,PARAMETRES!$J$536:$J$586,0)),"")</f>
        <v/>
      </c>
      <c r="AA103" s="75" t="str">
        <f>IFERROR(INDEX(PARAMETRES!$F$536:$F$586,MATCH(X103,PARAMETRES!$J$536:$J$586,0)),"")</f>
        <v/>
      </c>
      <c r="AB103" s="81"/>
      <c r="AC103" s="82"/>
      <c r="AD103" s="81"/>
      <c r="AE103" s="82"/>
      <c r="AF103" s="82"/>
      <c r="AG103" s="81"/>
      <c r="AH103" s="81"/>
      <c r="AI103" s="75">
        <f>IF(A103="",0,COUNTIF(tbl_Donateurs_Opportunites[ID Donateur],A103))</f>
        <v>0</v>
      </c>
      <c r="AJ103" s="75">
        <f>IF(A103="",0,COUNTIFS(tbl_Donateurs_Opportunites[ID Donateur],A103,tbl_Donateurs_Opportunites[Statut],"Ouverte"))</f>
        <v>0</v>
      </c>
      <c r="AK103" s="75">
        <f>IF(A103="",0,COUNTIF(tbl_Donateurs_Demandes[ID Donateur],A103))</f>
        <v>0</v>
      </c>
      <c r="AL103" s="75">
        <f>IF(A103="",0,COUNTIFS(tbl_Donateurs_Demandes[ID Donateur],A103,tbl_Donateurs_Demandes[Statut],"Approuvee")+COUNTIFS(tbl_Donateurs_Demandes[ID Donateur],A103,tbl_Donateurs_Demandes[Statut],"Financement recu"))</f>
        <v>0</v>
      </c>
      <c r="AM103" s="76">
        <f>IF(A103="",0,SUMIF(tbl_Donateurs_Demandes[ID Donateur],A103,tbl_Donateurs_Demandes[Montant demande]))</f>
        <v>0</v>
      </c>
      <c r="AN103" s="76">
        <f>IF(A103="",0,SUMIF(tbl_Donateurs_Demandes[ID Donateur],A103,tbl_Donateurs_Demandes[Montant accorde]))</f>
        <v>0</v>
      </c>
      <c r="AO103" s="76">
        <f>IF(A103="",0,SUMIF(tbl_Donateurs_Decaissements[ID Donateur],A103,tbl_Donateurs_Decaissements[Montant recu]))</f>
        <v>0</v>
      </c>
      <c r="AP103" s="77" t="str">
        <f t="shared" si="6"/>
        <v/>
      </c>
      <c r="AQ103" s="75">
        <f>IF(A103="",0,COUNTIF(tbl_Donateurs_Contacts[ID Donateur],A103))</f>
        <v>0</v>
      </c>
      <c r="AR103" s="75">
        <f>IF(A103="",0,COUNTIF(tbl_Donateurs_Documents[ID Donateur],A103))</f>
        <v>0</v>
      </c>
      <c r="AS103" s="75">
        <f>IF(A103="",0,COUNTIF(tbl_Donateurs_Conventions[ID Donateur],A103))</f>
        <v>0</v>
      </c>
      <c r="AT103" s="83" t="str">
        <f ca="1">IFERROR(_xlfn.MAXIFS(tbl_Donateurs_Decaissements[Date recue],tbl_Donateurs_Decaissements[ID Donateur],A103),"")</f>
        <v/>
      </c>
      <c r="AU103" s="76" t="str">
        <f t="shared" si="9"/>
        <v/>
      </c>
      <c r="AV103" s="75" t="str">
        <f t="shared" ca="1" si="7"/>
        <v/>
      </c>
      <c r="AW103" s="75" t="str">
        <f t="shared" si="8"/>
        <v/>
      </c>
      <c r="AX103" s="81"/>
    </row>
    <row r="104" spans="1:50" ht="15" customHeight="1">
      <c r="A104" s="75" t="str">
        <f t="shared" si="5"/>
        <v/>
      </c>
      <c r="B104" s="81"/>
      <c r="C104" s="81"/>
      <c r="D104" s="81"/>
      <c r="E104" s="81"/>
      <c r="F104" s="81"/>
      <c r="G104" s="81"/>
      <c r="H104" s="81"/>
      <c r="I104" s="81"/>
      <c r="J104" s="81"/>
      <c r="K104" s="81"/>
      <c r="L104" s="81"/>
      <c r="M104" s="81"/>
      <c r="N104" s="81"/>
      <c r="O104" s="81"/>
      <c r="P104" s="81"/>
      <c r="Q104" s="81"/>
      <c r="R104" s="81"/>
      <c r="S104" s="81"/>
      <c r="T104" s="81"/>
      <c r="U104" s="81"/>
      <c r="V104" s="81"/>
      <c r="W104" s="81"/>
      <c r="X104" s="81"/>
      <c r="Y104" s="75" t="str">
        <f>IFERROR(INDEX(PARAMETRES!$B$536:$B$586,MATCH(X104,PARAMETRES!$J$536:$J$586,0)),"")</f>
        <v/>
      </c>
      <c r="Z104" s="75" t="str">
        <f>IFERROR(INDEX(PARAMETRES!$D$536:$D$586,MATCH(X104,PARAMETRES!$J$536:$J$586,0)),"")</f>
        <v/>
      </c>
      <c r="AA104" s="75" t="str">
        <f>IFERROR(INDEX(PARAMETRES!$F$536:$F$586,MATCH(X104,PARAMETRES!$J$536:$J$586,0)),"")</f>
        <v/>
      </c>
      <c r="AB104" s="81"/>
      <c r="AC104" s="82"/>
      <c r="AD104" s="81"/>
      <c r="AE104" s="82"/>
      <c r="AF104" s="82"/>
      <c r="AG104" s="81"/>
      <c r="AH104" s="81"/>
      <c r="AI104" s="75">
        <f>IF(A104="",0,COUNTIF(tbl_Donateurs_Opportunites[ID Donateur],A104))</f>
        <v>0</v>
      </c>
      <c r="AJ104" s="75">
        <f>IF(A104="",0,COUNTIFS(tbl_Donateurs_Opportunites[ID Donateur],A104,tbl_Donateurs_Opportunites[Statut],"Ouverte"))</f>
        <v>0</v>
      </c>
      <c r="AK104" s="75">
        <f>IF(A104="",0,COUNTIF(tbl_Donateurs_Demandes[ID Donateur],A104))</f>
        <v>0</v>
      </c>
      <c r="AL104" s="75">
        <f>IF(A104="",0,COUNTIFS(tbl_Donateurs_Demandes[ID Donateur],A104,tbl_Donateurs_Demandes[Statut],"Approuvee")+COUNTIFS(tbl_Donateurs_Demandes[ID Donateur],A104,tbl_Donateurs_Demandes[Statut],"Financement recu"))</f>
        <v>0</v>
      </c>
      <c r="AM104" s="76">
        <f>IF(A104="",0,SUMIF(tbl_Donateurs_Demandes[ID Donateur],A104,tbl_Donateurs_Demandes[Montant demande]))</f>
        <v>0</v>
      </c>
      <c r="AN104" s="76">
        <f>IF(A104="",0,SUMIF(tbl_Donateurs_Demandes[ID Donateur],A104,tbl_Donateurs_Demandes[Montant accorde]))</f>
        <v>0</v>
      </c>
      <c r="AO104" s="76">
        <f>IF(A104="",0,SUMIF(tbl_Donateurs_Decaissements[ID Donateur],A104,tbl_Donateurs_Decaissements[Montant recu]))</f>
        <v>0</v>
      </c>
      <c r="AP104" s="77" t="str">
        <f t="shared" si="6"/>
        <v/>
      </c>
      <c r="AQ104" s="75">
        <f>IF(A104="",0,COUNTIF(tbl_Donateurs_Contacts[ID Donateur],A104))</f>
        <v>0</v>
      </c>
      <c r="AR104" s="75">
        <f>IF(A104="",0,COUNTIF(tbl_Donateurs_Documents[ID Donateur],A104))</f>
        <v>0</v>
      </c>
      <c r="AS104" s="75">
        <f>IF(A104="",0,COUNTIF(tbl_Donateurs_Conventions[ID Donateur],A104))</f>
        <v>0</v>
      </c>
      <c r="AT104" s="83" t="str">
        <f ca="1">IFERROR(_xlfn.MAXIFS(tbl_Donateurs_Decaissements[Date recue],tbl_Donateurs_Decaissements[ID Donateur],A104),"")</f>
        <v/>
      </c>
      <c r="AU104" s="76" t="str">
        <f t="shared" si="9"/>
        <v/>
      </c>
      <c r="AV104" s="75" t="str">
        <f t="shared" ca="1" si="7"/>
        <v/>
      </c>
      <c r="AW104" s="75" t="str">
        <f t="shared" si="8"/>
        <v/>
      </c>
      <c r="AX104" s="81"/>
    </row>
    <row r="105" spans="1:50" ht="15" customHeight="1">
      <c r="A105" s="75" t="str">
        <f t="shared" si="5"/>
        <v/>
      </c>
      <c r="B105" s="81"/>
      <c r="C105" s="81"/>
      <c r="D105" s="81"/>
      <c r="E105" s="81"/>
      <c r="F105" s="81"/>
      <c r="G105" s="81"/>
      <c r="H105" s="81"/>
      <c r="I105" s="81"/>
      <c r="J105" s="81"/>
      <c r="K105" s="81"/>
      <c r="L105" s="81"/>
      <c r="M105" s="81"/>
      <c r="N105" s="81"/>
      <c r="O105" s="81"/>
      <c r="P105" s="81"/>
      <c r="Q105" s="81"/>
      <c r="R105" s="81"/>
      <c r="S105" s="81"/>
      <c r="T105" s="81"/>
      <c r="U105" s="81"/>
      <c r="V105" s="81"/>
      <c r="W105" s="81"/>
      <c r="X105" s="81"/>
      <c r="Y105" s="75" t="str">
        <f>IFERROR(INDEX(PARAMETRES!$B$536:$B$586,MATCH(X105,PARAMETRES!$J$536:$J$586,0)),"")</f>
        <v/>
      </c>
      <c r="Z105" s="75" t="str">
        <f>IFERROR(INDEX(PARAMETRES!$D$536:$D$586,MATCH(X105,PARAMETRES!$J$536:$J$586,0)),"")</f>
        <v/>
      </c>
      <c r="AA105" s="75" t="str">
        <f>IFERROR(INDEX(PARAMETRES!$F$536:$F$586,MATCH(X105,PARAMETRES!$J$536:$J$586,0)),"")</f>
        <v/>
      </c>
      <c r="AB105" s="81"/>
      <c r="AC105" s="82"/>
      <c r="AD105" s="81"/>
      <c r="AE105" s="82"/>
      <c r="AF105" s="82"/>
      <c r="AG105" s="81"/>
      <c r="AH105" s="81"/>
      <c r="AI105" s="75">
        <f>IF(A105="",0,COUNTIF(tbl_Donateurs_Opportunites[ID Donateur],A105))</f>
        <v>0</v>
      </c>
      <c r="AJ105" s="75">
        <f>IF(A105="",0,COUNTIFS(tbl_Donateurs_Opportunites[ID Donateur],A105,tbl_Donateurs_Opportunites[Statut],"Ouverte"))</f>
        <v>0</v>
      </c>
      <c r="AK105" s="75">
        <f>IF(A105="",0,COUNTIF(tbl_Donateurs_Demandes[ID Donateur],A105))</f>
        <v>0</v>
      </c>
      <c r="AL105" s="75">
        <f>IF(A105="",0,COUNTIFS(tbl_Donateurs_Demandes[ID Donateur],A105,tbl_Donateurs_Demandes[Statut],"Approuvee")+COUNTIFS(tbl_Donateurs_Demandes[ID Donateur],A105,tbl_Donateurs_Demandes[Statut],"Financement recu"))</f>
        <v>0</v>
      </c>
      <c r="AM105" s="76">
        <f>IF(A105="",0,SUMIF(tbl_Donateurs_Demandes[ID Donateur],A105,tbl_Donateurs_Demandes[Montant demande]))</f>
        <v>0</v>
      </c>
      <c r="AN105" s="76">
        <f>IF(A105="",0,SUMIF(tbl_Donateurs_Demandes[ID Donateur],A105,tbl_Donateurs_Demandes[Montant accorde]))</f>
        <v>0</v>
      </c>
      <c r="AO105" s="76">
        <f>IF(A105="",0,SUMIF(tbl_Donateurs_Decaissements[ID Donateur],A105,tbl_Donateurs_Decaissements[Montant recu]))</f>
        <v>0</v>
      </c>
      <c r="AP105" s="77" t="str">
        <f t="shared" si="6"/>
        <v/>
      </c>
      <c r="AQ105" s="75">
        <f>IF(A105="",0,COUNTIF(tbl_Donateurs_Contacts[ID Donateur],A105))</f>
        <v>0</v>
      </c>
      <c r="AR105" s="75">
        <f>IF(A105="",0,COUNTIF(tbl_Donateurs_Documents[ID Donateur],A105))</f>
        <v>0</v>
      </c>
      <c r="AS105" s="75">
        <f>IF(A105="",0,COUNTIF(tbl_Donateurs_Conventions[ID Donateur],A105))</f>
        <v>0</v>
      </c>
      <c r="AT105" s="83" t="str">
        <f ca="1">IFERROR(_xlfn.MAXIFS(tbl_Donateurs_Decaissements[Date recue],tbl_Donateurs_Decaissements[ID Donateur],A105),"")</f>
        <v/>
      </c>
      <c r="AU105" s="76" t="str">
        <f t="shared" si="9"/>
        <v/>
      </c>
      <c r="AV105" s="75" t="str">
        <f t="shared" ca="1" si="7"/>
        <v/>
      </c>
      <c r="AW105" s="75" t="str">
        <f t="shared" si="8"/>
        <v/>
      </c>
      <c r="AX105" s="81"/>
    </row>
    <row r="106" spans="1:50" ht="15" customHeight="1">
      <c r="A106" s="75" t="str">
        <f t="shared" si="5"/>
        <v/>
      </c>
      <c r="B106" s="81"/>
      <c r="C106" s="81"/>
      <c r="D106" s="81"/>
      <c r="E106" s="81"/>
      <c r="F106" s="81"/>
      <c r="G106" s="81"/>
      <c r="H106" s="81"/>
      <c r="I106" s="81"/>
      <c r="J106" s="81"/>
      <c r="K106" s="81"/>
      <c r="L106" s="81"/>
      <c r="M106" s="81"/>
      <c r="N106" s="81"/>
      <c r="O106" s="81"/>
      <c r="P106" s="81"/>
      <c r="Q106" s="81"/>
      <c r="R106" s="81"/>
      <c r="S106" s="81"/>
      <c r="T106" s="81"/>
      <c r="U106" s="81"/>
      <c r="V106" s="81"/>
      <c r="W106" s="81"/>
      <c r="X106" s="81"/>
      <c r="Y106" s="75" t="str">
        <f>IFERROR(INDEX(PARAMETRES!$B$536:$B$586,MATCH(X106,PARAMETRES!$J$536:$J$586,0)),"")</f>
        <v/>
      </c>
      <c r="Z106" s="75" t="str">
        <f>IFERROR(INDEX(PARAMETRES!$D$536:$D$586,MATCH(X106,PARAMETRES!$J$536:$J$586,0)),"")</f>
        <v/>
      </c>
      <c r="AA106" s="75" t="str">
        <f>IFERROR(INDEX(PARAMETRES!$F$536:$F$586,MATCH(X106,PARAMETRES!$J$536:$J$586,0)),"")</f>
        <v/>
      </c>
      <c r="AB106" s="81"/>
      <c r="AC106" s="82"/>
      <c r="AD106" s="81"/>
      <c r="AE106" s="82"/>
      <c r="AF106" s="82"/>
      <c r="AG106" s="81"/>
      <c r="AH106" s="81"/>
      <c r="AI106" s="75">
        <f>IF(A106="",0,COUNTIF(tbl_Donateurs_Opportunites[ID Donateur],A106))</f>
        <v>0</v>
      </c>
      <c r="AJ106" s="75">
        <f>IF(A106="",0,COUNTIFS(tbl_Donateurs_Opportunites[ID Donateur],A106,tbl_Donateurs_Opportunites[Statut],"Ouverte"))</f>
        <v>0</v>
      </c>
      <c r="AK106" s="75">
        <f>IF(A106="",0,COUNTIF(tbl_Donateurs_Demandes[ID Donateur],A106))</f>
        <v>0</v>
      </c>
      <c r="AL106" s="75">
        <f>IF(A106="",0,COUNTIFS(tbl_Donateurs_Demandes[ID Donateur],A106,tbl_Donateurs_Demandes[Statut],"Approuvee")+COUNTIFS(tbl_Donateurs_Demandes[ID Donateur],A106,tbl_Donateurs_Demandes[Statut],"Financement recu"))</f>
        <v>0</v>
      </c>
      <c r="AM106" s="76">
        <f>IF(A106="",0,SUMIF(tbl_Donateurs_Demandes[ID Donateur],A106,tbl_Donateurs_Demandes[Montant demande]))</f>
        <v>0</v>
      </c>
      <c r="AN106" s="76">
        <f>IF(A106="",0,SUMIF(tbl_Donateurs_Demandes[ID Donateur],A106,tbl_Donateurs_Demandes[Montant accorde]))</f>
        <v>0</v>
      </c>
      <c r="AO106" s="76">
        <f>IF(A106="",0,SUMIF(tbl_Donateurs_Decaissements[ID Donateur],A106,tbl_Donateurs_Decaissements[Montant recu]))</f>
        <v>0</v>
      </c>
      <c r="AP106" s="77" t="str">
        <f t="shared" si="6"/>
        <v/>
      </c>
      <c r="AQ106" s="75">
        <f>IF(A106="",0,COUNTIF(tbl_Donateurs_Contacts[ID Donateur],A106))</f>
        <v>0</v>
      </c>
      <c r="AR106" s="75">
        <f>IF(A106="",0,COUNTIF(tbl_Donateurs_Documents[ID Donateur],A106))</f>
        <v>0</v>
      </c>
      <c r="AS106" s="75">
        <f>IF(A106="",0,COUNTIF(tbl_Donateurs_Conventions[ID Donateur],A106))</f>
        <v>0</v>
      </c>
      <c r="AT106" s="83" t="str">
        <f ca="1">IFERROR(_xlfn.MAXIFS(tbl_Donateurs_Decaissements[Date recue],tbl_Donateurs_Decaissements[ID Donateur],A106),"")</f>
        <v/>
      </c>
      <c r="AU106" s="76" t="str">
        <f t="shared" si="9"/>
        <v/>
      </c>
      <c r="AV106" s="75" t="str">
        <f t="shared" ca="1" si="7"/>
        <v/>
      </c>
      <c r="AW106" s="75" t="str">
        <f t="shared" si="8"/>
        <v/>
      </c>
      <c r="AX106" s="81"/>
    </row>
    <row r="107" spans="1:50" ht="15" customHeight="1">
      <c r="A107" s="75" t="str">
        <f t="shared" si="5"/>
        <v/>
      </c>
      <c r="B107" s="81"/>
      <c r="C107" s="81"/>
      <c r="D107" s="81"/>
      <c r="E107" s="81"/>
      <c r="F107" s="81"/>
      <c r="G107" s="81"/>
      <c r="H107" s="81"/>
      <c r="I107" s="81"/>
      <c r="J107" s="81"/>
      <c r="K107" s="81"/>
      <c r="L107" s="81"/>
      <c r="M107" s="81"/>
      <c r="N107" s="81"/>
      <c r="O107" s="81"/>
      <c r="P107" s="81"/>
      <c r="Q107" s="81"/>
      <c r="R107" s="81"/>
      <c r="S107" s="81"/>
      <c r="T107" s="81"/>
      <c r="U107" s="81"/>
      <c r="V107" s="81"/>
      <c r="W107" s="81"/>
      <c r="X107" s="81"/>
      <c r="Y107" s="75" t="str">
        <f>IFERROR(INDEX(PARAMETRES!$B$536:$B$586,MATCH(X107,PARAMETRES!$J$536:$J$586,0)),"")</f>
        <v/>
      </c>
      <c r="Z107" s="75" t="str">
        <f>IFERROR(INDEX(PARAMETRES!$D$536:$D$586,MATCH(X107,PARAMETRES!$J$536:$J$586,0)),"")</f>
        <v/>
      </c>
      <c r="AA107" s="75" t="str">
        <f>IFERROR(INDEX(PARAMETRES!$F$536:$F$586,MATCH(X107,PARAMETRES!$J$536:$J$586,0)),"")</f>
        <v/>
      </c>
      <c r="AB107" s="81"/>
      <c r="AC107" s="82"/>
      <c r="AD107" s="81"/>
      <c r="AE107" s="82"/>
      <c r="AF107" s="82"/>
      <c r="AG107" s="81"/>
      <c r="AH107" s="81"/>
      <c r="AI107" s="75">
        <f>IF(A107="",0,COUNTIF(tbl_Donateurs_Opportunites[ID Donateur],A107))</f>
        <v>0</v>
      </c>
      <c r="AJ107" s="75">
        <f>IF(A107="",0,COUNTIFS(tbl_Donateurs_Opportunites[ID Donateur],A107,tbl_Donateurs_Opportunites[Statut],"Ouverte"))</f>
        <v>0</v>
      </c>
      <c r="AK107" s="75">
        <f>IF(A107="",0,COUNTIF(tbl_Donateurs_Demandes[ID Donateur],A107))</f>
        <v>0</v>
      </c>
      <c r="AL107" s="75">
        <f>IF(A107="",0,COUNTIFS(tbl_Donateurs_Demandes[ID Donateur],A107,tbl_Donateurs_Demandes[Statut],"Approuvee")+COUNTIFS(tbl_Donateurs_Demandes[ID Donateur],A107,tbl_Donateurs_Demandes[Statut],"Financement recu"))</f>
        <v>0</v>
      </c>
      <c r="AM107" s="76">
        <f>IF(A107="",0,SUMIF(tbl_Donateurs_Demandes[ID Donateur],A107,tbl_Donateurs_Demandes[Montant demande]))</f>
        <v>0</v>
      </c>
      <c r="AN107" s="76">
        <f>IF(A107="",0,SUMIF(tbl_Donateurs_Demandes[ID Donateur],A107,tbl_Donateurs_Demandes[Montant accorde]))</f>
        <v>0</v>
      </c>
      <c r="AO107" s="76">
        <f>IF(A107="",0,SUMIF(tbl_Donateurs_Decaissements[ID Donateur],A107,tbl_Donateurs_Decaissements[Montant recu]))</f>
        <v>0</v>
      </c>
      <c r="AP107" s="77" t="str">
        <f t="shared" si="6"/>
        <v/>
      </c>
      <c r="AQ107" s="75">
        <f>IF(A107="",0,COUNTIF(tbl_Donateurs_Contacts[ID Donateur],A107))</f>
        <v>0</v>
      </c>
      <c r="AR107" s="75">
        <f>IF(A107="",0,COUNTIF(tbl_Donateurs_Documents[ID Donateur],A107))</f>
        <v>0</v>
      </c>
      <c r="AS107" s="75">
        <f>IF(A107="",0,COUNTIF(tbl_Donateurs_Conventions[ID Donateur],A107))</f>
        <v>0</v>
      </c>
      <c r="AT107" s="83" t="str">
        <f ca="1">IFERROR(_xlfn.MAXIFS(tbl_Donateurs_Decaissements[Date recue],tbl_Donateurs_Decaissements[ID Donateur],A107),"")</f>
        <v/>
      </c>
      <c r="AU107" s="76" t="str">
        <f t="shared" si="9"/>
        <v/>
      </c>
      <c r="AV107" s="75" t="str">
        <f t="shared" ca="1" si="7"/>
        <v/>
      </c>
      <c r="AW107" s="75" t="str">
        <f t="shared" si="8"/>
        <v/>
      </c>
      <c r="AX107" s="81"/>
    </row>
    <row r="108" spans="1:50" ht="15" customHeight="1">
      <c r="A108" s="75" t="str">
        <f t="shared" si="5"/>
        <v/>
      </c>
      <c r="B108" s="81"/>
      <c r="C108" s="81"/>
      <c r="D108" s="81"/>
      <c r="E108" s="81"/>
      <c r="F108" s="81"/>
      <c r="G108" s="81"/>
      <c r="H108" s="81"/>
      <c r="I108" s="81"/>
      <c r="J108" s="81"/>
      <c r="K108" s="81"/>
      <c r="L108" s="81"/>
      <c r="M108" s="81"/>
      <c r="N108" s="81"/>
      <c r="O108" s="81"/>
      <c r="P108" s="81"/>
      <c r="Q108" s="81"/>
      <c r="R108" s="81"/>
      <c r="S108" s="81"/>
      <c r="T108" s="81"/>
      <c r="U108" s="81"/>
      <c r="V108" s="81"/>
      <c r="W108" s="81"/>
      <c r="X108" s="81"/>
      <c r="Y108" s="75" t="str">
        <f>IFERROR(INDEX(PARAMETRES!$B$536:$B$586,MATCH(X108,PARAMETRES!$J$536:$J$586,0)),"")</f>
        <v/>
      </c>
      <c r="Z108" s="75" t="str">
        <f>IFERROR(INDEX(PARAMETRES!$D$536:$D$586,MATCH(X108,PARAMETRES!$J$536:$J$586,0)),"")</f>
        <v/>
      </c>
      <c r="AA108" s="75" t="str">
        <f>IFERROR(INDEX(PARAMETRES!$F$536:$F$586,MATCH(X108,PARAMETRES!$J$536:$J$586,0)),"")</f>
        <v/>
      </c>
      <c r="AB108" s="81"/>
      <c r="AC108" s="82"/>
      <c r="AD108" s="81"/>
      <c r="AE108" s="82"/>
      <c r="AF108" s="82"/>
      <c r="AG108" s="81"/>
      <c r="AH108" s="81"/>
      <c r="AI108" s="75">
        <f>IF(A108="",0,COUNTIF(tbl_Donateurs_Opportunites[ID Donateur],A108))</f>
        <v>0</v>
      </c>
      <c r="AJ108" s="75">
        <f>IF(A108="",0,COUNTIFS(tbl_Donateurs_Opportunites[ID Donateur],A108,tbl_Donateurs_Opportunites[Statut],"Ouverte"))</f>
        <v>0</v>
      </c>
      <c r="AK108" s="75">
        <f>IF(A108="",0,COUNTIF(tbl_Donateurs_Demandes[ID Donateur],A108))</f>
        <v>0</v>
      </c>
      <c r="AL108" s="75">
        <f>IF(A108="",0,COUNTIFS(tbl_Donateurs_Demandes[ID Donateur],A108,tbl_Donateurs_Demandes[Statut],"Approuvee")+COUNTIFS(tbl_Donateurs_Demandes[ID Donateur],A108,tbl_Donateurs_Demandes[Statut],"Financement recu"))</f>
        <v>0</v>
      </c>
      <c r="AM108" s="76">
        <f>IF(A108="",0,SUMIF(tbl_Donateurs_Demandes[ID Donateur],A108,tbl_Donateurs_Demandes[Montant demande]))</f>
        <v>0</v>
      </c>
      <c r="AN108" s="76">
        <f>IF(A108="",0,SUMIF(tbl_Donateurs_Demandes[ID Donateur],A108,tbl_Donateurs_Demandes[Montant accorde]))</f>
        <v>0</v>
      </c>
      <c r="AO108" s="76">
        <f>IF(A108="",0,SUMIF(tbl_Donateurs_Decaissements[ID Donateur],A108,tbl_Donateurs_Decaissements[Montant recu]))</f>
        <v>0</v>
      </c>
      <c r="AP108" s="77" t="str">
        <f t="shared" si="6"/>
        <v/>
      </c>
      <c r="AQ108" s="75">
        <f>IF(A108="",0,COUNTIF(tbl_Donateurs_Contacts[ID Donateur],A108))</f>
        <v>0</v>
      </c>
      <c r="AR108" s="75">
        <f>IF(A108="",0,COUNTIF(tbl_Donateurs_Documents[ID Donateur],A108))</f>
        <v>0</v>
      </c>
      <c r="AS108" s="75">
        <f>IF(A108="",0,COUNTIF(tbl_Donateurs_Conventions[ID Donateur],A108))</f>
        <v>0</v>
      </c>
      <c r="AT108" s="83" t="str">
        <f ca="1">IFERROR(_xlfn.MAXIFS(tbl_Donateurs_Decaissements[Date recue],tbl_Donateurs_Decaissements[ID Donateur],A108),"")</f>
        <v/>
      </c>
      <c r="AU108" s="76" t="str">
        <f t="shared" si="9"/>
        <v/>
      </c>
      <c r="AV108" s="75" t="str">
        <f t="shared" ca="1" si="7"/>
        <v/>
      </c>
      <c r="AW108" s="75" t="str">
        <f t="shared" si="8"/>
        <v/>
      </c>
      <c r="AX108" s="81"/>
    </row>
    <row r="109" spans="1:50" ht="15" customHeight="1">
      <c r="A109" s="75" t="str">
        <f t="shared" si="5"/>
        <v/>
      </c>
      <c r="B109" s="81"/>
      <c r="C109" s="81"/>
      <c r="D109" s="81"/>
      <c r="E109" s="81"/>
      <c r="F109" s="81"/>
      <c r="G109" s="81"/>
      <c r="H109" s="81"/>
      <c r="I109" s="81"/>
      <c r="J109" s="81"/>
      <c r="K109" s="81"/>
      <c r="L109" s="81"/>
      <c r="M109" s="81"/>
      <c r="N109" s="81"/>
      <c r="O109" s="81"/>
      <c r="P109" s="81"/>
      <c r="Q109" s="81"/>
      <c r="R109" s="81"/>
      <c r="S109" s="81"/>
      <c r="T109" s="81"/>
      <c r="U109" s="81"/>
      <c r="V109" s="81"/>
      <c r="W109" s="81"/>
      <c r="X109" s="81"/>
      <c r="Y109" s="75" t="str">
        <f>IFERROR(INDEX(PARAMETRES!$B$536:$B$586,MATCH(X109,PARAMETRES!$J$536:$J$586,0)),"")</f>
        <v/>
      </c>
      <c r="Z109" s="75" t="str">
        <f>IFERROR(INDEX(PARAMETRES!$D$536:$D$586,MATCH(X109,PARAMETRES!$J$536:$J$586,0)),"")</f>
        <v/>
      </c>
      <c r="AA109" s="75" t="str">
        <f>IFERROR(INDEX(PARAMETRES!$F$536:$F$586,MATCH(X109,PARAMETRES!$J$536:$J$586,0)),"")</f>
        <v/>
      </c>
      <c r="AB109" s="81"/>
      <c r="AC109" s="82"/>
      <c r="AD109" s="81"/>
      <c r="AE109" s="82"/>
      <c r="AF109" s="82"/>
      <c r="AG109" s="81"/>
      <c r="AH109" s="81"/>
      <c r="AI109" s="75">
        <f>IF(A109="",0,COUNTIF(tbl_Donateurs_Opportunites[ID Donateur],A109))</f>
        <v>0</v>
      </c>
      <c r="AJ109" s="75">
        <f>IF(A109="",0,COUNTIFS(tbl_Donateurs_Opportunites[ID Donateur],A109,tbl_Donateurs_Opportunites[Statut],"Ouverte"))</f>
        <v>0</v>
      </c>
      <c r="AK109" s="75">
        <f>IF(A109="",0,COUNTIF(tbl_Donateurs_Demandes[ID Donateur],A109))</f>
        <v>0</v>
      </c>
      <c r="AL109" s="75">
        <f>IF(A109="",0,COUNTIFS(tbl_Donateurs_Demandes[ID Donateur],A109,tbl_Donateurs_Demandes[Statut],"Approuvee")+COUNTIFS(tbl_Donateurs_Demandes[ID Donateur],A109,tbl_Donateurs_Demandes[Statut],"Financement recu"))</f>
        <v>0</v>
      </c>
      <c r="AM109" s="76">
        <f>IF(A109="",0,SUMIF(tbl_Donateurs_Demandes[ID Donateur],A109,tbl_Donateurs_Demandes[Montant demande]))</f>
        <v>0</v>
      </c>
      <c r="AN109" s="76">
        <f>IF(A109="",0,SUMIF(tbl_Donateurs_Demandes[ID Donateur],A109,tbl_Donateurs_Demandes[Montant accorde]))</f>
        <v>0</v>
      </c>
      <c r="AO109" s="76">
        <f>IF(A109="",0,SUMIF(tbl_Donateurs_Decaissements[ID Donateur],A109,tbl_Donateurs_Decaissements[Montant recu]))</f>
        <v>0</v>
      </c>
      <c r="AP109" s="77" t="str">
        <f t="shared" si="6"/>
        <v/>
      </c>
      <c r="AQ109" s="75">
        <f>IF(A109="",0,COUNTIF(tbl_Donateurs_Contacts[ID Donateur],A109))</f>
        <v>0</v>
      </c>
      <c r="AR109" s="75">
        <f>IF(A109="",0,COUNTIF(tbl_Donateurs_Documents[ID Donateur],A109))</f>
        <v>0</v>
      </c>
      <c r="AS109" s="75">
        <f>IF(A109="",0,COUNTIF(tbl_Donateurs_Conventions[ID Donateur],A109))</f>
        <v>0</v>
      </c>
      <c r="AT109" s="83" t="str">
        <f ca="1">IFERROR(_xlfn.MAXIFS(tbl_Donateurs_Decaissements[Date recue],tbl_Donateurs_Decaissements[ID Donateur],A109),"")</f>
        <v/>
      </c>
      <c r="AU109" s="76" t="str">
        <f t="shared" si="9"/>
        <v/>
      </c>
      <c r="AV109" s="75" t="str">
        <f t="shared" ca="1" si="7"/>
        <v/>
      </c>
      <c r="AW109" s="75" t="str">
        <f t="shared" si="8"/>
        <v/>
      </c>
      <c r="AX109" s="81"/>
    </row>
    <row r="110" spans="1:50" ht="15" customHeight="1">
      <c r="A110" s="75" t="str">
        <f t="shared" si="5"/>
        <v/>
      </c>
      <c r="B110" s="81"/>
      <c r="C110" s="81"/>
      <c r="D110" s="81"/>
      <c r="E110" s="81"/>
      <c r="F110" s="81"/>
      <c r="G110" s="81"/>
      <c r="H110" s="81"/>
      <c r="I110" s="81"/>
      <c r="J110" s="81"/>
      <c r="K110" s="81"/>
      <c r="L110" s="81"/>
      <c r="M110" s="81"/>
      <c r="N110" s="81"/>
      <c r="O110" s="81"/>
      <c r="P110" s="81"/>
      <c r="Q110" s="81"/>
      <c r="R110" s="81"/>
      <c r="S110" s="81"/>
      <c r="T110" s="81"/>
      <c r="U110" s="81"/>
      <c r="V110" s="81"/>
      <c r="W110" s="81"/>
      <c r="X110" s="81"/>
      <c r="Y110" s="75" t="str">
        <f>IFERROR(INDEX(PARAMETRES!$B$536:$B$586,MATCH(X110,PARAMETRES!$J$536:$J$586,0)),"")</f>
        <v/>
      </c>
      <c r="Z110" s="75" t="str">
        <f>IFERROR(INDEX(PARAMETRES!$D$536:$D$586,MATCH(X110,PARAMETRES!$J$536:$J$586,0)),"")</f>
        <v/>
      </c>
      <c r="AA110" s="75" t="str">
        <f>IFERROR(INDEX(PARAMETRES!$F$536:$F$586,MATCH(X110,PARAMETRES!$J$536:$J$586,0)),"")</f>
        <v/>
      </c>
      <c r="AB110" s="81"/>
      <c r="AC110" s="82"/>
      <c r="AD110" s="81"/>
      <c r="AE110" s="82"/>
      <c r="AF110" s="82"/>
      <c r="AG110" s="81"/>
      <c r="AH110" s="81"/>
      <c r="AI110" s="75">
        <f>IF(A110="",0,COUNTIF(tbl_Donateurs_Opportunites[ID Donateur],A110))</f>
        <v>0</v>
      </c>
      <c r="AJ110" s="75">
        <f>IF(A110="",0,COUNTIFS(tbl_Donateurs_Opportunites[ID Donateur],A110,tbl_Donateurs_Opportunites[Statut],"Ouverte"))</f>
        <v>0</v>
      </c>
      <c r="AK110" s="75">
        <f>IF(A110="",0,COUNTIF(tbl_Donateurs_Demandes[ID Donateur],A110))</f>
        <v>0</v>
      </c>
      <c r="AL110" s="75">
        <f>IF(A110="",0,COUNTIFS(tbl_Donateurs_Demandes[ID Donateur],A110,tbl_Donateurs_Demandes[Statut],"Approuvee")+COUNTIFS(tbl_Donateurs_Demandes[ID Donateur],A110,tbl_Donateurs_Demandes[Statut],"Financement recu"))</f>
        <v>0</v>
      </c>
      <c r="AM110" s="76">
        <f>IF(A110="",0,SUMIF(tbl_Donateurs_Demandes[ID Donateur],A110,tbl_Donateurs_Demandes[Montant demande]))</f>
        <v>0</v>
      </c>
      <c r="AN110" s="76">
        <f>IF(A110="",0,SUMIF(tbl_Donateurs_Demandes[ID Donateur],A110,tbl_Donateurs_Demandes[Montant accorde]))</f>
        <v>0</v>
      </c>
      <c r="AO110" s="76">
        <f>IF(A110="",0,SUMIF(tbl_Donateurs_Decaissements[ID Donateur],A110,tbl_Donateurs_Decaissements[Montant recu]))</f>
        <v>0</v>
      </c>
      <c r="AP110" s="77" t="str">
        <f t="shared" si="6"/>
        <v/>
      </c>
      <c r="AQ110" s="75">
        <f>IF(A110="",0,COUNTIF(tbl_Donateurs_Contacts[ID Donateur],A110))</f>
        <v>0</v>
      </c>
      <c r="AR110" s="75">
        <f>IF(A110="",0,COUNTIF(tbl_Donateurs_Documents[ID Donateur],A110))</f>
        <v>0</v>
      </c>
      <c r="AS110" s="75">
        <f>IF(A110="",0,COUNTIF(tbl_Donateurs_Conventions[ID Donateur],A110))</f>
        <v>0</v>
      </c>
      <c r="AT110" s="83" t="str">
        <f ca="1">IFERROR(_xlfn.MAXIFS(tbl_Donateurs_Decaissements[Date recue],tbl_Donateurs_Decaissements[ID Donateur],A110),"")</f>
        <v/>
      </c>
      <c r="AU110" s="76" t="str">
        <f t="shared" si="9"/>
        <v/>
      </c>
      <c r="AV110" s="75" t="str">
        <f t="shared" ca="1" si="7"/>
        <v/>
      </c>
      <c r="AW110" s="75" t="str">
        <f t="shared" si="8"/>
        <v/>
      </c>
      <c r="AX110" s="81"/>
    </row>
    <row r="111" spans="1:50" ht="15" customHeight="1">
      <c r="A111" s="75" t="str">
        <f t="shared" si="5"/>
        <v/>
      </c>
      <c r="B111" s="81"/>
      <c r="C111" s="81"/>
      <c r="D111" s="81"/>
      <c r="E111" s="81"/>
      <c r="F111" s="81"/>
      <c r="G111" s="81"/>
      <c r="H111" s="81"/>
      <c r="I111" s="81"/>
      <c r="J111" s="81"/>
      <c r="K111" s="81"/>
      <c r="L111" s="81"/>
      <c r="M111" s="81"/>
      <c r="N111" s="81"/>
      <c r="O111" s="81"/>
      <c r="P111" s="81"/>
      <c r="Q111" s="81"/>
      <c r="R111" s="81"/>
      <c r="S111" s="81"/>
      <c r="T111" s="81"/>
      <c r="U111" s="81"/>
      <c r="V111" s="81"/>
      <c r="W111" s="81"/>
      <c r="X111" s="81"/>
      <c r="Y111" s="75" t="str">
        <f>IFERROR(INDEX(PARAMETRES!$B$536:$B$586,MATCH(X111,PARAMETRES!$J$536:$J$586,0)),"")</f>
        <v/>
      </c>
      <c r="Z111" s="75" t="str">
        <f>IFERROR(INDEX(PARAMETRES!$D$536:$D$586,MATCH(X111,PARAMETRES!$J$536:$J$586,0)),"")</f>
        <v/>
      </c>
      <c r="AA111" s="75" t="str">
        <f>IFERROR(INDEX(PARAMETRES!$F$536:$F$586,MATCH(X111,PARAMETRES!$J$536:$J$586,0)),"")</f>
        <v/>
      </c>
      <c r="AB111" s="81"/>
      <c r="AC111" s="82"/>
      <c r="AD111" s="81"/>
      <c r="AE111" s="82"/>
      <c r="AF111" s="82"/>
      <c r="AG111" s="81"/>
      <c r="AH111" s="81"/>
      <c r="AI111" s="75">
        <f>IF(A111="",0,COUNTIF(tbl_Donateurs_Opportunites[ID Donateur],A111))</f>
        <v>0</v>
      </c>
      <c r="AJ111" s="75">
        <f>IF(A111="",0,COUNTIFS(tbl_Donateurs_Opportunites[ID Donateur],A111,tbl_Donateurs_Opportunites[Statut],"Ouverte"))</f>
        <v>0</v>
      </c>
      <c r="AK111" s="75">
        <f>IF(A111="",0,COUNTIF(tbl_Donateurs_Demandes[ID Donateur],A111))</f>
        <v>0</v>
      </c>
      <c r="AL111" s="75">
        <f>IF(A111="",0,COUNTIFS(tbl_Donateurs_Demandes[ID Donateur],A111,tbl_Donateurs_Demandes[Statut],"Approuvee")+COUNTIFS(tbl_Donateurs_Demandes[ID Donateur],A111,tbl_Donateurs_Demandes[Statut],"Financement recu"))</f>
        <v>0</v>
      </c>
      <c r="AM111" s="76">
        <f>IF(A111="",0,SUMIF(tbl_Donateurs_Demandes[ID Donateur],A111,tbl_Donateurs_Demandes[Montant demande]))</f>
        <v>0</v>
      </c>
      <c r="AN111" s="76">
        <f>IF(A111="",0,SUMIF(tbl_Donateurs_Demandes[ID Donateur],A111,tbl_Donateurs_Demandes[Montant accorde]))</f>
        <v>0</v>
      </c>
      <c r="AO111" s="76">
        <f>IF(A111="",0,SUMIF(tbl_Donateurs_Decaissements[ID Donateur],A111,tbl_Donateurs_Decaissements[Montant recu]))</f>
        <v>0</v>
      </c>
      <c r="AP111" s="77" t="str">
        <f t="shared" si="6"/>
        <v/>
      </c>
      <c r="AQ111" s="75">
        <f>IF(A111="",0,COUNTIF(tbl_Donateurs_Contacts[ID Donateur],A111))</f>
        <v>0</v>
      </c>
      <c r="AR111" s="75">
        <f>IF(A111="",0,COUNTIF(tbl_Donateurs_Documents[ID Donateur],A111))</f>
        <v>0</v>
      </c>
      <c r="AS111" s="75">
        <f>IF(A111="",0,COUNTIF(tbl_Donateurs_Conventions[ID Donateur],A111))</f>
        <v>0</v>
      </c>
      <c r="AT111" s="83" t="str">
        <f ca="1">IFERROR(_xlfn.MAXIFS(tbl_Donateurs_Decaissements[Date recue],tbl_Donateurs_Decaissements[ID Donateur],A111),"")</f>
        <v/>
      </c>
      <c r="AU111" s="76" t="str">
        <f t="shared" si="9"/>
        <v/>
      </c>
      <c r="AV111" s="75" t="str">
        <f t="shared" ca="1" si="7"/>
        <v/>
      </c>
      <c r="AW111" s="75" t="str">
        <f t="shared" si="8"/>
        <v/>
      </c>
      <c r="AX111" s="81"/>
    </row>
    <row r="112" spans="1:50" ht="15" customHeight="1">
      <c r="A112" s="75" t="str">
        <f t="shared" si="5"/>
        <v/>
      </c>
      <c r="B112" s="81"/>
      <c r="C112" s="81"/>
      <c r="D112" s="81"/>
      <c r="E112" s="81"/>
      <c r="F112" s="81"/>
      <c r="G112" s="81"/>
      <c r="H112" s="81"/>
      <c r="I112" s="81"/>
      <c r="J112" s="81"/>
      <c r="K112" s="81"/>
      <c r="L112" s="81"/>
      <c r="M112" s="81"/>
      <c r="N112" s="81"/>
      <c r="O112" s="81"/>
      <c r="P112" s="81"/>
      <c r="Q112" s="81"/>
      <c r="R112" s="81"/>
      <c r="S112" s="81"/>
      <c r="T112" s="81"/>
      <c r="U112" s="81"/>
      <c r="V112" s="81"/>
      <c r="W112" s="81"/>
      <c r="X112" s="81"/>
      <c r="Y112" s="75" t="str">
        <f>IFERROR(INDEX(PARAMETRES!$B$536:$B$586,MATCH(X112,PARAMETRES!$J$536:$J$586,0)),"")</f>
        <v/>
      </c>
      <c r="Z112" s="75" t="str">
        <f>IFERROR(INDEX(PARAMETRES!$D$536:$D$586,MATCH(X112,PARAMETRES!$J$536:$J$586,0)),"")</f>
        <v/>
      </c>
      <c r="AA112" s="75" t="str">
        <f>IFERROR(INDEX(PARAMETRES!$F$536:$F$586,MATCH(X112,PARAMETRES!$J$536:$J$586,0)),"")</f>
        <v/>
      </c>
      <c r="AB112" s="81"/>
      <c r="AC112" s="82"/>
      <c r="AD112" s="81"/>
      <c r="AE112" s="82"/>
      <c r="AF112" s="82"/>
      <c r="AG112" s="81"/>
      <c r="AH112" s="81"/>
      <c r="AI112" s="75">
        <f>IF(A112="",0,COUNTIF(tbl_Donateurs_Opportunites[ID Donateur],A112))</f>
        <v>0</v>
      </c>
      <c r="AJ112" s="75">
        <f>IF(A112="",0,COUNTIFS(tbl_Donateurs_Opportunites[ID Donateur],A112,tbl_Donateurs_Opportunites[Statut],"Ouverte"))</f>
        <v>0</v>
      </c>
      <c r="AK112" s="75">
        <f>IF(A112="",0,COUNTIF(tbl_Donateurs_Demandes[ID Donateur],A112))</f>
        <v>0</v>
      </c>
      <c r="AL112" s="75">
        <f>IF(A112="",0,COUNTIFS(tbl_Donateurs_Demandes[ID Donateur],A112,tbl_Donateurs_Demandes[Statut],"Approuvee")+COUNTIFS(tbl_Donateurs_Demandes[ID Donateur],A112,tbl_Donateurs_Demandes[Statut],"Financement recu"))</f>
        <v>0</v>
      </c>
      <c r="AM112" s="76">
        <f>IF(A112="",0,SUMIF(tbl_Donateurs_Demandes[ID Donateur],A112,tbl_Donateurs_Demandes[Montant demande]))</f>
        <v>0</v>
      </c>
      <c r="AN112" s="76">
        <f>IF(A112="",0,SUMIF(tbl_Donateurs_Demandes[ID Donateur],A112,tbl_Donateurs_Demandes[Montant accorde]))</f>
        <v>0</v>
      </c>
      <c r="AO112" s="76">
        <f>IF(A112="",0,SUMIF(tbl_Donateurs_Decaissements[ID Donateur],A112,tbl_Donateurs_Decaissements[Montant recu]))</f>
        <v>0</v>
      </c>
      <c r="AP112" s="77" t="str">
        <f t="shared" si="6"/>
        <v/>
      </c>
      <c r="AQ112" s="75">
        <f>IF(A112="",0,COUNTIF(tbl_Donateurs_Contacts[ID Donateur],A112))</f>
        <v>0</v>
      </c>
      <c r="AR112" s="75">
        <f>IF(A112="",0,COUNTIF(tbl_Donateurs_Documents[ID Donateur],A112))</f>
        <v>0</v>
      </c>
      <c r="AS112" s="75">
        <f>IF(A112="",0,COUNTIF(tbl_Donateurs_Conventions[ID Donateur],A112))</f>
        <v>0</v>
      </c>
      <c r="AT112" s="83" t="str">
        <f ca="1">IFERROR(_xlfn.MAXIFS(tbl_Donateurs_Decaissements[Date recue],tbl_Donateurs_Decaissements[ID Donateur],A112),"")</f>
        <v/>
      </c>
      <c r="AU112" s="76" t="str">
        <f t="shared" si="9"/>
        <v/>
      </c>
      <c r="AV112" s="75" t="str">
        <f t="shared" ca="1" si="7"/>
        <v/>
      </c>
      <c r="AW112" s="75" t="str">
        <f t="shared" si="8"/>
        <v/>
      </c>
      <c r="AX112" s="81"/>
    </row>
    <row r="113" spans="1:50" ht="15" customHeight="1">
      <c r="A113" s="75" t="str">
        <f t="shared" si="5"/>
        <v/>
      </c>
      <c r="B113" s="81"/>
      <c r="C113" s="81"/>
      <c r="D113" s="81"/>
      <c r="E113" s="81"/>
      <c r="F113" s="81"/>
      <c r="G113" s="81"/>
      <c r="H113" s="81"/>
      <c r="I113" s="81"/>
      <c r="J113" s="81"/>
      <c r="K113" s="81"/>
      <c r="L113" s="81"/>
      <c r="M113" s="81"/>
      <c r="N113" s="81"/>
      <c r="O113" s="81"/>
      <c r="P113" s="81"/>
      <c r="Q113" s="81"/>
      <c r="R113" s="81"/>
      <c r="S113" s="81"/>
      <c r="T113" s="81"/>
      <c r="U113" s="81"/>
      <c r="V113" s="81"/>
      <c r="W113" s="81"/>
      <c r="X113" s="81"/>
      <c r="Y113" s="75" t="str">
        <f>IFERROR(INDEX(PARAMETRES!$B$536:$B$586,MATCH(X113,PARAMETRES!$J$536:$J$586,0)),"")</f>
        <v/>
      </c>
      <c r="Z113" s="75" t="str">
        <f>IFERROR(INDEX(PARAMETRES!$D$536:$D$586,MATCH(X113,PARAMETRES!$J$536:$J$586,0)),"")</f>
        <v/>
      </c>
      <c r="AA113" s="75" t="str">
        <f>IFERROR(INDEX(PARAMETRES!$F$536:$F$586,MATCH(X113,PARAMETRES!$J$536:$J$586,0)),"")</f>
        <v/>
      </c>
      <c r="AB113" s="81"/>
      <c r="AC113" s="82"/>
      <c r="AD113" s="81"/>
      <c r="AE113" s="82"/>
      <c r="AF113" s="82"/>
      <c r="AG113" s="81"/>
      <c r="AH113" s="81"/>
      <c r="AI113" s="75">
        <f>IF(A113="",0,COUNTIF(tbl_Donateurs_Opportunites[ID Donateur],A113))</f>
        <v>0</v>
      </c>
      <c r="AJ113" s="75">
        <f>IF(A113="",0,COUNTIFS(tbl_Donateurs_Opportunites[ID Donateur],A113,tbl_Donateurs_Opportunites[Statut],"Ouverte"))</f>
        <v>0</v>
      </c>
      <c r="AK113" s="75">
        <f>IF(A113="",0,COUNTIF(tbl_Donateurs_Demandes[ID Donateur],A113))</f>
        <v>0</v>
      </c>
      <c r="AL113" s="75">
        <f>IF(A113="",0,COUNTIFS(tbl_Donateurs_Demandes[ID Donateur],A113,tbl_Donateurs_Demandes[Statut],"Approuvee")+COUNTIFS(tbl_Donateurs_Demandes[ID Donateur],A113,tbl_Donateurs_Demandes[Statut],"Financement recu"))</f>
        <v>0</v>
      </c>
      <c r="AM113" s="76">
        <f>IF(A113="",0,SUMIF(tbl_Donateurs_Demandes[ID Donateur],A113,tbl_Donateurs_Demandes[Montant demande]))</f>
        <v>0</v>
      </c>
      <c r="AN113" s="76">
        <f>IF(A113="",0,SUMIF(tbl_Donateurs_Demandes[ID Donateur],A113,tbl_Donateurs_Demandes[Montant accorde]))</f>
        <v>0</v>
      </c>
      <c r="AO113" s="76">
        <f>IF(A113="",0,SUMIF(tbl_Donateurs_Decaissements[ID Donateur],A113,tbl_Donateurs_Decaissements[Montant recu]))</f>
        <v>0</v>
      </c>
      <c r="AP113" s="77" t="str">
        <f t="shared" si="6"/>
        <v/>
      </c>
      <c r="AQ113" s="75">
        <f>IF(A113="",0,COUNTIF(tbl_Donateurs_Contacts[ID Donateur],A113))</f>
        <v>0</v>
      </c>
      <c r="AR113" s="75">
        <f>IF(A113="",0,COUNTIF(tbl_Donateurs_Documents[ID Donateur],A113))</f>
        <v>0</v>
      </c>
      <c r="AS113" s="75">
        <f>IF(A113="",0,COUNTIF(tbl_Donateurs_Conventions[ID Donateur],A113))</f>
        <v>0</v>
      </c>
      <c r="AT113" s="83" t="str">
        <f ca="1">IFERROR(_xlfn.MAXIFS(tbl_Donateurs_Decaissements[Date recue],tbl_Donateurs_Decaissements[ID Donateur],A113),"")</f>
        <v/>
      </c>
      <c r="AU113" s="76" t="str">
        <f t="shared" si="9"/>
        <v/>
      </c>
      <c r="AV113" s="75" t="str">
        <f t="shared" ca="1" si="7"/>
        <v/>
      </c>
      <c r="AW113" s="75" t="str">
        <f t="shared" si="8"/>
        <v/>
      </c>
      <c r="AX113" s="81"/>
    </row>
    <row r="114" spans="1:50" ht="15" customHeight="1">
      <c r="A114" s="75" t="str">
        <f t="shared" si="5"/>
        <v/>
      </c>
      <c r="B114" s="81"/>
      <c r="C114" s="81"/>
      <c r="D114" s="81"/>
      <c r="E114" s="81"/>
      <c r="F114" s="81"/>
      <c r="G114" s="81"/>
      <c r="H114" s="81"/>
      <c r="I114" s="81"/>
      <c r="J114" s="81"/>
      <c r="K114" s="81"/>
      <c r="L114" s="81"/>
      <c r="M114" s="81"/>
      <c r="N114" s="81"/>
      <c r="O114" s="81"/>
      <c r="P114" s="81"/>
      <c r="Q114" s="81"/>
      <c r="R114" s="81"/>
      <c r="S114" s="81"/>
      <c r="T114" s="81"/>
      <c r="U114" s="81"/>
      <c r="V114" s="81"/>
      <c r="W114" s="81"/>
      <c r="X114" s="81"/>
      <c r="Y114" s="75" t="str">
        <f>IFERROR(INDEX(PARAMETRES!$B$536:$B$586,MATCH(X114,PARAMETRES!$J$536:$J$586,0)),"")</f>
        <v/>
      </c>
      <c r="Z114" s="75" t="str">
        <f>IFERROR(INDEX(PARAMETRES!$D$536:$D$586,MATCH(X114,PARAMETRES!$J$536:$J$586,0)),"")</f>
        <v/>
      </c>
      <c r="AA114" s="75" t="str">
        <f>IFERROR(INDEX(PARAMETRES!$F$536:$F$586,MATCH(X114,PARAMETRES!$J$536:$J$586,0)),"")</f>
        <v/>
      </c>
      <c r="AB114" s="81"/>
      <c r="AC114" s="82"/>
      <c r="AD114" s="81"/>
      <c r="AE114" s="82"/>
      <c r="AF114" s="82"/>
      <c r="AG114" s="81"/>
      <c r="AH114" s="81"/>
      <c r="AI114" s="75">
        <f>IF(A114="",0,COUNTIF(tbl_Donateurs_Opportunites[ID Donateur],A114))</f>
        <v>0</v>
      </c>
      <c r="AJ114" s="75">
        <f>IF(A114="",0,COUNTIFS(tbl_Donateurs_Opportunites[ID Donateur],A114,tbl_Donateurs_Opportunites[Statut],"Ouverte"))</f>
        <v>0</v>
      </c>
      <c r="AK114" s="75">
        <f>IF(A114="",0,COUNTIF(tbl_Donateurs_Demandes[ID Donateur],A114))</f>
        <v>0</v>
      </c>
      <c r="AL114" s="75">
        <f>IF(A114="",0,COUNTIFS(tbl_Donateurs_Demandes[ID Donateur],A114,tbl_Donateurs_Demandes[Statut],"Approuvee")+COUNTIFS(tbl_Donateurs_Demandes[ID Donateur],A114,tbl_Donateurs_Demandes[Statut],"Financement recu"))</f>
        <v>0</v>
      </c>
      <c r="AM114" s="76">
        <f>IF(A114="",0,SUMIF(tbl_Donateurs_Demandes[ID Donateur],A114,tbl_Donateurs_Demandes[Montant demande]))</f>
        <v>0</v>
      </c>
      <c r="AN114" s="76">
        <f>IF(A114="",0,SUMIF(tbl_Donateurs_Demandes[ID Donateur],A114,tbl_Donateurs_Demandes[Montant accorde]))</f>
        <v>0</v>
      </c>
      <c r="AO114" s="76">
        <f>IF(A114="",0,SUMIF(tbl_Donateurs_Decaissements[ID Donateur],A114,tbl_Donateurs_Decaissements[Montant recu]))</f>
        <v>0</v>
      </c>
      <c r="AP114" s="77" t="str">
        <f t="shared" si="6"/>
        <v/>
      </c>
      <c r="AQ114" s="75">
        <f>IF(A114="",0,COUNTIF(tbl_Donateurs_Contacts[ID Donateur],A114))</f>
        <v>0</v>
      </c>
      <c r="AR114" s="75">
        <f>IF(A114="",0,COUNTIF(tbl_Donateurs_Documents[ID Donateur],A114))</f>
        <v>0</v>
      </c>
      <c r="AS114" s="75">
        <f>IF(A114="",0,COUNTIF(tbl_Donateurs_Conventions[ID Donateur],A114))</f>
        <v>0</v>
      </c>
      <c r="AT114" s="83" t="str">
        <f ca="1">IFERROR(_xlfn.MAXIFS(tbl_Donateurs_Decaissements[Date recue],tbl_Donateurs_Decaissements[ID Donateur],A114),"")</f>
        <v/>
      </c>
      <c r="AU114" s="76" t="str">
        <f t="shared" si="9"/>
        <v/>
      </c>
      <c r="AV114" s="75" t="str">
        <f t="shared" ca="1" si="7"/>
        <v/>
      </c>
      <c r="AW114" s="75" t="str">
        <f t="shared" si="8"/>
        <v/>
      </c>
      <c r="AX114" s="81"/>
    </row>
    <row r="115" spans="1:50" ht="15" customHeight="1">
      <c r="A115" s="75" t="str">
        <f t="shared" si="5"/>
        <v/>
      </c>
      <c r="B115" s="81"/>
      <c r="C115" s="81"/>
      <c r="D115" s="81"/>
      <c r="E115" s="81"/>
      <c r="F115" s="81"/>
      <c r="G115" s="81"/>
      <c r="H115" s="81"/>
      <c r="I115" s="81"/>
      <c r="J115" s="81"/>
      <c r="K115" s="81"/>
      <c r="L115" s="81"/>
      <c r="M115" s="81"/>
      <c r="N115" s="81"/>
      <c r="O115" s="81"/>
      <c r="P115" s="81"/>
      <c r="Q115" s="81"/>
      <c r="R115" s="81"/>
      <c r="S115" s="81"/>
      <c r="T115" s="81"/>
      <c r="U115" s="81"/>
      <c r="V115" s="81"/>
      <c r="W115" s="81"/>
      <c r="X115" s="81"/>
      <c r="Y115" s="75" t="str">
        <f>IFERROR(INDEX(PARAMETRES!$B$536:$B$586,MATCH(X115,PARAMETRES!$J$536:$J$586,0)),"")</f>
        <v/>
      </c>
      <c r="Z115" s="75" t="str">
        <f>IFERROR(INDEX(PARAMETRES!$D$536:$D$586,MATCH(X115,PARAMETRES!$J$536:$J$586,0)),"")</f>
        <v/>
      </c>
      <c r="AA115" s="75" t="str">
        <f>IFERROR(INDEX(PARAMETRES!$F$536:$F$586,MATCH(X115,PARAMETRES!$J$536:$J$586,0)),"")</f>
        <v/>
      </c>
      <c r="AB115" s="81"/>
      <c r="AC115" s="82"/>
      <c r="AD115" s="81"/>
      <c r="AE115" s="82"/>
      <c r="AF115" s="82"/>
      <c r="AG115" s="81"/>
      <c r="AH115" s="81"/>
      <c r="AI115" s="75">
        <f>IF(A115="",0,COUNTIF(tbl_Donateurs_Opportunites[ID Donateur],A115))</f>
        <v>0</v>
      </c>
      <c r="AJ115" s="75">
        <f>IF(A115="",0,COUNTIFS(tbl_Donateurs_Opportunites[ID Donateur],A115,tbl_Donateurs_Opportunites[Statut],"Ouverte"))</f>
        <v>0</v>
      </c>
      <c r="AK115" s="75">
        <f>IF(A115="",0,COUNTIF(tbl_Donateurs_Demandes[ID Donateur],A115))</f>
        <v>0</v>
      </c>
      <c r="AL115" s="75">
        <f>IF(A115="",0,COUNTIFS(tbl_Donateurs_Demandes[ID Donateur],A115,tbl_Donateurs_Demandes[Statut],"Approuvee")+COUNTIFS(tbl_Donateurs_Demandes[ID Donateur],A115,tbl_Donateurs_Demandes[Statut],"Financement recu"))</f>
        <v>0</v>
      </c>
      <c r="AM115" s="76">
        <f>IF(A115="",0,SUMIF(tbl_Donateurs_Demandes[ID Donateur],A115,tbl_Donateurs_Demandes[Montant demande]))</f>
        <v>0</v>
      </c>
      <c r="AN115" s="76">
        <f>IF(A115="",0,SUMIF(tbl_Donateurs_Demandes[ID Donateur],A115,tbl_Donateurs_Demandes[Montant accorde]))</f>
        <v>0</v>
      </c>
      <c r="AO115" s="76">
        <f>IF(A115="",0,SUMIF(tbl_Donateurs_Decaissements[ID Donateur],A115,tbl_Donateurs_Decaissements[Montant recu]))</f>
        <v>0</v>
      </c>
      <c r="AP115" s="77" t="str">
        <f t="shared" si="6"/>
        <v/>
      </c>
      <c r="AQ115" s="75">
        <f>IF(A115="",0,COUNTIF(tbl_Donateurs_Contacts[ID Donateur],A115))</f>
        <v>0</v>
      </c>
      <c r="AR115" s="75">
        <f>IF(A115="",0,COUNTIF(tbl_Donateurs_Documents[ID Donateur],A115))</f>
        <v>0</v>
      </c>
      <c r="AS115" s="75">
        <f>IF(A115="",0,COUNTIF(tbl_Donateurs_Conventions[ID Donateur],A115))</f>
        <v>0</v>
      </c>
      <c r="AT115" s="83" t="str">
        <f ca="1">IFERROR(_xlfn.MAXIFS(tbl_Donateurs_Decaissements[Date recue],tbl_Donateurs_Decaissements[ID Donateur],A115),"")</f>
        <v/>
      </c>
      <c r="AU115" s="76" t="str">
        <f t="shared" si="9"/>
        <v/>
      </c>
      <c r="AV115" s="75" t="str">
        <f t="shared" ca="1" si="7"/>
        <v/>
      </c>
      <c r="AW115" s="75" t="str">
        <f t="shared" si="8"/>
        <v/>
      </c>
      <c r="AX115" s="81"/>
    </row>
    <row r="116" spans="1:50" ht="15" customHeight="1">
      <c r="A116" s="75" t="str">
        <f t="shared" si="5"/>
        <v/>
      </c>
      <c r="B116" s="81"/>
      <c r="C116" s="81"/>
      <c r="D116" s="81"/>
      <c r="E116" s="81"/>
      <c r="F116" s="81"/>
      <c r="G116" s="81"/>
      <c r="H116" s="81"/>
      <c r="I116" s="81"/>
      <c r="J116" s="81"/>
      <c r="K116" s="81"/>
      <c r="L116" s="81"/>
      <c r="M116" s="81"/>
      <c r="N116" s="81"/>
      <c r="O116" s="81"/>
      <c r="P116" s="81"/>
      <c r="Q116" s="81"/>
      <c r="R116" s="81"/>
      <c r="S116" s="81"/>
      <c r="T116" s="81"/>
      <c r="U116" s="81"/>
      <c r="V116" s="81"/>
      <c r="W116" s="81"/>
      <c r="X116" s="81"/>
      <c r="Y116" s="75" t="str">
        <f>IFERROR(INDEX(PARAMETRES!$B$536:$B$586,MATCH(X116,PARAMETRES!$J$536:$J$586,0)),"")</f>
        <v/>
      </c>
      <c r="Z116" s="75" t="str">
        <f>IFERROR(INDEX(PARAMETRES!$D$536:$D$586,MATCH(X116,PARAMETRES!$J$536:$J$586,0)),"")</f>
        <v/>
      </c>
      <c r="AA116" s="75" t="str">
        <f>IFERROR(INDEX(PARAMETRES!$F$536:$F$586,MATCH(X116,PARAMETRES!$J$536:$J$586,0)),"")</f>
        <v/>
      </c>
      <c r="AB116" s="81"/>
      <c r="AC116" s="82"/>
      <c r="AD116" s="81"/>
      <c r="AE116" s="82"/>
      <c r="AF116" s="82"/>
      <c r="AG116" s="81"/>
      <c r="AH116" s="81"/>
      <c r="AI116" s="75">
        <f>IF(A116="",0,COUNTIF(tbl_Donateurs_Opportunites[ID Donateur],A116))</f>
        <v>0</v>
      </c>
      <c r="AJ116" s="75">
        <f>IF(A116="",0,COUNTIFS(tbl_Donateurs_Opportunites[ID Donateur],A116,tbl_Donateurs_Opportunites[Statut],"Ouverte"))</f>
        <v>0</v>
      </c>
      <c r="AK116" s="75">
        <f>IF(A116="",0,COUNTIF(tbl_Donateurs_Demandes[ID Donateur],A116))</f>
        <v>0</v>
      </c>
      <c r="AL116" s="75">
        <f>IF(A116="",0,COUNTIFS(tbl_Donateurs_Demandes[ID Donateur],A116,tbl_Donateurs_Demandes[Statut],"Approuvee")+COUNTIFS(tbl_Donateurs_Demandes[ID Donateur],A116,tbl_Donateurs_Demandes[Statut],"Financement recu"))</f>
        <v>0</v>
      </c>
      <c r="AM116" s="76">
        <f>IF(A116="",0,SUMIF(tbl_Donateurs_Demandes[ID Donateur],A116,tbl_Donateurs_Demandes[Montant demande]))</f>
        <v>0</v>
      </c>
      <c r="AN116" s="76">
        <f>IF(A116="",0,SUMIF(tbl_Donateurs_Demandes[ID Donateur],A116,tbl_Donateurs_Demandes[Montant accorde]))</f>
        <v>0</v>
      </c>
      <c r="AO116" s="76">
        <f>IF(A116="",0,SUMIF(tbl_Donateurs_Decaissements[ID Donateur],A116,tbl_Donateurs_Decaissements[Montant recu]))</f>
        <v>0</v>
      </c>
      <c r="AP116" s="77" t="str">
        <f t="shared" si="6"/>
        <v/>
      </c>
      <c r="AQ116" s="75">
        <f>IF(A116="",0,COUNTIF(tbl_Donateurs_Contacts[ID Donateur],A116))</f>
        <v>0</v>
      </c>
      <c r="AR116" s="75">
        <f>IF(A116="",0,COUNTIF(tbl_Donateurs_Documents[ID Donateur],A116))</f>
        <v>0</v>
      </c>
      <c r="AS116" s="75">
        <f>IF(A116="",0,COUNTIF(tbl_Donateurs_Conventions[ID Donateur],A116))</f>
        <v>0</v>
      </c>
      <c r="AT116" s="83" t="str">
        <f ca="1">IFERROR(_xlfn.MAXIFS(tbl_Donateurs_Decaissements[Date recue],tbl_Donateurs_Decaissements[ID Donateur],A116),"")</f>
        <v/>
      </c>
      <c r="AU116" s="76" t="str">
        <f t="shared" si="9"/>
        <v/>
      </c>
      <c r="AV116" s="75" t="str">
        <f t="shared" ca="1" si="7"/>
        <v/>
      </c>
      <c r="AW116" s="75" t="str">
        <f t="shared" si="8"/>
        <v/>
      </c>
      <c r="AX116" s="81"/>
    </row>
    <row r="117" spans="1:50" ht="15" customHeight="1">
      <c r="A117" s="75" t="str">
        <f t="shared" si="5"/>
        <v/>
      </c>
      <c r="B117" s="81"/>
      <c r="C117" s="81"/>
      <c r="D117" s="81"/>
      <c r="E117" s="81"/>
      <c r="F117" s="81"/>
      <c r="G117" s="81"/>
      <c r="H117" s="81"/>
      <c r="I117" s="81"/>
      <c r="J117" s="81"/>
      <c r="K117" s="81"/>
      <c r="L117" s="81"/>
      <c r="M117" s="81"/>
      <c r="N117" s="81"/>
      <c r="O117" s="81"/>
      <c r="P117" s="81"/>
      <c r="Q117" s="81"/>
      <c r="R117" s="81"/>
      <c r="S117" s="81"/>
      <c r="T117" s="81"/>
      <c r="U117" s="81"/>
      <c r="V117" s="81"/>
      <c r="W117" s="81"/>
      <c r="X117" s="81"/>
      <c r="Y117" s="75" t="str">
        <f>IFERROR(INDEX(PARAMETRES!$B$536:$B$586,MATCH(X117,PARAMETRES!$J$536:$J$586,0)),"")</f>
        <v/>
      </c>
      <c r="Z117" s="75" t="str">
        <f>IFERROR(INDEX(PARAMETRES!$D$536:$D$586,MATCH(X117,PARAMETRES!$J$536:$J$586,0)),"")</f>
        <v/>
      </c>
      <c r="AA117" s="75" t="str">
        <f>IFERROR(INDEX(PARAMETRES!$F$536:$F$586,MATCH(X117,PARAMETRES!$J$536:$J$586,0)),"")</f>
        <v/>
      </c>
      <c r="AB117" s="81"/>
      <c r="AC117" s="82"/>
      <c r="AD117" s="81"/>
      <c r="AE117" s="82"/>
      <c r="AF117" s="82"/>
      <c r="AG117" s="81"/>
      <c r="AH117" s="81"/>
      <c r="AI117" s="75">
        <f>IF(A117="",0,COUNTIF(tbl_Donateurs_Opportunites[ID Donateur],A117))</f>
        <v>0</v>
      </c>
      <c r="AJ117" s="75">
        <f>IF(A117="",0,COUNTIFS(tbl_Donateurs_Opportunites[ID Donateur],A117,tbl_Donateurs_Opportunites[Statut],"Ouverte"))</f>
        <v>0</v>
      </c>
      <c r="AK117" s="75">
        <f>IF(A117="",0,COUNTIF(tbl_Donateurs_Demandes[ID Donateur],A117))</f>
        <v>0</v>
      </c>
      <c r="AL117" s="75">
        <f>IF(A117="",0,COUNTIFS(tbl_Donateurs_Demandes[ID Donateur],A117,tbl_Donateurs_Demandes[Statut],"Approuvee")+COUNTIFS(tbl_Donateurs_Demandes[ID Donateur],A117,tbl_Donateurs_Demandes[Statut],"Financement recu"))</f>
        <v>0</v>
      </c>
      <c r="AM117" s="76">
        <f>IF(A117="",0,SUMIF(tbl_Donateurs_Demandes[ID Donateur],A117,tbl_Donateurs_Demandes[Montant demande]))</f>
        <v>0</v>
      </c>
      <c r="AN117" s="76">
        <f>IF(A117="",0,SUMIF(tbl_Donateurs_Demandes[ID Donateur],A117,tbl_Donateurs_Demandes[Montant accorde]))</f>
        <v>0</v>
      </c>
      <c r="AO117" s="76">
        <f>IF(A117="",0,SUMIF(tbl_Donateurs_Decaissements[ID Donateur],A117,tbl_Donateurs_Decaissements[Montant recu]))</f>
        <v>0</v>
      </c>
      <c r="AP117" s="77" t="str">
        <f t="shared" si="6"/>
        <v/>
      </c>
      <c r="AQ117" s="75">
        <f>IF(A117="",0,COUNTIF(tbl_Donateurs_Contacts[ID Donateur],A117))</f>
        <v>0</v>
      </c>
      <c r="AR117" s="75">
        <f>IF(A117="",0,COUNTIF(tbl_Donateurs_Documents[ID Donateur],A117))</f>
        <v>0</v>
      </c>
      <c r="AS117" s="75">
        <f>IF(A117="",0,COUNTIF(tbl_Donateurs_Conventions[ID Donateur],A117))</f>
        <v>0</v>
      </c>
      <c r="AT117" s="83" t="str">
        <f ca="1">IFERROR(_xlfn.MAXIFS(tbl_Donateurs_Decaissements[Date recue],tbl_Donateurs_Decaissements[ID Donateur],A117),"")</f>
        <v/>
      </c>
      <c r="AU117" s="76" t="str">
        <f t="shared" si="9"/>
        <v/>
      </c>
      <c r="AV117" s="75" t="str">
        <f t="shared" ca="1" si="7"/>
        <v/>
      </c>
      <c r="AW117" s="75" t="str">
        <f t="shared" si="8"/>
        <v/>
      </c>
      <c r="AX117" s="81"/>
    </row>
    <row r="118" spans="1:50" ht="15" customHeight="1">
      <c r="A118" s="75" t="str">
        <f t="shared" si="5"/>
        <v/>
      </c>
      <c r="B118" s="81"/>
      <c r="C118" s="81"/>
      <c r="D118" s="81"/>
      <c r="E118" s="81"/>
      <c r="F118" s="81"/>
      <c r="G118" s="81"/>
      <c r="H118" s="81"/>
      <c r="I118" s="81"/>
      <c r="J118" s="81"/>
      <c r="K118" s="81"/>
      <c r="L118" s="81"/>
      <c r="M118" s="81"/>
      <c r="N118" s="81"/>
      <c r="O118" s="81"/>
      <c r="P118" s="81"/>
      <c r="Q118" s="81"/>
      <c r="R118" s="81"/>
      <c r="S118" s="81"/>
      <c r="T118" s="81"/>
      <c r="U118" s="81"/>
      <c r="V118" s="81"/>
      <c r="W118" s="81"/>
      <c r="X118" s="81"/>
      <c r="Y118" s="75" t="str">
        <f>IFERROR(INDEX(PARAMETRES!$B$536:$B$586,MATCH(X118,PARAMETRES!$J$536:$J$586,0)),"")</f>
        <v/>
      </c>
      <c r="Z118" s="75" t="str">
        <f>IFERROR(INDEX(PARAMETRES!$D$536:$D$586,MATCH(X118,PARAMETRES!$J$536:$J$586,0)),"")</f>
        <v/>
      </c>
      <c r="AA118" s="75" t="str">
        <f>IFERROR(INDEX(PARAMETRES!$F$536:$F$586,MATCH(X118,PARAMETRES!$J$536:$J$586,0)),"")</f>
        <v/>
      </c>
      <c r="AB118" s="81"/>
      <c r="AC118" s="82"/>
      <c r="AD118" s="81"/>
      <c r="AE118" s="82"/>
      <c r="AF118" s="82"/>
      <c r="AG118" s="81"/>
      <c r="AH118" s="81"/>
      <c r="AI118" s="75">
        <f>IF(A118="",0,COUNTIF(tbl_Donateurs_Opportunites[ID Donateur],A118))</f>
        <v>0</v>
      </c>
      <c r="AJ118" s="75">
        <f>IF(A118="",0,COUNTIFS(tbl_Donateurs_Opportunites[ID Donateur],A118,tbl_Donateurs_Opportunites[Statut],"Ouverte"))</f>
        <v>0</v>
      </c>
      <c r="AK118" s="75">
        <f>IF(A118="",0,COUNTIF(tbl_Donateurs_Demandes[ID Donateur],A118))</f>
        <v>0</v>
      </c>
      <c r="AL118" s="75">
        <f>IF(A118="",0,COUNTIFS(tbl_Donateurs_Demandes[ID Donateur],A118,tbl_Donateurs_Demandes[Statut],"Approuvee")+COUNTIFS(tbl_Donateurs_Demandes[ID Donateur],A118,tbl_Donateurs_Demandes[Statut],"Financement recu"))</f>
        <v>0</v>
      </c>
      <c r="AM118" s="76">
        <f>IF(A118="",0,SUMIF(tbl_Donateurs_Demandes[ID Donateur],A118,tbl_Donateurs_Demandes[Montant demande]))</f>
        <v>0</v>
      </c>
      <c r="AN118" s="76">
        <f>IF(A118="",0,SUMIF(tbl_Donateurs_Demandes[ID Donateur],A118,tbl_Donateurs_Demandes[Montant accorde]))</f>
        <v>0</v>
      </c>
      <c r="AO118" s="76">
        <f>IF(A118="",0,SUMIF(tbl_Donateurs_Decaissements[ID Donateur],A118,tbl_Donateurs_Decaissements[Montant recu]))</f>
        <v>0</v>
      </c>
      <c r="AP118" s="77" t="str">
        <f t="shared" si="6"/>
        <v/>
      </c>
      <c r="AQ118" s="75">
        <f>IF(A118="",0,COUNTIF(tbl_Donateurs_Contacts[ID Donateur],A118))</f>
        <v>0</v>
      </c>
      <c r="AR118" s="75">
        <f>IF(A118="",0,COUNTIF(tbl_Donateurs_Documents[ID Donateur],A118))</f>
        <v>0</v>
      </c>
      <c r="AS118" s="75">
        <f>IF(A118="",0,COUNTIF(tbl_Donateurs_Conventions[ID Donateur],A118))</f>
        <v>0</v>
      </c>
      <c r="AT118" s="83" t="str">
        <f ca="1">IFERROR(_xlfn.MAXIFS(tbl_Donateurs_Decaissements[Date recue],tbl_Donateurs_Decaissements[ID Donateur],A118),"")</f>
        <v/>
      </c>
      <c r="AU118" s="76" t="str">
        <f t="shared" si="9"/>
        <v/>
      </c>
      <c r="AV118" s="75" t="str">
        <f t="shared" ca="1" si="7"/>
        <v/>
      </c>
      <c r="AW118" s="75" t="str">
        <f t="shared" si="8"/>
        <v/>
      </c>
      <c r="AX118" s="81"/>
    </row>
    <row r="119" spans="1:50" ht="15" customHeight="1">
      <c r="A119" s="75" t="str">
        <f t="shared" si="5"/>
        <v/>
      </c>
      <c r="B119" s="81"/>
      <c r="C119" s="81"/>
      <c r="D119" s="81"/>
      <c r="E119" s="81"/>
      <c r="F119" s="81"/>
      <c r="G119" s="81"/>
      <c r="H119" s="81"/>
      <c r="I119" s="81"/>
      <c r="J119" s="81"/>
      <c r="K119" s="81"/>
      <c r="L119" s="81"/>
      <c r="M119" s="81"/>
      <c r="N119" s="81"/>
      <c r="O119" s="81"/>
      <c r="P119" s="81"/>
      <c r="Q119" s="81"/>
      <c r="R119" s="81"/>
      <c r="S119" s="81"/>
      <c r="T119" s="81"/>
      <c r="U119" s="81"/>
      <c r="V119" s="81"/>
      <c r="W119" s="81"/>
      <c r="X119" s="81"/>
      <c r="Y119" s="75" t="str">
        <f>IFERROR(INDEX(PARAMETRES!$B$536:$B$586,MATCH(X119,PARAMETRES!$J$536:$J$586,0)),"")</f>
        <v/>
      </c>
      <c r="Z119" s="75" t="str">
        <f>IFERROR(INDEX(PARAMETRES!$D$536:$D$586,MATCH(X119,PARAMETRES!$J$536:$J$586,0)),"")</f>
        <v/>
      </c>
      <c r="AA119" s="75" t="str">
        <f>IFERROR(INDEX(PARAMETRES!$F$536:$F$586,MATCH(X119,PARAMETRES!$J$536:$J$586,0)),"")</f>
        <v/>
      </c>
      <c r="AB119" s="81"/>
      <c r="AC119" s="82"/>
      <c r="AD119" s="81"/>
      <c r="AE119" s="82"/>
      <c r="AF119" s="82"/>
      <c r="AG119" s="81"/>
      <c r="AH119" s="81"/>
      <c r="AI119" s="75">
        <f>IF(A119="",0,COUNTIF(tbl_Donateurs_Opportunites[ID Donateur],A119))</f>
        <v>0</v>
      </c>
      <c r="AJ119" s="75">
        <f>IF(A119="",0,COUNTIFS(tbl_Donateurs_Opportunites[ID Donateur],A119,tbl_Donateurs_Opportunites[Statut],"Ouverte"))</f>
        <v>0</v>
      </c>
      <c r="AK119" s="75">
        <f>IF(A119="",0,COUNTIF(tbl_Donateurs_Demandes[ID Donateur],A119))</f>
        <v>0</v>
      </c>
      <c r="AL119" s="75">
        <f>IF(A119="",0,COUNTIFS(tbl_Donateurs_Demandes[ID Donateur],A119,tbl_Donateurs_Demandes[Statut],"Approuvee")+COUNTIFS(tbl_Donateurs_Demandes[ID Donateur],A119,tbl_Donateurs_Demandes[Statut],"Financement recu"))</f>
        <v>0</v>
      </c>
      <c r="AM119" s="76">
        <f>IF(A119="",0,SUMIF(tbl_Donateurs_Demandes[ID Donateur],A119,tbl_Donateurs_Demandes[Montant demande]))</f>
        <v>0</v>
      </c>
      <c r="AN119" s="76">
        <f>IF(A119="",0,SUMIF(tbl_Donateurs_Demandes[ID Donateur],A119,tbl_Donateurs_Demandes[Montant accorde]))</f>
        <v>0</v>
      </c>
      <c r="AO119" s="76">
        <f>IF(A119="",0,SUMIF(tbl_Donateurs_Decaissements[ID Donateur],A119,tbl_Donateurs_Decaissements[Montant recu]))</f>
        <v>0</v>
      </c>
      <c r="AP119" s="77" t="str">
        <f t="shared" si="6"/>
        <v/>
      </c>
      <c r="AQ119" s="75">
        <f>IF(A119="",0,COUNTIF(tbl_Donateurs_Contacts[ID Donateur],A119))</f>
        <v>0</v>
      </c>
      <c r="AR119" s="75">
        <f>IF(A119="",0,COUNTIF(tbl_Donateurs_Documents[ID Donateur],A119))</f>
        <v>0</v>
      </c>
      <c r="AS119" s="75">
        <f>IF(A119="",0,COUNTIF(tbl_Donateurs_Conventions[ID Donateur],A119))</f>
        <v>0</v>
      </c>
      <c r="AT119" s="83" t="str">
        <f ca="1">IFERROR(_xlfn.MAXIFS(tbl_Donateurs_Decaissements[Date recue],tbl_Donateurs_Decaissements[ID Donateur],A119),"")</f>
        <v/>
      </c>
      <c r="AU119" s="76" t="str">
        <f t="shared" si="9"/>
        <v/>
      </c>
      <c r="AV119" s="75" t="str">
        <f t="shared" ca="1" si="7"/>
        <v/>
      </c>
      <c r="AW119" s="75" t="str">
        <f t="shared" si="8"/>
        <v/>
      </c>
      <c r="AX119" s="81"/>
    </row>
    <row r="120" spans="1:50" ht="15" customHeight="1">
      <c r="A120" s="75" t="str">
        <f t="shared" ref="A120:A151" si="10">IF(B120="","","DON"&amp;TEXT(ROW()-55,"00000"))</f>
        <v/>
      </c>
      <c r="B120" s="81"/>
      <c r="C120" s="81"/>
      <c r="D120" s="81"/>
      <c r="E120" s="81"/>
      <c r="F120" s="81"/>
      <c r="G120" s="81"/>
      <c r="H120" s="81"/>
      <c r="I120" s="81"/>
      <c r="J120" s="81"/>
      <c r="K120" s="81"/>
      <c r="L120" s="81"/>
      <c r="M120" s="81"/>
      <c r="N120" s="81"/>
      <c r="O120" s="81"/>
      <c r="P120" s="81"/>
      <c r="Q120" s="81"/>
      <c r="R120" s="81"/>
      <c r="S120" s="81"/>
      <c r="T120" s="81"/>
      <c r="U120" s="81"/>
      <c r="V120" s="81"/>
      <c r="W120" s="81"/>
      <c r="X120" s="81"/>
      <c r="Y120" s="75" t="str">
        <f>IFERROR(INDEX(PARAMETRES!$B$536:$B$586,MATCH(X120,PARAMETRES!$J$536:$J$586,0)),"")</f>
        <v/>
      </c>
      <c r="Z120" s="75" t="str">
        <f>IFERROR(INDEX(PARAMETRES!$D$536:$D$586,MATCH(X120,PARAMETRES!$J$536:$J$586,0)),"")</f>
        <v/>
      </c>
      <c r="AA120" s="75" t="str">
        <f>IFERROR(INDEX(PARAMETRES!$F$536:$F$586,MATCH(X120,PARAMETRES!$J$536:$J$586,0)),"")</f>
        <v/>
      </c>
      <c r="AB120" s="81"/>
      <c r="AC120" s="82"/>
      <c r="AD120" s="81"/>
      <c r="AE120" s="82"/>
      <c r="AF120" s="82"/>
      <c r="AG120" s="81"/>
      <c r="AH120" s="81"/>
      <c r="AI120" s="75">
        <f>IF(A120="",0,COUNTIF(tbl_Donateurs_Opportunites[ID Donateur],A120))</f>
        <v>0</v>
      </c>
      <c r="AJ120" s="75">
        <f>IF(A120="",0,COUNTIFS(tbl_Donateurs_Opportunites[ID Donateur],A120,tbl_Donateurs_Opportunites[Statut],"Ouverte"))</f>
        <v>0</v>
      </c>
      <c r="AK120" s="75">
        <f>IF(A120="",0,COUNTIF(tbl_Donateurs_Demandes[ID Donateur],A120))</f>
        <v>0</v>
      </c>
      <c r="AL120" s="75">
        <f>IF(A120="",0,COUNTIFS(tbl_Donateurs_Demandes[ID Donateur],A120,tbl_Donateurs_Demandes[Statut],"Approuvee")+COUNTIFS(tbl_Donateurs_Demandes[ID Donateur],A120,tbl_Donateurs_Demandes[Statut],"Financement recu"))</f>
        <v>0</v>
      </c>
      <c r="AM120" s="76">
        <f>IF(A120="",0,SUMIF(tbl_Donateurs_Demandes[ID Donateur],A120,tbl_Donateurs_Demandes[Montant demande]))</f>
        <v>0</v>
      </c>
      <c r="AN120" s="76">
        <f>IF(A120="",0,SUMIF(tbl_Donateurs_Demandes[ID Donateur],A120,tbl_Donateurs_Demandes[Montant accorde]))</f>
        <v>0</v>
      </c>
      <c r="AO120" s="76">
        <f>IF(A120="",0,SUMIF(tbl_Donateurs_Decaissements[ID Donateur],A120,tbl_Donateurs_Decaissements[Montant recu]))</f>
        <v>0</v>
      </c>
      <c r="AP120" s="77" t="str">
        <f t="shared" ref="AP120:AP151" si="11">IFERROR(AL120/AK120,"")</f>
        <v/>
      </c>
      <c r="AQ120" s="75">
        <f>IF(A120="",0,COUNTIF(tbl_Donateurs_Contacts[ID Donateur],A120))</f>
        <v>0</v>
      </c>
      <c r="AR120" s="75">
        <f>IF(A120="",0,COUNTIF(tbl_Donateurs_Documents[ID Donateur],A120))</f>
        <v>0</v>
      </c>
      <c r="AS120" s="75">
        <f>IF(A120="",0,COUNTIF(tbl_Donateurs_Conventions[ID Donateur],A120))</f>
        <v>0</v>
      </c>
      <c r="AT120" s="83" t="str">
        <f ca="1">IFERROR(_xlfn.MAXIFS(tbl_Donateurs_Decaissements[Date recue],tbl_Donateurs_Decaissements[ID Donateur],A120),"")</f>
        <v/>
      </c>
      <c r="AU120" s="76" t="str">
        <f t="shared" si="9"/>
        <v/>
      </c>
      <c r="AV120" s="75" t="str">
        <f t="shared" ref="AV120:AV151" ca="1" si="12">IF(A120="","",IF(OR(AB120="A relancer",AND(AF120&lt;&gt;"",AF120&lt;=TODAY())),"OUI","NON"))</f>
        <v/>
      </c>
      <c r="AW120" s="75" t="str">
        <f t="shared" ref="AW120:AW151" si="13">IF(B120="","",IF(OR(COUNTIF($B$56:$B$205,B120)&gt;1,AND(D120&lt;&gt;"",COUNTIF($D$56:$D$205,D120)&gt;1),AND(K120&lt;&gt;"",COUNTIF($K$56:$K$205,K120)&gt;1),AND(L120&lt;&gt;"",COUNTIF($L$56:$L$205,L120)&gt;1)),"OUI","NON"))</f>
        <v/>
      </c>
      <c r="AX120" s="81"/>
    </row>
    <row r="121" spans="1:50" ht="15" customHeight="1">
      <c r="A121" s="75" t="str">
        <f t="shared" si="10"/>
        <v/>
      </c>
      <c r="B121" s="81"/>
      <c r="C121" s="81"/>
      <c r="D121" s="81"/>
      <c r="E121" s="81"/>
      <c r="F121" s="81"/>
      <c r="G121" s="81"/>
      <c r="H121" s="81"/>
      <c r="I121" s="81"/>
      <c r="J121" s="81"/>
      <c r="K121" s="81"/>
      <c r="L121" s="81"/>
      <c r="M121" s="81"/>
      <c r="N121" s="81"/>
      <c r="O121" s="81"/>
      <c r="P121" s="81"/>
      <c r="Q121" s="81"/>
      <c r="R121" s="81"/>
      <c r="S121" s="81"/>
      <c r="T121" s="81"/>
      <c r="U121" s="81"/>
      <c r="V121" s="81"/>
      <c r="W121" s="81"/>
      <c r="X121" s="81"/>
      <c r="Y121" s="75" t="str">
        <f>IFERROR(INDEX(PARAMETRES!$B$536:$B$586,MATCH(X121,PARAMETRES!$J$536:$J$586,0)),"")</f>
        <v/>
      </c>
      <c r="Z121" s="75" t="str">
        <f>IFERROR(INDEX(PARAMETRES!$D$536:$D$586,MATCH(X121,PARAMETRES!$J$536:$J$586,0)),"")</f>
        <v/>
      </c>
      <c r="AA121" s="75" t="str">
        <f>IFERROR(INDEX(PARAMETRES!$F$536:$F$586,MATCH(X121,PARAMETRES!$J$536:$J$586,0)),"")</f>
        <v/>
      </c>
      <c r="AB121" s="81"/>
      <c r="AC121" s="82"/>
      <c r="AD121" s="81"/>
      <c r="AE121" s="82"/>
      <c r="AF121" s="82"/>
      <c r="AG121" s="81"/>
      <c r="AH121" s="81"/>
      <c r="AI121" s="75">
        <f>IF(A121="",0,COUNTIF(tbl_Donateurs_Opportunites[ID Donateur],A121))</f>
        <v>0</v>
      </c>
      <c r="AJ121" s="75">
        <f>IF(A121="",0,COUNTIFS(tbl_Donateurs_Opportunites[ID Donateur],A121,tbl_Donateurs_Opportunites[Statut],"Ouverte"))</f>
        <v>0</v>
      </c>
      <c r="AK121" s="75">
        <f>IF(A121="",0,COUNTIF(tbl_Donateurs_Demandes[ID Donateur],A121))</f>
        <v>0</v>
      </c>
      <c r="AL121" s="75">
        <f>IF(A121="",0,COUNTIFS(tbl_Donateurs_Demandes[ID Donateur],A121,tbl_Donateurs_Demandes[Statut],"Approuvee")+COUNTIFS(tbl_Donateurs_Demandes[ID Donateur],A121,tbl_Donateurs_Demandes[Statut],"Financement recu"))</f>
        <v>0</v>
      </c>
      <c r="AM121" s="76">
        <f>IF(A121="",0,SUMIF(tbl_Donateurs_Demandes[ID Donateur],A121,tbl_Donateurs_Demandes[Montant demande]))</f>
        <v>0</v>
      </c>
      <c r="AN121" s="76">
        <f>IF(A121="",0,SUMIF(tbl_Donateurs_Demandes[ID Donateur],A121,tbl_Donateurs_Demandes[Montant accorde]))</f>
        <v>0</v>
      </c>
      <c r="AO121" s="76">
        <f>IF(A121="",0,SUMIF(tbl_Donateurs_Decaissements[ID Donateur],A121,tbl_Donateurs_Decaissements[Montant recu]))</f>
        <v>0</v>
      </c>
      <c r="AP121" s="77" t="str">
        <f t="shared" si="11"/>
        <v/>
      </c>
      <c r="AQ121" s="75">
        <f>IF(A121="",0,COUNTIF(tbl_Donateurs_Contacts[ID Donateur],A121))</f>
        <v>0</v>
      </c>
      <c r="AR121" s="75">
        <f>IF(A121="",0,COUNTIF(tbl_Donateurs_Documents[ID Donateur],A121))</f>
        <v>0</v>
      </c>
      <c r="AS121" s="75">
        <f>IF(A121="",0,COUNTIF(tbl_Donateurs_Conventions[ID Donateur],A121))</f>
        <v>0</v>
      </c>
      <c r="AT121" s="83" t="str">
        <f ca="1">IFERROR(_xlfn.MAXIFS(tbl_Donateurs_Decaissements[Date recue],tbl_Donateurs_Decaissements[ID Donateur],A121),"")</f>
        <v/>
      </c>
      <c r="AU121" s="76" t="str">
        <f t="shared" ref="AU121:AU152" si="14">IFERROR(AN121/AL121,"")</f>
        <v/>
      </c>
      <c r="AV121" s="75" t="str">
        <f t="shared" ca="1" si="12"/>
        <v/>
      </c>
      <c r="AW121" s="75" t="str">
        <f t="shared" si="13"/>
        <v/>
      </c>
      <c r="AX121" s="81"/>
    </row>
    <row r="122" spans="1:50" ht="15" customHeight="1">
      <c r="A122" s="75" t="str">
        <f t="shared" si="10"/>
        <v/>
      </c>
      <c r="B122" s="81"/>
      <c r="C122" s="81"/>
      <c r="D122" s="81"/>
      <c r="E122" s="81"/>
      <c r="F122" s="81"/>
      <c r="G122" s="81"/>
      <c r="H122" s="81"/>
      <c r="I122" s="81"/>
      <c r="J122" s="81"/>
      <c r="K122" s="81"/>
      <c r="L122" s="81"/>
      <c r="M122" s="81"/>
      <c r="N122" s="81"/>
      <c r="O122" s="81"/>
      <c r="P122" s="81"/>
      <c r="Q122" s="81"/>
      <c r="R122" s="81"/>
      <c r="S122" s="81"/>
      <c r="T122" s="81"/>
      <c r="U122" s="81"/>
      <c r="V122" s="81"/>
      <c r="W122" s="81"/>
      <c r="X122" s="81"/>
      <c r="Y122" s="75" t="str">
        <f>IFERROR(INDEX(PARAMETRES!$B$536:$B$586,MATCH(X122,PARAMETRES!$J$536:$J$586,0)),"")</f>
        <v/>
      </c>
      <c r="Z122" s="75" t="str">
        <f>IFERROR(INDEX(PARAMETRES!$D$536:$D$586,MATCH(X122,PARAMETRES!$J$536:$J$586,0)),"")</f>
        <v/>
      </c>
      <c r="AA122" s="75" t="str">
        <f>IFERROR(INDEX(PARAMETRES!$F$536:$F$586,MATCH(X122,PARAMETRES!$J$536:$J$586,0)),"")</f>
        <v/>
      </c>
      <c r="AB122" s="81"/>
      <c r="AC122" s="82"/>
      <c r="AD122" s="81"/>
      <c r="AE122" s="82"/>
      <c r="AF122" s="82"/>
      <c r="AG122" s="81"/>
      <c r="AH122" s="81"/>
      <c r="AI122" s="75">
        <f>IF(A122="",0,COUNTIF(tbl_Donateurs_Opportunites[ID Donateur],A122))</f>
        <v>0</v>
      </c>
      <c r="AJ122" s="75">
        <f>IF(A122="",0,COUNTIFS(tbl_Donateurs_Opportunites[ID Donateur],A122,tbl_Donateurs_Opportunites[Statut],"Ouverte"))</f>
        <v>0</v>
      </c>
      <c r="AK122" s="75">
        <f>IF(A122="",0,COUNTIF(tbl_Donateurs_Demandes[ID Donateur],A122))</f>
        <v>0</v>
      </c>
      <c r="AL122" s="75">
        <f>IF(A122="",0,COUNTIFS(tbl_Donateurs_Demandes[ID Donateur],A122,tbl_Donateurs_Demandes[Statut],"Approuvee")+COUNTIFS(tbl_Donateurs_Demandes[ID Donateur],A122,tbl_Donateurs_Demandes[Statut],"Financement recu"))</f>
        <v>0</v>
      </c>
      <c r="AM122" s="76">
        <f>IF(A122="",0,SUMIF(tbl_Donateurs_Demandes[ID Donateur],A122,tbl_Donateurs_Demandes[Montant demande]))</f>
        <v>0</v>
      </c>
      <c r="AN122" s="76">
        <f>IF(A122="",0,SUMIF(tbl_Donateurs_Demandes[ID Donateur],A122,tbl_Donateurs_Demandes[Montant accorde]))</f>
        <v>0</v>
      </c>
      <c r="AO122" s="76">
        <f>IF(A122="",0,SUMIF(tbl_Donateurs_Decaissements[ID Donateur],A122,tbl_Donateurs_Decaissements[Montant recu]))</f>
        <v>0</v>
      </c>
      <c r="AP122" s="77" t="str">
        <f t="shared" si="11"/>
        <v/>
      </c>
      <c r="AQ122" s="75">
        <f>IF(A122="",0,COUNTIF(tbl_Donateurs_Contacts[ID Donateur],A122))</f>
        <v>0</v>
      </c>
      <c r="AR122" s="75">
        <f>IF(A122="",0,COUNTIF(tbl_Donateurs_Documents[ID Donateur],A122))</f>
        <v>0</v>
      </c>
      <c r="AS122" s="75">
        <f>IF(A122="",0,COUNTIF(tbl_Donateurs_Conventions[ID Donateur],A122))</f>
        <v>0</v>
      </c>
      <c r="AT122" s="83" t="str">
        <f ca="1">IFERROR(_xlfn.MAXIFS(tbl_Donateurs_Decaissements[Date recue],tbl_Donateurs_Decaissements[ID Donateur],A122),"")</f>
        <v/>
      </c>
      <c r="AU122" s="76" t="str">
        <f t="shared" si="14"/>
        <v/>
      </c>
      <c r="AV122" s="75" t="str">
        <f t="shared" ca="1" si="12"/>
        <v/>
      </c>
      <c r="AW122" s="75" t="str">
        <f t="shared" si="13"/>
        <v/>
      </c>
      <c r="AX122" s="81"/>
    </row>
    <row r="123" spans="1:50" ht="15" customHeight="1">
      <c r="A123" s="75" t="str">
        <f t="shared" si="10"/>
        <v/>
      </c>
      <c r="B123" s="81"/>
      <c r="C123" s="81"/>
      <c r="D123" s="81"/>
      <c r="E123" s="81"/>
      <c r="F123" s="81"/>
      <c r="G123" s="81"/>
      <c r="H123" s="81"/>
      <c r="I123" s="81"/>
      <c r="J123" s="81"/>
      <c r="K123" s="81"/>
      <c r="L123" s="81"/>
      <c r="M123" s="81"/>
      <c r="N123" s="81"/>
      <c r="O123" s="81"/>
      <c r="P123" s="81"/>
      <c r="Q123" s="81"/>
      <c r="R123" s="81"/>
      <c r="S123" s="81"/>
      <c r="T123" s="81"/>
      <c r="U123" s="81"/>
      <c r="V123" s="81"/>
      <c r="W123" s="81"/>
      <c r="X123" s="81"/>
      <c r="Y123" s="75" t="str">
        <f>IFERROR(INDEX(PARAMETRES!$B$536:$B$586,MATCH(X123,PARAMETRES!$J$536:$J$586,0)),"")</f>
        <v/>
      </c>
      <c r="Z123" s="75" t="str">
        <f>IFERROR(INDEX(PARAMETRES!$D$536:$D$586,MATCH(X123,PARAMETRES!$J$536:$J$586,0)),"")</f>
        <v/>
      </c>
      <c r="AA123" s="75" t="str">
        <f>IFERROR(INDEX(PARAMETRES!$F$536:$F$586,MATCH(X123,PARAMETRES!$J$536:$J$586,0)),"")</f>
        <v/>
      </c>
      <c r="AB123" s="81"/>
      <c r="AC123" s="82"/>
      <c r="AD123" s="81"/>
      <c r="AE123" s="82"/>
      <c r="AF123" s="82"/>
      <c r="AG123" s="81"/>
      <c r="AH123" s="81"/>
      <c r="AI123" s="75">
        <f>IF(A123="",0,COUNTIF(tbl_Donateurs_Opportunites[ID Donateur],A123))</f>
        <v>0</v>
      </c>
      <c r="AJ123" s="75">
        <f>IF(A123="",0,COUNTIFS(tbl_Donateurs_Opportunites[ID Donateur],A123,tbl_Donateurs_Opportunites[Statut],"Ouverte"))</f>
        <v>0</v>
      </c>
      <c r="AK123" s="75">
        <f>IF(A123="",0,COUNTIF(tbl_Donateurs_Demandes[ID Donateur],A123))</f>
        <v>0</v>
      </c>
      <c r="AL123" s="75">
        <f>IF(A123="",0,COUNTIFS(tbl_Donateurs_Demandes[ID Donateur],A123,tbl_Donateurs_Demandes[Statut],"Approuvee")+COUNTIFS(tbl_Donateurs_Demandes[ID Donateur],A123,tbl_Donateurs_Demandes[Statut],"Financement recu"))</f>
        <v>0</v>
      </c>
      <c r="AM123" s="76">
        <f>IF(A123="",0,SUMIF(tbl_Donateurs_Demandes[ID Donateur],A123,tbl_Donateurs_Demandes[Montant demande]))</f>
        <v>0</v>
      </c>
      <c r="AN123" s="76">
        <f>IF(A123="",0,SUMIF(tbl_Donateurs_Demandes[ID Donateur],A123,tbl_Donateurs_Demandes[Montant accorde]))</f>
        <v>0</v>
      </c>
      <c r="AO123" s="76">
        <f>IF(A123="",0,SUMIF(tbl_Donateurs_Decaissements[ID Donateur],A123,tbl_Donateurs_Decaissements[Montant recu]))</f>
        <v>0</v>
      </c>
      <c r="AP123" s="77" t="str">
        <f t="shared" si="11"/>
        <v/>
      </c>
      <c r="AQ123" s="75">
        <f>IF(A123="",0,COUNTIF(tbl_Donateurs_Contacts[ID Donateur],A123))</f>
        <v>0</v>
      </c>
      <c r="AR123" s="75">
        <f>IF(A123="",0,COUNTIF(tbl_Donateurs_Documents[ID Donateur],A123))</f>
        <v>0</v>
      </c>
      <c r="AS123" s="75">
        <f>IF(A123="",0,COUNTIF(tbl_Donateurs_Conventions[ID Donateur],A123))</f>
        <v>0</v>
      </c>
      <c r="AT123" s="83" t="str">
        <f ca="1">IFERROR(_xlfn.MAXIFS(tbl_Donateurs_Decaissements[Date recue],tbl_Donateurs_Decaissements[ID Donateur],A123),"")</f>
        <v/>
      </c>
      <c r="AU123" s="76" t="str">
        <f t="shared" si="14"/>
        <v/>
      </c>
      <c r="AV123" s="75" t="str">
        <f t="shared" ca="1" si="12"/>
        <v/>
      </c>
      <c r="AW123" s="75" t="str">
        <f t="shared" si="13"/>
        <v/>
      </c>
      <c r="AX123" s="81"/>
    </row>
    <row r="124" spans="1:50" ht="15" customHeight="1">
      <c r="A124" s="75" t="str">
        <f t="shared" si="10"/>
        <v/>
      </c>
      <c r="B124" s="81"/>
      <c r="C124" s="81"/>
      <c r="D124" s="81"/>
      <c r="E124" s="81"/>
      <c r="F124" s="81"/>
      <c r="G124" s="81"/>
      <c r="H124" s="81"/>
      <c r="I124" s="81"/>
      <c r="J124" s="81"/>
      <c r="K124" s="81"/>
      <c r="L124" s="81"/>
      <c r="M124" s="81"/>
      <c r="N124" s="81"/>
      <c r="O124" s="81"/>
      <c r="P124" s="81"/>
      <c r="Q124" s="81"/>
      <c r="R124" s="81"/>
      <c r="S124" s="81"/>
      <c r="T124" s="81"/>
      <c r="U124" s="81"/>
      <c r="V124" s="81"/>
      <c r="W124" s="81"/>
      <c r="X124" s="81"/>
      <c r="Y124" s="75" t="str">
        <f>IFERROR(INDEX(PARAMETRES!$B$536:$B$586,MATCH(X124,PARAMETRES!$J$536:$J$586,0)),"")</f>
        <v/>
      </c>
      <c r="Z124" s="75" t="str">
        <f>IFERROR(INDEX(PARAMETRES!$D$536:$D$586,MATCH(X124,PARAMETRES!$J$536:$J$586,0)),"")</f>
        <v/>
      </c>
      <c r="AA124" s="75" t="str">
        <f>IFERROR(INDEX(PARAMETRES!$F$536:$F$586,MATCH(X124,PARAMETRES!$J$536:$J$586,0)),"")</f>
        <v/>
      </c>
      <c r="AB124" s="81"/>
      <c r="AC124" s="82"/>
      <c r="AD124" s="81"/>
      <c r="AE124" s="82"/>
      <c r="AF124" s="82"/>
      <c r="AG124" s="81"/>
      <c r="AH124" s="81"/>
      <c r="AI124" s="75">
        <f>IF(A124="",0,COUNTIF(tbl_Donateurs_Opportunites[ID Donateur],A124))</f>
        <v>0</v>
      </c>
      <c r="AJ124" s="75">
        <f>IF(A124="",0,COUNTIFS(tbl_Donateurs_Opportunites[ID Donateur],A124,tbl_Donateurs_Opportunites[Statut],"Ouverte"))</f>
        <v>0</v>
      </c>
      <c r="AK124" s="75">
        <f>IF(A124="",0,COUNTIF(tbl_Donateurs_Demandes[ID Donateur],A124))</f>
        <v>0</v>
      </c>
      <c r="AL124" s="75">
        <f>IF(A124="",0,COUNTIFS(tbl_Donateurs_Demandes[ID Donateur],A124,tbl_Donateurs_Demandes[Statut],"Approuvee")+COUNTIFS(tbl_Donateurs_Demandes[ID Donateur],A124,tbl_Donateurs_Demandes[Statut],"Financement recu"))</f>
        <v>0</v>
      </c>
      <c r="AM124" s="76">
        <f>IF(A124="",0,SUMIF(tbl_Donateurs_Demandes[ID Donateur],A124,tbl_Donateurs_Demandes[Montant demande]))</f>
        <v>0</v>
      </c>
      <c r="AN124" s="76">
        <f>IF(A124="",0,SUMIF(tbl_Donateurs_Demandes[ID Donateur],A124,tbl_Donateurs_Demandes[Montant accorde]))</f>
        <v>0</v>
      </c>
      <c r="AO124" s="76">
        <f>IF(A124="",0,SUMIF(tbl_Donateurs_Decaissements[ID Donateur],A124,tbl_Donateurs_Decaissements[Montant recu]))</f>
        <v>0</v>
      </c>
      <c r="AP124" s="77" t="str">
        <f t="shared" si="11"/>
        <v/>
      </c>
      <c r="AQ124" s="75">
        <f>IF(A124="",0,COUNTIF(tbl_Donateurs_Contacts[ID Donateur],A124))</f>
        <v>0</v>
      </c>
      <c r="AR124" s="75">
        <f>IF(A124="",0,COUNTIF(tbl_Donateurs_Documents[ID Donateur],A124))</f>
        <v>0</v>
      </c>
      <c r="AS124" s="75">
        <f>IF(A124="",0,COUNTIF(tbl_Donateurs_Conventions[ID Donateur],A124))</f>
        <v>0</v>
      </c>
      <c r="AT124" s="83" t="str">
        <f ca="1">IFERROR(_xlfn.MAXIFS(tbl_Donateurs_Decaissements[Date recue],tbl_Donateurs_Decaissements[ID Donateur],A124),"")</f>
        <v/>
      </c>
      <c r="AU124" s="76" t="str">
        <f t="shared" si="14"/>
        <v/>
      </c>
      <c r="AV124" s="75" t="str">
        <f t="shared" ca="1" si="12"/>
        <v/>
      </c>
      <c r="AW124" s="75" t="str">
        <f t="shared" si="13"/>
        <v/>
      </c>
      <c r="AX124" s="81"/>
    </row>
    <row r="125" spans="1:50" ht="15" customHeight="1">
      <c r="A125" s="75" t="str">
        <f t="shared" si="10"/>
        <v/>
      </c>
      <c r="B125" s="81"/>
      <c r="C125" s="81"/>
      <c r="D125" s="81"/>
      <c r="E125" s="81"/>
      <c r="F125" s="81"/>
      <c r="G125" s="81"/>
      <c r="H125" s="81"/>
      <c r="I125" s="81"/>
      <c r="J125" s="81"/>
      <c r="K125" s="81"/>
      <c r="L125" s="81"/>
      <c r="M125" s="81"/>
      <c r="N125" s="81"/>
      <c r="O125" s="81"/>
      <c r="P125" s="81"/>
      <c r="Q125" s="81"/>
      <c r="R125" s="81"/>
      <c r="S125" s="81"/>
      <c r="T125" s="81"/>
      <c r="U125" s="81"/>
      <c r="V125" s="81"/>
      <c r="W125" s="81"/>
      <c r="X125" s="81"/>
      <c r="Y125" s="75" t="str">
        <f>IFERROR(INDEX(PARAMETRES!$B$536:$B$586,MATCH(X125,PARAMETRES!$J$536:$J$586,0)),"")</f>
        <v/>
      </c>
      <c r="Z125" s="75" t="str">
        <f>IFERROR(INDEX(PARAMETRES!$D$536:$D$586,MATCH(X125,PARAMETRES!$J$536:$J$586,0)),"")</f>
        <v/>
      </c>
      <c r="AA125" s="75" t="str">
        <f>IFERROR(INDEX(PARAMETRES!$F$536:$F$586,MATCH(X125,PARAMETRES!$J$536:$J$586,0)),"")</f>
        <v/>
      </c>
      <c r="AB125" s="81"/>
      <c r="AC125" s="82"/>
      <c r="AD125" s="81"/>
      <c r="AE125" s="82"/>
      <c r="AF125" s="82"/>
      <c r="AG125" s="81"/>
      <c r="AH125" s="81"/>
      <c r="AI125" s="75">
        <f>IF(A125="",0,COUNTIF(tbl_Donateurs_Opportunites[ID Donateur],A125))</f>
        <v>0</v>
      </c>
      <c r="AJ125" s="75">
        <f>IF(A125="",0,COUNTIFS(tbl_Donateurs_Opportunites[ID Donateur],A125,tbl_Donateurs_Opportunites[Statut],"Ouverte"))</f>
        <v>0</v>
      </c>
      <c r="AK125" s="75">
        <f>IF(A125="",0,COUNTIF(tbl_Donateurs_Demandes[ID Donateur],A125))</f>
        <v>0</v>
      </c>
      <c r="AL125" s="75">
        <f>IF(A125="",0,COUNTIFS(tbl_Donateurs_Demandes[ID Donateur],A125,tbl_Donateurs_Demandes[Statut],"Approuvee")+COUNTIFS(tbl_Donateurs_Demandes[ID Donateur],A125,tbl_Donateurs_Demandes[Statut],"Financement recu"))</f>
        <v>0</v>
      </c>
      <c r="AM125" s="76">
        <f>IF(A125="",0,SUMIF(tbl_Donateurs_Demandes[ID Donateur],A125,tbl_Donateurs_Demandes[Montant demande]))</f>
        <v>0</v>
      </c>
      <c r="AN125" s="76">
        <f>IF(A125="",0,SUMIF(tbl_Donateurs_Demandes[ID Donateur],A125,tbl_Donateurs_Demandes[Montant accorde]))</f>
        <v>0</v>
      </c>
      <c r="AO125" s="76">
        <f>IF(A125="",0,SUMIF(tbl_Donateurs_Decaissements[ID Donateur],A125,tbl_Donateurs_Decaissements[Montant recu]))</f>
        <v>0</v>
      </c>
      <c r="AP125" s="77" t="str">
        <f t="shared" si="11"/>
        <v/>
      </c>
      <c r="AQ125" s="75">
        <f>IF(A125="",0,COUNTIF(tbl_Donateurs_Contacts[ID Donateur],A125))</f>
        <v>0</v>
      </c>
      <c r="AR125" s="75">
        <f>IF(A125="",0,COUNTIF(tbl_Donateurs_Documents[ID Donateur],A125))</f>
        <v>0</v>
      </c>
      <c r="AS125" s="75">
        <f>IF(A125="",0,COUNTIF(tbl_Donateurs_Conventions[ID Donateur],A125))</f>
        <v>0</v>
      </c>
      <c r="AT125" s="83" t="str">
        <f ca="1">IFERROR(_xlfn.MAXIFS(tbl_Donateurs_Decaissements[Date recue],tbl_Donateurs_Decaissements[ID Donateur],A125),"")</f>
        <v/>
      </c>
      <c r="AU125" s="76" t="str">
        <f t="shared" si="14"/>
        <v/>
      </c>
      <c r="AV125" s="75" t="str">
        <f t="shared" ca="1" si="12"/>
        <v/>
      </c>
      <c r="AW125" s="75" t="str">
        <f t="shared" si="13"/>
        <v/>
      </c>
      <c r="AX125" s="81"/>
    </row>
    <row r="126" spans="1:50" ht="15" customHeight="1">
      <c r="A126" s="75" t="str">
        <f t="shared" si="10"/>
        <v/>
      </c>
      <c r="B126" s="81"/>
      <c r="C126" s="81"/>
      <c r="D126" s="81"/>
      <c r="E126" s="81"/>
      <c r="F126" s="81"/>
      <c r="G126" s="81"/>
      <c r="H126" s="81"/>
      <c r="I126" s="81"/>
      <c r="J126" s="81"/>
      <c r="K126" s="81"/>
      <c r="L126" s="81"/>
      <c r="M126" s="81"/>
      <c r="N126" s="81"/>
      <c r="O126" s="81"/>
      <c r="P126" s="81"/>
      <c r="Q126" s="81"/>
      <c r="R126" s="81"/>
      <c r="S126" s="81"/>
      <c r="T126" s="81"/>
      <c r="U126" s="81"/>
      <c r="V126" s="81"/>
      <c r="W126" s="81"/>
      <c r="X126" s="81"/>
      <c r="Y126" s="75" t="str">
        <f>IFERROR(INDEX(PARAMETRES!$B$536:$B$586,MATCH(X126,PARAMETRES!$J$536:$J$586,0)),"")</f>
        <v/>
      </c>
      <c r="Z126" s="75" t="str">
        <f>IFERROR(INDEX(PARAMETRES!$D$536:$D$586,MATCH(X126,PARAMETRES!$J$536:$J$586,0)),"")</f>
        <v/>
      </c>
      <c r="AA126" s="75" t="str">
        <f>IFERROR(INDEX(PARAMETRES!$F$536:$F$586,MATCH(X126,PARAMETRES!$J$536:$J$586,0)),"")</f>
        <v/>
      </c>
      <c r="AB126" s="81"/>
      <c r="AC126" s="82"/>
      <c r="AD126" s="81"/>
      <c r="AE126" s="82"/>
      <c r="AF126" s="82"/>
      <c r="AG126" s="81"/>
      <c r="AH126" s="81"/>
      <c r="AI126" s="75">
        <f>IF(A126="",0,COUNTIF(tbl_Donateurs_Opportunites[ID Donateur],A126))</f>
        <v>0</v>
      </c>
      <c r="AJ126" s="75">
        <f>IF(A126="",0,COUNTIFS(tbl_Donateurs_Opportunites[ID Donateur],A126,tbl_Donateurs_Opportunites[Statut],"Ouverte"))</f>
        <v>0</v>
      </c>
      <c r="AK126" s="75">
        <f>IF(A126="",0,COUNTIF(tbl_Donateurs_Demandes[ID Donateur],A126))</f>
        <v>0</v>
      </c>
      <c r="AL126" s="75">
        <f>IF(A126="",0,COUNTIFS(tbl_Donateurs_Demandes[ID Donateur],A126,tbl_Donateurs_Demandes[Statut],"Approuvee")+COUNTIFS(tbl_Donateurs_Demandes[ID Donateur],A126,tbl_Donateurs_Demandes[Statut],"Financement recu"))</f>
        <v>0</v>
      </c>
      <c r="AM126" s="76">
        <f>IF(A126="",0,SUMIF(tbl_Donateurs_Demandes[ID Donateur],A126,tbl_Donateurs_Demandes[Montant demande]))</f>
        <v>0</v>
      </c>
      <c r="AN126" s="76">
        <f>IF(A126="",0,SUMIF(tbl_Donateurs_Demandes[ID Donateur],A126,tbl_Donateurs_Demandes[Montant accorde]))</f>
        <v>0</v>
      </c>
      <c r="AO126" s="76">
        <f>IF(A126="",0,SUMIF(tbl_Donateurs_Decaissements[ID Donateur],A126,tbl_Donateurs_Decaissements[Montant recu]))</f>
        <v>0</v>
      </c>
      <c r="AP126" s="77" t="str">
        <f t="shared" si="11"/>
        <v/>
      </c>
      <c r="AQ126" s="75">
        <f>IF(A126="",0,COUNTIF(tbl_Donateurs_Contacts[ID Donateur],A126))</f>
        <v>0</v>
      </c>
      <c r="AR126" s="75">
        <f>IF(A126="",0,COUNTIF(tbl_Donateurs_Documents[ID Donateur],A126))</f>
        <v>0</v>
      </c>
      <c r="AS126" s="75">
        <f>IF(A126="",0,COUNTIF(tbl_Donateurs_Conventions[ID Donateur],A126))</f>
        <v>0</v>
      </c>
      <c r="AT126" s="83" t="str">
        <f ca="1">IFERROR(_xlfn.MAXIFS(tbl_Donateurs_Decaissements[Date recue],tbl_Donateurs_Decaissements[ID Donateur],A126),"")</f>
        <v/>
      </c>
      <c r="AU126" s="76" t="str">
        <f t="shared" si="14"/>
        <v/>
      </c>
      <c r="AV126" s="75" t="str">
        <f t="shared" ca="1" si="12"/>
        <v/>
      </c>
      <c r="AW126" s="75" t="str">
        <f t="shared" si="13"/>
        <v/>
      </c>
      <c r="AX126" s="81"/>
    </row>
    <row r="127" spans="1:50" ht="15" customHeight="1">
      <c r="A127" s="75" t="str">
        <f t="shared" si="10"/>
        <v/>
      </c>
      <c r="B127" s="81"/>
      <c r="C127" s="81"/>
      <c r="D127" s="81"/>
      <c r="E127" s="81"/>
      <c r="F127" s="81"/>
      <c r="G127" s="81"/>
      <c r="H127" s="81"/>
      <c r="I127" s="81"/>
      <c r="J127" s="81"/>
      <c r="K127" s="81"/>
      <c r="L127" s="81"/>
      <c r="M127" s="81"/>
      <c r="N127" s="81"/>
      <c r="O127" s="81"/>
      <c r="P127" s="81"/>
      <c r="Q127" s="81"/>
      <c r="R127" s="81"/>
      <c r="S127" s="81"/>
      <c r="T127" s="81"/>
      <c r="U127" s="81"/>
      <c r="V127" s="81"/>
      <c r="W127" s="81"/>
      <c r="X127" s="81"/>
      <c r="Y127" s="75" t="str">
        <f>IFERROR(INDEX(PARAMETRES!$B$536:$B$586,MATCH(X127,PARAMETRES!$J$536:$J$586,0)),"")</f>
        <v/>
      </c>
      <c r="Z127" s="75" t="str">
        <f>IFERROR(INDEX(PARAMETRES!$D$536:$D$586,MATCH(X127,PARAMETRES!$J$536:$J$586,0)),"")</f>
        <v/>
      </c>
      <c r="AA127" s="75" t="str">
        <f>IFERROR(INDEX(PARAMETRES!$F$536:$F$586,MATCH(X127,PARAMETRES!$J$536:$J$586,0)),"")</f>
        <v/>
      </c>
      <c r="AB127" s="81"/>
      <c r="AC127" s="82"/>
      <c r="AD127" s="81"/>
      <c r="AE127" s="82"/>
      <c r="AF127" s="82"/>
      <c r="AG127" s="81"/>
      <c r="AH127" s="81"/>
      <c r="AI127" s="75">
        <f>IF(A127="",0,COUNTIF(tbl_Donateurs_Opportunites[ID Donateur],A127))</f>
        <v>0</v>
      </c>
      <c r="AJ127" s="75">
        <f>IF(A127="",0,COUNTIFS(tbl_Donateurs_Opportunites[ID Donateur],A127,tbl_Donateurs_Opportunites[Statut],"Ouverte"))</f>
        <v>0</v>
      </c>
      <c r="AK127" s="75">
        <f>IF(A127="",0,COUNTIF(tbl_Donateurs_Demandes[ID Donateur],A127))</f>
        <v>0</v>
      </c>
      <c r="AL127" s="75">
        <f>IF(A127="",0,COUNTIFS(tbl_Donateurs_Demandes[ID Donateur],A127,tbl_Donateurs_Demandes[Statut],"Approuvee")+COUNTIFS(tbl_Donateurs_Demandes[ID Donateur],A127,tbl_Donateurs_Demandes[Statut],"Financement recu"))</f>
        <v>0</v>
      </c>
      <c r="AM127" s="76">
        <f>IF(A127="",0,SUMIF(tbl_Donateurs_Demandes[ID Donateur],A127,tbl_Donateurs_Demandes[Montant demande]))</f>
        <v>0</v>
      </c>
      <c r="AN127" s="76">
        <f>IF(A127="",0,SUMIF(tbl_Donateurs_Demandes[ID Donateur],A127,tbl_Donateurs_Demandes[Montant accorde]))</f>
        <v>0</v>
      </c>
      <c r="AO127" s="76">
        <f>IF(A127="",0,SUMIF(tbl_Donateurs_Decaissements[ID Donateur],A127,tbl_Donateurs_Decaissements[Montant recu]))</f>
        <v>0</v>
      </c>
      <c r="AP127" s="77" t="str">
        <f t="shared" si="11"/>
        <v/>
      </c>
      <c r="AQ127" s="75">
        <f>IF(A127="",0,COUNTIF(tbl_Donateurs_Contacts[ID Donateur],A127))</f>
        <v>0</v>
      </c>
      <c r="AR127" s="75">
        <f>IF(A127="",0,COUNTIF(tbl_Donateurs_Documents[ID Donateur],A127))</f>
        <v>0</v>
      </c>
      <c r="AS127" s="75">
        <f>IF(A127="",0,COUNTIF(tbl_Donateurs_Conventions[ID Donateur],A127))</f>
        <v>0</v>
      </c>
      <c r="AT127" s="83" t="str">
        <f ca="1">IFERROR(_xlfn.MAXIFS(tbl_Donateurs_Decaissements[Date recue],tbl_Donateurs_Decaissements[ID Donateur],A127),"")</f>
        <v/>
      </c>
      <c r="AU127" s="76" t="str">
        <f t="shared" si="14"/>
        <v/>
      </c>
      <c r="AV127" s="75" t="str">
        <f t="shared" ca="1" si="12"/>
        <v/>
      </c>
      <c r="AW127" s="75" t="str">
        <f t="shared" si="13"/>
        <v/>
      </c>
      <c r="AX127" s="81"/>
    </row>
    <row r="128" spans="1:50" ht="15" customHeight="1">
      <c r="A128" s="75" t="str">
        <f t="shared" si="10"/>
        <v/>
      </c>
      <c r="B128" s="81"/>
      <c r="C128" s="81"/>
      <c r="D128" s="81"/>
      <c r="E128" s="81"/>
      <c r="F128" s="81"/>
      <c r="G128" s="81"/>
      <c r="H128" s="81"/>
      <c r="I128" s="81"/>
      <c r="J128" s="81"/>
      <c r="K128" s="81"/>
      <c r="L128" s="81"/>
      <c r="M128" s="81"/>
      <c r="N128" s="81"/>
      <c r="O128" s="81"/>
      <c r="P128" s="81"/>
      <c r="Q128" s="81"/>
      <c r="R128" s="81"/>
      <c r="S128" s="81"/>
      <c r="T128" s="81"/>
      <c r="U128" s="81"/>
      <c r="V128" s="81"/>
      <c r="W128" s="81"/>
      <c r="X128" s="81"/>
      <c r="Y128" s="75" t="str">
        <f>IFERROR(INDEX(PARAMETRES!$B$536:$B$586,MATCH(X128,PARAMETRES!$J$536:$J$586,0)),"")</f>
        <v/>
      </c>
      <c r="Z128" s="75" t="str">
        <f>IFERROR(INDEX(PARAMETRES!$D$536:$D$586,MATCH(X128,PARAMETRES!$J$536:$J$586,0)),"")</f>
        <v/>
      </c>
      <c r="AA128" s="75" t="str">
        <f>IFERROR(INDEX(PARAMETRES!$F$536:$F$586,MATCH(X128,PARAMETRES!$J$536:$J$586,0)),"")</f>
        <v/>
      </c>
      <c r="AB128" s="81"/>
      <c r="AC128" s="82"/>
      <c r="AD128" s="81"/>
      <c r="AE128" s="82"/>
      <c r="AF128" s="82"/>
      <c r="AG128" s="81"/>
      <c r="AH128" s="81"/>
      <c r="AI128" s="75">
        <f>IF(A128="",0,COUNTIF(tbl_Donateurs_Opportunites[ID Donateur],A128))</f>
        <v>0</v>
      </c>
      <c r="AJ128" s="75">
        <f>IF(A128="",0,COUNTIFS(tbl_Donateurs_Opportunites[ID Donateur],A128,tbl_Donateurs_Opportunites[Statut],"Ouverte"))</f>
        <v>0</v>
      </c>
      <c r="AK128" s="75">
        <f>IF(A128="",0,COUNTIF(tbl_Donateurs_Demandes[ID Donateur],A128))</f>
        <v>0</v>
      </c>
      <c r="AL128" s="75">
        <f>IF(A128="",0,COUNTIFS(tbl_Donateurs_Demandes[ID Donateur],A128,tbl_Donateurs_Demandes[Statut],"Approuvee")+COUNTIFS(tbl_Donateurs_Demandes[ID Donateur],A128,tbl_Donateurs_Demandes[Statut],"Financement recu"))</f>
        <v>0</v>
      </c>
      <c r="AM128" s="76">
        <f>IF(A128="",0,SUMIF(tbl_Donateurs_Demandes[ID Donateur],A128,tbl_Donateurs_Demandes[Montant demande]))</f>
        <v>0</v>
      </c>
      <c r="AN128" s="76">
        <f>IF(A128="",0,SUMIF(tbl_Donateurs_Demandes[ID Donateur],A128,tbl_Donateurs_Demandes[Montant accorde]))</f>
        <v>0</v>
      </c>
      <c r="AO128" s="76">
        <f>IF(A128="",0,SUMIF(tbl_Donateurs_Decaissements[ID Donateur],A128,tbl_Donateurs_Decaissements[Montant recu]))</f>
        <v>0</v>
      </c>
      <c r="AP128" s="77" t="str">
        <f t="shared" si="11"/>
        <v/>
      </c>
      <c r="AQ128" s="75">
        <f>IF(A128="",0,COUNTIF(tbl_Donateurs_Contacts[ID Donateur],A128))</f>
        <v>0</v>
      </c>
      <c r="AR128" s="75">
        <f>IF(A128="",0,COUNTIF(tbl_Donateurs_Documents[ID Donateur],A128))</f>
        <v>0</v>
      </c>
      <c r="AS128" s="75">
        <f>IF(A128="",0,COUNTIF(tbl_Donateurs_Conventions[ID Donateur],A128))</f>
        <v>0</v>
      </c>
      <c r="AT128" s="83" t="str">
        <f ca="1">IFERROR(_xlfn.MAXIFS(tbl_Donateurs_Decaissements[Date recue],tbl_Donateurs_Decaissements[ID Donateur],A128),"")</f>
        <v/>
      </c>
      <c r="AU128" s="76" t="str">
        <f t="shared" si="14"/>
        <v/>
      </c>
      <c r="AV128" s="75" t="str">
        <f t="shared" ca="1" si="12"/>
        <v/>
      </c>
      <c r="AW128" s="75" t="str">
        <f t="shared" si="13"/>
        <v/>
      </c>
      <c r="AX128" s="81"/>
    </row>
    <row r="129" spans="1:50" ht="15" customHeight="1">
      <c r="A129" s="75" t="str">
        <f t="shared" si="10"/>
        <v/>
      </c>
      <c r="B129" s="81"/>
      <c r="C129" s="81"/>
      <c r="D129" s="81"/>
      <c r="E129" s="81"/>
      <c r="F129" s="81"/>
      <c r="G129" s="81"/>
      <c r="H129" s="81"/>
      <c r="I129" s="81"/>
      <c r="J129" s="81"/>
      <c r="K129" s="81"/>
      <c r="L129" s="81"/>
      <c r="M129" s="81"/>
      <c r="N129" s="81"/>
      <c r="O129" s="81"/>
      <c r="P129" s="81"/>
      <c r="Q129" s="81"/>
      <c r="R129" s="81"/>
      <c r="S129" s="81"/>
      <c r="T129" s="81"/>
      <c r="U129" s="81"/>
      <c r="V129" s="81"/>
      <c r="W129" s="81"/>
      <c r="X129" s="81"/>
      <c r="Y129" s="75" t="str">
        <f>IFERROR(INDEX(PARAMETRES!$B$536:$B$586,MATCH(X129,PARAMETRES!$J$536:$J$586,0)),"")</f>
        <v/>
      </c>
      <c r="Z129" s="75" t="str">
        <f>IFERROR(INDEX(PARAMETRES!$D$536:$D$586,MATCH(X129,PARAMETRES!$J$536:$J$586,0)),"")</f>
        <v/>
      </c>
      <c r="AA129" s="75" t="str">
        <f>IFERROR(INDEX(PARAMETRES!$F$536:$F$586,MATCH(X129,PARAMETRES!$J$536:$J$586,0)),"")</f>
        <v/>
      </c>
      <c r="AB129" s="81"/>
      <c r="AC129" s="82"/>
      <c r="AD129" s="81"/>
      <c r="AE129" s="82"/>
      <c r="AF129" s="82"/>
      <c r="AG129" s="81"/>
      <c r="AH129" s="81"/>
      <c r="AI129" s="75">
        <f>IF(A129="",0,COUNTIF(tbl_Donateurs_Opportunites[ID Donateur],A129))</f>
        <v>0</v>
      </c>
      <c r="AJ129" s="75">
        <f>IF(A129="",0,COUNTIFS(tbl_Donateurs_Opportunites[ID Donateur],A129,tbl_Donateurs_Opportunites[Statut],"Ouverte"))</f>
        <v>0</v>
      </c>
      <c r="AK129" s="75">
        <f>IF(A129="",0,COUNTIF(tbl_Donateurs_Demandes[ID Donateur],A129))</f>
        <v>0</v>
      </c>
      <c r="AL129" s="75">
        <f>IF(A129="",0,COUNTIFS(tbl_Donateurs_Demandes[ID Donateur],A129,tbl_Donateurs_Demandes[Statut],"Approuvee")+COUNTIFS(tbl_Donateurs_Demandes[ID Donateur],A129,tbl_Donateurs_Demandes[Statut],"Financement recu"))</f>
        <v>0</v>
      </c>
      <c r="AM129" s="76">
        <f>IF(A129="",0,SUMIF(tbl_Donateurs_Demandes[ID Donateur],A129,tbl_Donateurs_Demandes[Montant demande]))</f>
        <v>0</v>
      </c>
      <c r="AN129" s="76">
        <f>IF(A129="",0,SUMIF(tbl_Donateurs_Demandes[ID Donateur],A129,tbl_Donateurs_Demandes[Montant accorde]))</f>
        <v>0</v>
      </c>
      <c r="AO129" s="76">
        <f>IF(A129="",0,SUMIF(tbl_Donateurs_Decaissements[ID Donateur],A129,tbl_Donateurs_Decaissements[Montant recu]))</f>
        <v>0</v>
      </c>
      <c r="AP129" s="77" t="str">
        <f t="shared" si="11"/>
        <v/>
      </c>
      <c r="AQ129" s="75">
        <f>IF(A129="",0,COUNTIF(tbl_Donateurs_Contacts[ID Donateur],A129))</f>
        <v>0</v>
      </c>
      <c r="AR129" s="75">
        <f>IF(A129="",0,COUNTIF(tbl_Donateurs_Documents[ID Donateur],A129))</f>
        <v>0</v>
      </c>
      <c r="AS129" s="75">
        <f>IF(A129="",0,COUNTIF(tbl_Donateurs_Conventions[ID Donateur],A129))</f>
        <v>0</v>
      </c>
      <c r="AT129" s="83" t="str">
        <f ca="1">IFERROR(_xlfn.MAXIFS(tbl_Donateurs_Decaissements[Date recue],tbl_Donateurs_Decaissements[ID Donateur],A129),"")</f>
        <v/>
      </c>
      <c r="AU129" s="76" t="str">
        <f t="shared" si="14"/>
        <v/>
      </c>
      <c r="AV129" s="75" t="str">
        <f t="shared" ca="1" si="12"/>
        <v/>
      </c>
      <c r="AW129" s="75" t="str">
        <f t="shared" si="13"/>
        <v/>
      </c>
      <c r="AX129" s="81"/>
    </row>
    <row r="130" spans="1:50" ht="15" customHeight="1">
      <c r="A130" s="75" t="str">
        <f t="shared" si="10"/>
        <v/>
      </c>
      <c r="B130" s="81"/>
      <c r="C130" s="81"/>
      <c r="D130" s="81"/>
      <c r="E130" s="81"/>
      <c r="F130" s="81"/>
      <c r="G130" s="81"/>
      <c r="H130" s="81"/>
      <c r="I130" s="81"/>
      <c r="J130" s="81"/>
      <c r="K130" s="81"/>
      <c r="L130" s="81"/>
      <c r="M130" s="81"/>
      <c r="N130" s="81"/>
      <c r="O130" s="81"/>
      <c r="P130" s="81"/>
      <c r="Q130" s="81"/>
      <c r="R130" s="81"/>
      <c r="S130" s="81"/>
      <c r="T130" s="81"/>
      <c r="U130" s="81"/>
      <c r="V130" s="81"/>
      <c r="W130" s="81"/>
      <c r="X130" s="81"/>
      <c r="Y130" s="75" t="str">
        <f>IFERROR(INDEX(PARAMETRES!$B$536:$B$586,MATCH(X130,PARAMETRES!$J$536:$J$586,0)),"")</f>
        <v/>
      </c>
      <c r="Z130" s="75" t="str">
        <f>IFERROR(INDEX(PARAMETRES!$D$536:$D$586,MATCH(X130,PARAMETRES!$J$536:$J$586,0)),"")</f>
        <v/>
      </c>
      <c r="AA130" s="75" t="str">
        <f>IFERROR(INDEX(PARAMETRES!$F$536:$F$586,MATCH(X130,PARAMETRES!$J$536:$J$586,0)),"")</f>
        <v/>
      </c>
      <c r="AB130" s="81"/>
      <c r="AC130" s="82"/>
      <c r="AD130" s="81"/>
      <c r="AE130" s="82"/>
      <c r="AF130" s="82"/>
      <c r="AG130" s="81"/>
      <c r="AH130" s="81"/>
      <c r="AI130" s="75">
        <f>IF(A130="",0,COUNTIF(tbl_Donateurs_Opportunites[ID Donateur],A130))</f>
        <v>0</v>
      </c>
      <c r="AJ130" s="75">
        <f>IF(A130="",0,COUNTIFS(tbl_Donateurs_Opportunites[ID Donateur],A130,tbl_Donateurs_Opportunites[Statut],"Ouverte"))</f>
        <v>0</v>
      </c>
      <c r="AK130" s="75">
        <f>IF(A130="",0,COUNTIF(tbl_Donateurs_Demandes[ID Donateur],A130))</f>
        <v>0</v>
      </c>
      <c r="AL130" s="75">
        <f>IF(A130="",0,COUNTIFS(tbl_Donateurs_Demandes[ID Donateur],A130,tbl_Donateurs_Demandes[Statut],"Approuvee")+COUNTIFS(tbl_Donateurs_Demandes[ID Donateur],A130,tbl_Donateurs_Demandes[Statut],"Financement recu"))</f>
        <v>0</v>
      </c>
      <c r="AM130" s="76">
        <f>IF(A130="",0,SUMIF(tbl_Donateurs_Demandes[ID Donateur],A130,tbl_Donateurs_Demandes[Montant demande]))</f>
        <v>0</v>
      </c>
      <c r="AN130" s="76">
        <f>IF(A130="",0,SUMIF(tbl_Donateurs_Demandes[ID Donateur],A130,tbl_Donateurs_Demandes[Montant accorde]))</f>
        <v>0</v>
      </c>
      <c r="AO130" s="76">
        <f>IF(A130="",0,SUMIF(tbl_Donateurs_Decaissements[ID Donateur],A130,tbl_Donateurs_Decaissements[Montant recu]))</f>
        <v>0</v>
      </c>
      <c r="AP130" s="77" t="str">
        <f t="shared" si="11"/>
        <v/>
      </c>
      <c r="AQ130" s="75">
        <f>IF(A130="",0,COUNTIF(tbl_Donateurs_Contacts[ID Donateur],A130))</f>
        <v>0</v>
      </c>
      <c r="AR130" s="75">
        <f>IF(A130="",0,COUNTIF(tbl_Donateurs_Documents[ID Donateur],A130))</f>
        <v>0</v>
      </c>
      <c r="AS130" s="75">
        <f>IF(A130="",0,COUNTIF(tbl_Donateurs_Conventions[ID Donateur],A130))</f>
        <v>0</v>
      </c>
      <c r="AT130" s="83" t="str">
        <f ca="1">IFERROR(_xlfn.MAXIFS(tbl_Donateurs_Decaissements[Date recue],tbl_Donateurs_Decaissements[ID Donateur],A130),"")</f>
        <v/>
      </c>
      <c r="AU130" s="76" t="str">
        <f t="shared" si="14"/>
        <v/>
      </c>
      <c r="AV130" s="75" t="str">
        <f t="shared" ca="1" si="12"/>
        <v/>
      </c>
      <c r="AW130" s="75" t="str">
        <f t="shared" si="13"/>
        <v/>
      </c>
      <c r="AX130" s="81"/>
    </row>
    <row r="131" spans="1:50" ht="15" customHeight="1">
      <c r="A131" s="75" t="str">
        <f t="shared" si="10"/>
        <v/>
      </c>
      <c r="B131" s="81"/>
      <c r="C131" s="81"/>
      <c r="D131" s="81"/>
      <c r="E131" s="81"/>
      <c r="F131" s="81"/>
      <c r="G131" s="81"/>
      <c r="H131" s="81"/>
      <c r="I131" s="81"/>
      <c r="J131" s="81"/>
      <c r="K131" s="81"/>
      <c r="L131" s="81"/>
      <c r="M131" s="81"/>
      <c r="N131" s="81"/>
      <c r="O131" s="81"/>
      <c r="P131" s="81"/>
      <c r="Q131" s="81"/>
      <c r="R131" s="81"/>
      <c r="S131" s="81"/>
      <c r="T131" s="81"/>
      <c r="U131" s="81"/>
      <c r="V131" s="81"/>
      <c r="W131" s="81"/>
      <c r="X131" s="81"/>
      <c r="Y131" s="75" t="str">
        <f>IFERROR(INDEX(PARAMETRES!$B$536:$B$586,MATCH(X131,PARAMETRES!$J$536:$J$586,0)),"")</f>
        <v/>
      </c>
      <c r="Z131" s="75" t="str">
        <f>IFERROR(INDEX(PARAMETRES!$D$536:$D$586,MATCH(X131,PARAMETRES!$J$536:$J$586,0)),"")</f>
        <v/>
      </c>
      <c r="AA131" s="75" t="str">
        <f>IFERROR(INDEX(PARAMETRES!$F$536:$F$586,MATCH(X131,PARAMETRES!$J$536:$J$586,0)),"")</f>
        <v/>
      </c>
      <c r="AB131" s="81"/>
      <c r="AC131" s="82"/>
      <c r="AD131" s="81"/>
      <c r="AE131" s="82"/>
      <c r="AF131" s="82"/>
      <c r="AG131" s="81"/>
      <c r="AH131" s="81"/>
      <c r="AI131" s="75">
        <f>IF(A131="",0,COUNTIF(tbl_Donateurs_Opportunites[ID Donateur],A131))</f>
        <v>0</v>
      </c>
      <c r="AJ131" s="75">
        <f>IF(A131="",0,COUNTIFS(tbl_Donateurs_Opportunites[ID Donateur],A131,tbl_Donateurs_Opportunites[Statut],"Ouverte"))</f>
        <v>0</v>
      </c>
      <c r="AK131" s="75">
        <f>IF(A131="",0,COUNTIF(tbl_Donateurs_Demandes[ID Donateur],A131))</f>
        <v>0</v>
      </c>
      <c r="AL131" s="75">
        <f>IF(A131="",0,COUNTIFS(tbl_Donateurs_Demandes[ID Donateur],A131,tbl_Donateurs_Demandes[Statut],"Approuvee")+COUNTIFS(tbl_Donateurs_Demandes[ID Donateur],A131,tbl_Donateurs_Demandes[Statut],"Financement recu"))</f>
        <v>0</v>
      </c>
      <c r="AM131" s="76">
        <f>IF(A131="",0,SUMIF(tbl_Donateurs_Demandes[ID Donateur],A131,tbl_Donateurs_Demandes[Montant demande]))</f>
        <v>0</v>
      </c>
      <c r="AN131" s="76">
        <f>IF(A131="",0,SUMIF(tbl_Donateurs_Demandes[ID Donateur],A131,tbl_Donateurs_Demandes[Montant accorde]))</f>
        <v>0</v>
      </c>
      <c r="AO131" s="76">
        <f>IF(A131="",0,SUMIF(tbl_Donateurs_Decaissements[ID Donateur],A131,tbl_Donateurs_Decaissements[Montant recu]))</f>
        <v>0</v>
      </c>
      <c r="AP131" s="77" t="str">
        <f t="shared" si="11"/>
        <v/>
      </c>
      <c r="AQ131" s="75">
        <f>IF(A131="",0,COUNTIF(tbl_Donateurs_Contacts[ID Donateur],A131))</f>
        <v>0</v>
      </c>
      <c r="AR131" s="75">
        <f>IF(A131="",0,COUNTIF(tbl_Donateurs_Documents[ID Donateur],A131))</f>
        <v>0</v>
      </c>
      <c r="AS131" s="75">
        <f>IF(A131="",0,COUNTIF(tbl_Donateurs_Conventions[ID Donateur],A131))</f>
        <v>0</v>
      </c>
      <c r="AT131" s="83" t="str">
        <f ca="1">IFERROR(_xlfn.MAXIFS(tbl_Donateurs_Decaissements[Date recue],tbl_Donateurs_Decaissements[ID Donateur],A131),"")</f>
        <v/>
      </c>
      <c r="AU131" s="76" t="str">
        <f t="shared" si="14"/>
        <v/>
      </c>
      <c r="AV131" s="75" t="str">
        <f t="shared" ca="1" si="12"/>
        <v/>
      </c>
      <c r="AW131" s="75" t="str">
        <f t="shared" si="13"/>
        <v/>
      </c>
      <c r="AX131" s="81"/>
    </row>
    <row r="132" spans="1:50" ht="15" customHeight="1">
      <c r="A132" s="75" t="str">
        <f t="shared" si="10"/>
        <v/>
      </c>
      <c r="B132" s="81"/>
      <c r="C132" s="81"/>
      <c r="D132" s="81"/>
      <c r="E132" s="81"/>
      <c r="F132" s="81"/>
      <c r="G132" s="81"/>
      <c r="H132" s="81"/>
      <c r="I132" s="81"/>
      <c r="J132" s="81"/>
      <c r="K132" s="81"/>
      <c r="L132" s="81"/>
      <c r="M132" s="81"/>
      <c r="N132" s="81"/>
      <c r="O132" s="81"/>
      <c r="P132" s="81"/>
      <c r="Q132" s="81"/>
      <c r="R132" s="81"/>
      <c r="S132" s="81"/>
      <c r="T132" s="81"/>
      <c r="U132" s="81"/>
      <c r="V132" s="81"/>
      <c r="W132" s="81"/>
      <c r="X132" s="81"/>
      <c r="Y132" s="75" t="str">
        <f>IFERROR(INDEX(PARAMETRES!$B$536:$B$586,MATCH(X132,PARAMETRES!$J$536:$J$586,0)),"")</f>
        <v/>
      </c>
      <c r="Z132" s="75" t="str">
        <f>IFERROR(INDEX(PARAMETRES!$D$536:$D$586,MATCH(X132,PARAMETRES!$J$536:$J$586,0)),"")</f>
        <v/>
      </c>
      <c r="AA132" s="75" t="str">
        <f>IFERROR(INDEX(PARAMETRES!$F$536:$F$586,MATCH(X132,PARAMETRES!$J$536:$J$586,0)),"")</f>
        <v/>
      </c>
      <c r="AB132" s="81"/>
      <c r="AC132" s="82"/>
      <c r="AD132" s="81"/>
      <c r="AE132" s="82"/>
      <c r="AF132" s="82"/>
      <c r="AG132" s="81"/>
      <c r="AH132" s="81"/>
      <c r="AI132" s="75">
        <f>IF(A132="",0,COUNTIF(tbl_Donateurs_Opportunites[ID Donateur],A132))</f>
        <v>0</v>
      </c>
      <c r="AJ132" s="75">
        <f>IF(A132="",0,COUNTIFS(tbl_Donateurs_Opportunites[ID Donateur],A132,tbl_Donateurs_Opportunites[Statut],"Ouverte"))</f>
        <v>0</v>
      </c>
      <c r="AK132" s="75">
        <f>IF(A132="",0,COUNTIF(tbl_Donateurs_Demandes[ID Donateur],A132))</f>
        <v>0</v>
      </c>
      <c r="AL132" s="75">
        <f>IF(A132="",0,COUNTIFS(tbl_Donateurs_Demandes[ID Donateur],A132,tbl_Donateurs_Demandes[Statut],"Approuvee")+COUNTIFS(tbl_Donateurs_Demandes[ID Donateur],A132,tbl_Donateurs_Demandes[Statut],"Financement recu"))</f>
        <v>0</v>
      </c>
      <c r="AM132" s="76">
        <f>IF(A132="",0,SUMIF(tbl_Donateurs_Demandes[ID Donateur],A132,tbl_Donateurs_Demandes[Montant demande]))</f>
        <v>0</v>
      </c>
      <c r="AN132" s="76">
        <f>IF(A132="",0,SUMIF(tbl_Donateurs_Demandes[ID Donateur],A132,tbl_Donateurs_Demandes[Montant accorde]))</f>
        <v>0</v>
      </c>
      <c r="AO132" s="76">
        <f>IF(A132="",0,SUMIF(tbl_Donateurs_Decaissements[ID Donateur],A132,tbl_Donateurs_Decaissements[Montant recu]))</f>
        <v>0</v>
      </c>
      <c r="AP132" s="77" t="str">
        <f t="shared" si="11"/>
        <v/>
      </c>
      <c r="AQ132" s="75">
        <f>IF(A132="",0,COUNTIF(tbl_Donateurs_Contacts[ID Donateur],A132))</f>
        <v>0</v>
      </c>
      <c r="AR132" s="75">
        <f>IF(A132="",0,COUNTIF(tbl_Donateurs_Documents[ID Donateur],A132))</f>
        <v>0</v>
      </c>
      <c r="AS132" s="75">
        <f>IF(A132="",0,COUNTIF(tbl_Donateurs_Conventions[ID Donateur],A132))</f>
        <v>0</v>
      </c>
      <c r="AT132" s="83" t="str">
        <f ca="1">IFERROR(_xlfn.MAXIFS(tbl_Donateurs_Decaissements[Date recue],tbl_Donateurs_Decaissements[ID Donateur],A132),"")</f>
        <v/>
      </c>
      <c r="AU132" s="76" t="str">
        <f t="shared" si="14"/>
        <v/>
      </c>
      <c r="AV132" s="75" t="str">
        <f t="shared" ca="1" si="12"/>
        <v/>
      </c>
      <c r="AW132" s="75" t="str">
        <f t="shared" si="13"/>
        <v/>
      </c>
      <c r="AX132" s="81"/>
    </row>
    <row r="133" spans="1:50" ht="15" customHeight="1">
      <c r="A133" s="75" t="str">
        <f t="shared" si="10"/>
        <v/>
      </c>
      <c r="B133" s="81"/>
      <c r="C133" s="81"/>
      <c r="D133" s="81"/>
      <c r="E133" s="81"/>
      <c r="F133" s="81"/>
      <c r="G133" s="81"/>
      <c r="H133" s="81"/>
      <c r="I133" s="81"/>
      <c r="J133" s="81"/>
      <c r="K133" s="81"/>
      <c r="L133" s="81"/>
      <c r="M133" s="81"/>
      <c r="N133" s="81"/>
      <c r="O133" s="81"/>
      <c r="P133" s="81"/>
      <c r="Q133" s="81"/>
      <c r="R133" s="81"/>
      <c r="S133" s="81"/>
      <c r="T133" s="81"/>
      <c r="U133" s="81"/>
      <c r="V133" s="81"/>
      <c r="W133" s="81"/>
      <c r="X133" s="81"/>
      <c r="Y133" s="75" t="str">
        <f>IFERROR(INDEX(PARAMETRES!$B$536:$B$586,MATCH(X133,PARAMETRES!$J$536:$J$586,0)),"")</f>
        <v/>
      </c>
      <c r="Z133" s="75" t="str">
        <f>IFERROR(INDEX(PARAMETRES!$D$536:$D$586,MATCH(X133,PARAMETRES!$J$536:$J$586,0)),"")</f>
        <v/>
      </c>
      <c r="AA133" s="75" t="str">
        <f>IFERROR(INDEX(PARAMETRES!$F$536:$F$586,MATCH(X133,PARAMETRES!$J$536:$J$586,0)),"")</f>
        <v/>
      </c>
      <c r="AB133" s="81"/>
      <c r="AC133" s="82"/>
      <c r="AD133" s="81"/>
      <c r="AE133" s="82"/>
      <c r="AF133" s="82"/>
      <c r="AG133" s="81"/>
      <c r="AH133" s="81"/>
      <c r="AI133" s="75">
        <f>IF(A133="",0,COUNTIF(tbl_Donateurs_Opportunites[ID Donateur],A133))</f>
        <v>0</v>
      </c>
      <c r="AJ133" s="75">
        <f>IF(A133="",0,COUNTIFS(tbl_Donateurs_Opportunites[ID Donateur],A133,tbl_Donateurs_Opportunites[Statut],"Ouverte"))</f>
        <v>0</v>
      </c>
      <c r="AK133" s="75">
        <f>IF(A133="",0,COUNTIF(tbl_Donateurs_Demandes[ID Donateur],A133))</f>
        <v>0</v>
      </c>
      <c r="AL133" s="75">
        <f>IF(A133="",0,COUNTIFS(tbl_Donateurs_Demandes[ID Donateur],A133,tbl_Donateurs_Demandes[Statut],"Approuvee")+COUNTIFS(tbl_Donateurs_Demandes[ID Donateur],A133,tbl_Donateurs_Demandes[Statut],"Financement recu"))</f>
        <v>0</v>
      </c>
      <c r="AM133" s="76">
        <f>IF(A133="",0,SUMIF(tbl_Donateurs_Demandes[ID Donateur],A133,tbl_Donateurs_Demandes[Montant demande]))</f>
        <v>0</v>
      </c>
      <c r="AN133" s="76">
        <f>IF(A133="",0,SUMIF(tbl_Donateurs_Demandes[ID Donateur],A133,tbl_Donateurs_Demandes[Montant accorde]))</f>
        <v>0</v>
      </c>
      <c r="AO133" s="76">
        <f>IF(A133="",0,SUMIF(tbl_Donateurs_Decaissements[ID Donateur],A133,tbl_Donateurs_Decaissements[Montant recu]))</f>
        <v>0</v>
      </c>
      <c r="AP133" s="77" t="str">
        <f t="shared" si="11"/>
        <v/>
      </c>
      <c r="AQ133" s="75">
        <f>IF(A133="",0,COUNTIF(tbl_Donateurs_Contacts[ID Donateur],A133))</f>
        <v>0</v>
      </c>
      <c r="AR133" s="75">
        <f>IF(A133="",0,COUNTIF(tbl_Donateurs_Documents[ID Donateur],A133))</f>
        <v>0</v>
      </c>
      <c r="AS133" s="75">
        <f>IF(A133="",0,COUNTIF(tbl_Donateurs_Conventions[ID Donateur],A133))</f>
        <v>0</v>
      </c>
      <c r="AT133" s="83" t="str">
        <f ca="1">IFERROR(_xlfn.MAXIFS(tbl_Donateurs_Decaissements[Date recue],tbl_Donateurs_Decaissements[ID Donateur],A133),"")</f>
        <v/>
      </c>
      <c r="AU133" s="76" t="str">
        <f t="shared" si="14"/>
        <v/>
      </c>
      <c r="AV133" s="75" t="str">
        <f t="shared" ca="1" si="12"/>
        <v/>
      </c>
      <c r="AW133" s="75" t="str">
        <f t="shared" si="13"/>
        <v/>
      </c>
      <c r="AX133" s="81"/>
    </row>
    <row r="134" spans="1:50" ht="15" customHeight="1">
      <c r="A134" s="75" t="str">
        <f t="shared" si="10"/>
        <v/>
      </c>
      <c r="B134" s="81"/>
      <c r="C134" s="81"/>
      <c r="D134" s="81"/>
      <c r="E134" s="81"/>
      <c r="F134" s="81"/>
      <c r="G134" s="81"/>
      <c r="H134" s="81"/>
      <c r="I134" s="81"/>
      <c r="J134" s="81"/>
      <c r="K134" s="81"/>
      <c r="L134" s="81"/>
      <c r="M134" s="81"/>
      <c r="N134" s="81"/>
      <c r="O134" s="81"/>
      <c r="P134" s="81"/>
      <c r="Q134" s="81"/>
      <c r="R134" s="81"/>
      <c r="S134" s="81"/>
      <c r="T134" s="81"/>
      <c r="U134" s="81"/>
      <c r="V134" s="81"/>
      <c r="W134" s="81"/>
      <c r="X134" s="81"/>
      <c r="Y134" s="75" t="str">
        <f>IFERROR(INDEX(PARAMETRES!$B$536:$B$586,MATCH(X134,PARAMETRES!$J$536:$J$586,0)),"")</f>
        <v/>
      </c>
      <c r="Z134" s="75" t="str">
        <f>IFERROR(INDEX(PARAMETRES!$D$536:$D$586,MATCH(X134,PARAMETRES!$J$536:$J$586,0)),"")</f>
        <v/>
      </c>
      <c r="AA134" s="75" t="str">
        <f>IFERROR(INDEX(PARAMETRES!$F$536:$F$586,MATCH(X134,PARAMETRES!$J$536:$J$586,0)),"")</f>
        <v/>
      </c>
      <c r="AB134" s="81"/>
      <c r="AC134" s="82"/>
      <c r="AD134" s="81"/>
      <c r="AE134" s="82"/>
      <c r="AF134" s="82"/>
      <c r="AG134" s="81"/>
      <c r="AH134" s="81"/>
      <c r="AI134" s="75">
        <f>IF(A134="",0,COUNTIF(tbl_Donateurs_Opportunites[ID Donateur],A134))</f>
        <v>0</v>
      </c>
      <c r="AJ134" s="75">
        <f>IF(A134="",0,COUNTIFS(tbl_Donateurs_Opportunites[ID Donateur],A134,tbl_Donateurs_Opportunites[Statut],"Ouverte"))</f>
        <v>0</v>
      </c>
      <c r="AK134" s="75">
        <f>IF(A134="",0,COUNTIF(tbl_Donateurs_Demandes[ID Donateur],A134))</f>
        <v>0</v>
      </c>
      <c r="AL134" s="75">
        <f>IF(A134="",0,COUNTIFS(tbl_Donateurs_Demandes[ID Donateur],A134,tbl_Donateurs_Demandes[Statut],"Approuvee")+COUNTIFS(tbl_Donateurs_Demandes[ID Donateur],A134,tbl_Donateurs_Demandes[Statut],"Financement recu"))</f>
        <v>0</v>
      </c>
      <c r="AM134" s="76">
        <f>IF(A134="",0,SUMIF(tbl_Donateurs_Demandes[ID Donateur],A134,tbl_Donateurs_Demandes[Montant demande]))</f>
        <v>0</v>
      </c>
      <c r="AN134" s="76">
        <f>IF(A134="",0,SUMIF(tbl_Donateurs_Demandes[ID Donateur],A134,tbl_Donateurs_Demandes[Montant accorde]))</f>
        <v>0</v>
      </c>
      <c r="AO134" s="76">
        <f>IF(A134="",0,SUMIF(tbl_Donateurs_Decaissements[ID Donateur],A134,tbl_Donateurs_Decaissements[Montant recu]))</f>
        <v>0</v>
      </c>
      <c r="AP134" s="77" t="str">
        <f t="shared" si="11"/>
        <v/>
      </c>
      <c r="AQ134" s="75">
        <f>IF(A134="",0,COUNTIF(tbl_Donateurs_Contacts[ID Donateur],A134))</f>
        <v>0</v>
      </c>
      <c r="AR134" s="75">
        <f>IF(A134="",0,COUNTIF(tbl_Donateurs_Documents[ID Donateur],A134))</f>
        <v>0</v>
      </c>
      <c r="AS134" s="75">
        <f>IF(A134="",0,COUNTIF(tbl_Donateurs_Conventions[ID Donateur],A134))</f>
        <v>0</v>
      </c>
      <c r="AT134" s="83" t="str">
        <f ca="1">IFERROR(_xlfn.MAXIFS(tbl_Donateurs_Decaissements[Date recue],tbl_Donateurs_Decaissements[ID Donateur],A134),"")</f>
        <v/>
      </c>
      <c r="AU134" s="76" t="str">
        <f t="shared" si="14"/>
        <v/>
      </c>
      <c r="AV134" s="75" t="str">
        <f t="shared" ca="1" si="12"/>
        <v/>
      </c>
      <c r="AW134" s="75" t="str">
        <f t="shared" si="13"/>
        <v/>
      </c>
      <c r="AX134" s="81"/>
    </row>
    <row r="135" spans="1:50" ht="15" customHeight="1">
      <c r="A135" s="75" t="str">
        <f t="shared" si="10"/>
        <v/>
      </c>
      <c r="B135" s="81"/>
      <c r="C135" s="81"/>
      <c r="D135" s="81"/>
      <c r="E135" s="81"/>
      <c r="F135" s="81"/>
      <c r="G135" s="81"/>
      <c r="H135" s="81"/>
      <c r="I135" s="81"/>
      <c r="J135" s="81"/>
      <c r="K135" s="81"/>
      <c r="L135" s="81"/>
      <c r="M135" s="81"/>
      <c r="N135" s="81"/>
      <c r="O135" s="81"/>
      <c r="P135" s="81"/>
      <c r="Q135" s="81"/>
      <c r="R135" s="81"/>
      <c r="S135" s="81"/>
      <c r="T135" s="81"/>
      <c r="U135" s="81"/>
      <c r="V135" s="81"/>
      <c r="W135" s="81"/>
      <c r="X135" s="81"/>
      <c r="Y135" s="75" t="str">
        <f>IFERROR(INDEX(PARAMETRES!$B$536:$B$586,MATCH(X135,PARAMETRES!$J$536:$J$586,0)),"")</f>
        <v/>
      </c>
      <c r="Z135" s="75" t="str">
        <f>IFERROR(INDEX(PARAMETRES!$D$536:$D$586,MATCH(X135,PARAMETRES!$J$536:$J$586,0)),"")</f>
        <v/>
      </c>
      <c r="AA135" s="75" t="str">
        <f>IFERROR(INDEX(PARAMETRES!$F$536:$F$586,MATCH(X135,PARAMETRES!$J$536:$J$586,0)),"")</f>
        <v/>
      </c>
      <c r="AB135" s="81"/>
      <c r="AC135" s="82"/>
      <c r="AD135" s="81"/>
      <c r="AE135" s="82"/>
      <c r="AF135" s="82"/>
      <c r="AG135" s="81"/>
      <c r="AH135" s="81"/>
      <c r="AI135" s="75">
        <f>IF(A135="",0,COUNTIF(tbl_Donateurs_Opportunites[ID Donateur],A135))</f>
        <v>0</v>
      </c>
      <c r="AJ135" s="75">
        <f>IF(A135="",0,COUNTIFS(tbl_Donateurs_Opportunites[ID Donateur],A135,tbl_Donateurs_Opportunites[Statut],"Ouverte"))</f>
        <v>0</v>
      </c>
      <c r="AK135" s="75">
        <f>IF(A135="",0,COUNTIF(tbl_Donateurs_Demandes[ID Donateur],A135))</f>
        <v>0</v>
      </c>
      <c r="AL135" s="75">
        <f>IF(A135="",0,COUNTIFS(tbl_Donateurs_Demandes[ID Donateur],A135,tbl_Donateurs_Demandes[Statut],"Approuvee")+COUNTIFS(tbl_Donateurs_Demandes[ID Donateur],A135,tbl_Donateurs_Demandes[Statut],"Financement recu"))</f>
        <v>0</v>
      </c>
      <c r="AM135" s="76">
        <f>IF(A135="",0,SUMIF(tbl_Donateurs_Demandes[ID Donateur],A135,tbl_Donateurs_Demandes[Montant demande]))</f>
        <v>0</v>
      </c>
      <c r="AN135" s="76">
        <f>IF(A135="",0,SUMIF(tbl_Donateurs_Demandes[ID Donateur],A135,tbl_Donateurs_Demandes[Montant accorde]))</f>
        <v>0</v>
      </c>
      <c r="AO135" s="76">
        <f>IF(A135="",0,SUMIF(tbl_Donateurs_Decaissements[ID Donateur],A135,tbl_Donateurs_Decaissements[Montant recu]))</f>
        <v>0</v>
      </c>
      <c r="AP135" s="77" t="str">
        <f t="shared" si="11"/>
        <v/>
      </c>
      <c r="AQ135" s="75">
        <f>IF(A135="",0,COUNTIF(tbl_Donateurs_Contacts[ID Donateur],A135))</f>
        <v>0</v>
      </c>
      <c r="AR135" s="75">
        <f>IF(A135="",0,COUNTIF(tbl_Donateurs_Documents[ID Donateur],A135))</f>
        <v>0</v>
      </c>
      <c r="AS135" s="75">
        <f>IF(A135="",0,COUNTIF(tbl_Donateurs_Conventions[ID Donateur],A135))</f>
        <v>0</v>
      </c>
      <c r="AT135" s="83" t="str">
        <f ca="1">IFERROR(_xlfn.MAXIFS(tbl_Donateurs_Decaissements[Date recue],tbl_Donateurs_Decaissements[ID Donateur],A135),"")</f>
        <v/>
      </c>
      <c r="AU135" s="76" t="str">
        <f t="shared" si="14"/>
        <v/>
      </c>
      <c r="AV135" s="75" t="str">
        <f t="shared" ca="1" si="12"/>
        <v/>
      </c>
      <c r="AW135" s="75" t="str">
        <f t="shared" si="13"/>
        <v/>
      </c>
      <c r="AX135" s="81"/>
    </row>
    <row r="136" spans="1:50" ht="15" customHeight="1">
      <c r="A136" s="75" t="str">
        <f t="shared" si="10"/>
        <v/>
      </c>
      <c r="B136" s="81"/>
      <c r="C136" s="81"/>
      <c r="D136" s="81"/>
      <c r="E136" s="81"/>
      <c r="F136" s="81"/>
      <c r="G136" s="81"/>
      <c r="H136" s="81"/>
      <c r="I136" s="81"/>
      <c r="J136" s="81"/>
      <c r="K136" s="81"/>
      <c r="L136" s="81"/>
      <c r="M136" s="81"/>
      <c r="N136" s="81"/>
      <c r="O136" s="81"/>
      <c r="P136" s="81"/>
      <c r="Q136" s="81"/>
      <c r="R136" s="81"/>
      <c r="S136" s="81"/>
      <c r="T136" s="81"/>
      <c r="U136" s="81"/>
      <c r="V136" s="81"/>
      <c r="W136" s="81"/>
      <c r="X136" s="81"/>
      <c r="Y136" s="75" t="str">
        <f>IFERROR(INDEX(PARAMETRES!$B$536:$B$586,MATCH(X136,PARAMETRES!$J$536:$J$586,0)),"")</f>
        <v/>
      </c>
      <c r="Z136" s="75" t="str">
        <f>IFERROR(INDEX(PARAMETRES!$D$536:$D$586,MATCH(X136,PARAMETRES!$J$536:$J$586,0)),"")</f>
        <v/>
      </c>
      <c r="AA136" s="75" t="str">
        <f>IFERROR(INDEX(PARAMETRES!$F$536:$F$586,MATCH(X136,PARAMETRES!$J$536:$J$586,0)),"")</f>
        <v/>
      </c>
      <c r="AB136" s="81"/>
      <c r="AC136" s="82"/>
      <c r="AD136" s="81"/>
      <c r="AE136" s="82"/>
      <c r="AF136" s="82"/>
      <c r="AG136" s="81"/>
      <c r="AH136" s="81"/>
      <c r="AI136" s="75">
        <f>IF(A136="",0,COUNTIF(tbl_Donateurs_Opportunites[ID Donateur],A136))</f>
        <v>0</v>
      </c>
      <c r="AJ136" s="75">
        <f>IF(A136="",0,COUNTIFS(tbl_Donateurs_Opportunites[ID Donateur],A136,tbl_Donateurs_Opportunites[Statut],"Ouverte"))</f>
        <v>0</v>
      </c>
      <c r="AK136" s="75">
        <f>IF(A136="",0,COUNTIF(tbl_Donateurs_Demandes[ID Donateur],A136))</f>
        <v>0</v>
      </c>
      <c r="AL136" s="75">
        <f>IF(A136="",0,COUNTIFS(tbl_Donateurs_Demandes[ID Donateur],A136,tbl_Donateurs_Demandes[Statut],"Approuvee")+COUNTIFS(tbl_Donateurs_Demandes[ID Donateur],A136,tbl_Donateurs_Demandes[Statut],"Financement recu"))</f>
        <v>0</v>
      </c>
      <c r="AM136" s="76">
        <f>IF(A136="",0,SUMIF(tbl_Donateurs_Demandes[ID Donateur],A136,tbl_Donateurs_Demandes[Montant demande]))</f>
        <v>0</v>
      </c>
      <c r="AN136" s="76">
        <f>IF(A136="",0,SUMIF(tbl_Donateurs_Demandes[ID Donateur],A136,tbl_Donateurs_Demandes[Montant accorde]))</f>
        <v>0</v>
      </c>
      <c r="AO136" s="76">
        <f>IF(A136="",0,SUMIF(tbl_Donateurs_Decaissements[ID Donateur],A136,tbl_Donateurs_Decaissements[Montant recu]))</f>
        <v>0</v>
      </c>
      <c r="AP136" s="77" t="str">
        <f t="shared" si="11"/>
        <v/>
      </c>
      <c r="AQ136" s="75">
        <f>IF(A136="",0,COUNTIF(tbl_Donateurs_Contacts[ID Donateur],A136))</f>
        <v>0</v>
      </c>
      <c r="AR136" s="75">
        <f>IF(A136="",0,COUNTIF(tbl_Donateurs_Documents[ID Donateur],A136))</f>
        <v>0</v>
      </c>
      <c r="AS136" s="75">
        <f>IF(A136="",0,COUNTIF(tbl_Donateurs_Conventions[ID Donateur],A136))</f>
        <v>0</v>
      </c>
      <c r="AT136" s="83" t="str">
        <f ca="1">IFERROR(_xlfn.MAXIFS(tbl_Donateurs_Decaissements[Date recue],tbl_Donateurs_Decaissements[ID Donateur],A136),"")</f>
        <v/>
      </c>
      <c r="AU136" s="76" t="str">
        <f t="shared" si="14"/>
        <v/>
      </c>
      <c r="AV136" s="75" t="str">
        <f t="shared" ca="1" si="12"/>
        <v/>
      </c>
      <c r="AW136" s="75" t="str">
        <f t="shared" si="13"/>
        <v/>
      </c>
      <c r="AX136" s="81"/>
    </row>
    <row r="137" spans="1:50" ht="15" customHeight="1">
      <c r="A137" s="75" t="str">
        <f t="shared" si="10"/>
        <v/>
      </c>
      <c r="B137" s="81"/>
      <c r="C137" s="81"/>
      <c r="D137" s="81"/>
      <c r="E137" s="81"/>
      <c r="F137" s="81"/>
      <c r="G137" s="81"/>
      <c r="H137" s="81"/>
      <c r="I137" s="81"/>
      <c r="J137" s="81"/>
      <c r="K137" s="81"/>
      <c r="L137" s="81"/>
      <c r="M137" s="81"/>
      <c r="N137" s="81"/>
      <c r="O137" s="81"/>
      <c r="P137" s="81"/>
      <c r="Q137" s="81"/>
      <c r="R137" s="81"/>
      <c r="S137" s="81"/>
      <c r="T137" s="81"/>
      <c r="U137" s="81"/>
      <c r="V137" s="81"/>
      <c r="W137" s="81"/>
      <c r="X137" s="81"/>
      <c r="Y137" s="75" t="str">
        <f>IFERROR(INDEX(PARAMETRES!$B$536:$B$586,MATCH(X137,PARAMETRES!$J$536:$J$586,0)),"")</f>
        <v/>
      </c>
      <c r="Z137" s="75" t="str">
        <f>IFERROR(INDEX(PARAMETRES!$D$536:$D$586,MATCH(X137,PARAMETRES!$J$536:$J$586,0)),"")</f>
        <v/>
      </c>
      <c r="AA137" s="75" t="str">
        <f>IFERROR(INDEX(PARAMETRES!$F$536:$F$586,MATCH(X137,PARAMETRES!$J$536:$J$586,0)),"")</f>
        <v/>
      </c>
      <c r="AB137" s="81"/>
      <c r="AC137" s="82"/>
      <c r="AD137" s="81"/>
      <c r="AE137" s="82"/>
      <c r="AF137" s="82"/>
      <c r="AG137" s="81"/>
      <c r="AH137" s="81"/>
      <c r="AI137" s="75">
        <f>IF(A137="",0,COUNTIF(tbl_Donateurs_Opportunites[ID Donateur],A137))</f>
        <v>0</v>
      </c>
      <c r="AJ137" s="75">
        <f>IF(A137="",0,COUNTIFS(tbl_Donateurs_Opportunites[ID Donateur],A137,tbl_Donateurs_Opportunites[Statut],"Ouverte"))</f>
        <v>0</v>
      </c>
      <c r="AK137" s="75">
        <f>IF(A137="",0,COUNTIF(tbl_Donateurs_Demandes[ID Donateur],A137))</f>
        <v>0</v>
      </c>
      <c r="AL137" s="75">
        <f>IF(A137="",0,COUNTIFS(tbl_Donateurs_Demandes[ID Donateur],A137,tbl_Donateurs_Demandes[Statut],"Approuvee")+COUNTIFS(tbl_Donateurs_Demandes[ID Donateur],A137,tbl_Donateurs_Demandes[Statut],"Financement recu"))</f>
        <v>0</v>
      </c>
      <c r="AM137" s="76">
        <f>IF(A137="",0,SUMIF(tbl_Donateurs_Demandes[ID Donateur],A137,tbl_Donateurs_Demandes[Montant demande]))</f>
        <v>0</v>
      </c>
      <c r="AN137" s="76">
        <f>IF(A137="",0,SUMIF(tbl_Donateurs_Demandes[ID Donateur],A137,tbl_Donateurs_Demandes[Montant accorde]))</f>
        <v>0</v>
      </c>
      <c r="AO137" s="76">
        <f>IF(A137="",0,SUMIF(tbl_Donateurs_Decaissements[ID Donateur],A137,tbl_Donateurs_Decaissements[Montant recu]))</f>
        <v>0</v>
      </c>
      <c r="AP137" s="77" t="str">
        <f t="shared" si="11"/>
        <v/>
      </c>
      <c r="AQ137" s="75">
        <f>IF(A137="",0,COUNTIF(tbl_Donateurs_Contacts[ID Donateur],A137))</f>
        <v>0</v>
      </c>
      <c r="AR137" s="75">
        <f>IF(A137="",0,COUNTIF(tbl_Donateurs_Documents[ID Donateur],A137))</f>
        <v>0</v>
      </c>
      <c r="AS137" s="75">
        <f>IF(A137="",0,COUNTIF(tbl_Donateurs_Conventions[ID Donateur],A137))</f>
        <v>0</v>
      </c>
      <c r="AT137" s="83" t="str">
        <f ca="1">IFERROR(_xlfn.MAXIFS(tbl_Donateurs_Decaissements[Date recue],tbl_Donateurs_Decaissements[ID Donateur],A137),"")</f>
        <v/>
      </c>
      <c r="AU137" s="76" t="str">
        <f t="shared" si="14"/>
        <v/>
      </c>
      <c r="AV137" s="75" t="str">
        <f t="shared" ca="1" si="12"/>
        <v/>
      </c>
      <c r="AW137" s="75" t="str">
        <f t="shared" si="13"/>
        <v/>
      </c>
      <c r="AX137" s="81"/>
    </row>
    <row r="138" spans="1:50" ht="15" customHeight="1">
      <c r="A138" s="75" t="str">
        <f t="shared" si="10"/>
        <v/>
      </c>
      <c r="B138" s="81"/>
      <c r="C138" s="81"/>
      <c r="D138" s="81"/>
      <c r="E138" s="81"/>
      <c r="F138" s="81"/>
      <c r="G138" s="81"/>
      <c r="H138" s="81"/>
      <c r="I138" s="81"/>
      <c r="J138" s="81"/>
      <c r="K138" s="81"/>
      <c r="L138" s="81"/>
      <c r="M138" s="81"/>
      <c r="N138" s="81"/>
      <c r="O138" s="81"/>
      <c r="P138" s="81"/>
      <c r="Q138" s="81"/>
      <c r="R138" s="81"/>
      <c r="S138" s="81"/>
      <c r="T138" s="81"/>
      <c r="U138" s="81"/>
      <c r="V138" s="81"/>
      <c r="W138" s="81"/>
      <c r="X138" s="81"/>
      <c r="Y138" s="75" t="str">
        <f>IFERROR(INDEX(PARAMETRES!$B$536:$B$586,MATCH(X138,PARAMETRES!$J$536:$J$586,0)),"")</f>
        <v/>
      </c>
      <c r="Z138" s="75" t="str">
        <f>IFERROR(INDEX(PARAMETRES!$D$536:$D$586,MATCH(X138,PARAMETRES!$J$536:$J$586,0)),"")</f>
        <v/>
      </c>
      <c r="AA138" s="75" t="str">
        <f>IFERROR(INDEX(PARAMETRES!$F$536:$F$586,MATCH(X138,PARAMETRES!$J$536:$J$586,0)),"")</f>
        <v/>
      </c>
      <c r="AB138" s="81"/>
      <c r="AC138" s="82"/>
      <c r="AD138" s="81"/>
      <c r="AE138" s="82"/>
      <c r="AF138" s="82"/>
      <c r="AG138" s="81"/>
      <c r="AH138" s="81"/>
      <c r="AI138" s="75">
        <f>IF(A138="",0,COUNTIF(tbl_Donateurs_Opportunites[ID Donateur],A138))</f>
        <v>0</v>
      </c>
      <c r="AJ138" s="75">
        <f>IF(A138="",0,COUNTIFS(tbl_Donateurs_Opportunites[ID Donateur],A138,tbl_Donateurs_Opportunites[Statut],"Ouverte"))</f>
        <v>0</v>
      </c>
      <c r="AK138" s="75">
        <f>IF(A138="",0,COUNTIF(tbl_Donateurs_Demandes[ID Donateur],A138))</f>
        <v>0</v>
      </c>
      <c r="AL138" s="75">
        <f>IF(A138="",0,COUNTIFS(tbl_Donateurs_Demandes[ID Donateur],A138,tbl_Donateurs_Demandes[Statut],"Approuvee")+COUNTIFS(tbl_Donateurs_Demandes[ID Donateur],A138,tbl_Donateurs_Demandes[Statut],"Financement recu"))</f>
        <v>0</v>
      </c>
      <c r="AM138" s="76">
        <f>IF(A138="",0,SUMIF(tbl_Donateurs_Demandes[ID Donateur],A138,tbl_Donateurs_Demandes[Montant demande]))</f>
        <v>0</v>
      </c>
      <c r="AN138" s="76">
        <f>IF(A138="",0,SUMIF(tbl_Donateurs_Demandes[ID Donateur],A138,tbl_Donateurs_Demandes[Montant accorde]))</f>
        <v>0</v>
      </c>
      <c r="AO138" s="76">
        <f>IF(A138="",0,SUMIF(tbl_Donateurs_Decaissements[ID Donateur],A138,tbl_Donateurs_Decaissements[Montant recu]))</f>
        <v>0</v>
      </c>
      <c r="AP138" s="77" t="str">
        <f t="shared" si="11"/>
        <v/>
      </c>
      <c r="AQ138" s="75">
        <f>IF(A138="",0,COUNTIF(tbl_Donateurs_Contacts[ID Donateur],A138))</f>
        <v>0</v>
      </c>
      <c r="AR138" s="75">
        <f>IF(A138="",0,COUNTIF(tbl_Donateurs_Documents[ID Donateur],A138))</f>
        <v>0</v>
      </c>
      <c r="AS138" s="75">
        <f>IF(A138="",0,COUNTIF(tbl_Donateurs_Conventions[ID Donateur],A138))</f>
        <v>0</v>
      </c>
      <c r="AT138" s="83" t="str">
        <f ca="1">IFERROR(_xlfn.MAXIFS(tbl_Donateurs_Decaissements[Date recue],tbl_Donateurs_Decaissements[ID Donateur],A138),"")</f>
        <v/>
      </c>
      <c r="AU138" s="76" t="str">
        <f t="shared" si="14"/>
        <v/>
      </c>
      <c r="AV138" s="75" t="str">
        <f t="shared" ca="1" si="12"/>
        <v/>
      </c>
      <c r="AW138" s="75" t="str">
        <f t="shared" si="13"/>
        <v/>
      </c>
      <c r="AX138" s="81"/>
    </row>
    <row r="139" spans="1:50" ht="15" customHeight="1">
      <c r="A139" s="75" t="str">
        <f t="shared" si="10"/>
        <v/>
      </c>
      <c r="B139" s="81"/>
      <c r="C139" s="81"/>
      <c r="D139" s="81"/>
      <c r="E139" s="81"/>
      <c r="F139" s="81"/>
      <c r="G139" s="81"/>
      <c r="H139" s="81"/>
      <c r="I139" s="81"/>
      <c r="J139" s="81"/>
      <c r="K139" s="81"/>
      <c r="L139" s="81"/>
      <c r="M139" s="81"/>
      <c r="N139" s="81"/>
      <c r="O139" s="81"/>
      <c r="P139" s="81"/>
      <c r="Q139" s="81"/>
      <c r="R139" s="81"/>
      <c r="S139" s="81"/>
      <c r="T139" s="81"/>
      <c r="U139" s="81"/>
      <c r="V139" s="81"/>
      <c r="W139" s="81"/>
      <c r="X139" s="81"/>
      <c r="Y139" s="75" t="str">
        <f>IFERROR(INDEX(PARAMETRES!$B$536:$B$586,MATCH(X139,PARAMETRES!$J$536:$J$586,0)),"")</f>
        <v/>
      </c>
      <c r="Z139" s="75" t="str">
        <f>IFERROR(INDEX(PARAMETRES!$D$536:$D$586,MATCH(X139,PARAMETRES!$J$536:$J$586,0)),"")</f>
        <v/>
      </c>
      <c r="AA139" s="75" t="str">
        <f>IFERROR(INDEX(PARAMETRES!$F$536:$F$586,MATCH(X139,PARAMETRES!$J$536:$J$586,0)),"")</f>
        <v/>
      </c>
      <c r="AB139" s="81"/>
      <c r="AC139" s="82"/>
      <c r="AD139" s="81"/>
      <c r="AE139" s="82"/>
      <c r="AF139" s="82"/>
      <c r="AG139" s="81"/>
      <c r="AH139" s="81"/>
      <c r="AI139" s="75">
        <f>IF(A139="",0,COUNTIF(tbl_Donateurs_Opportunites[ID Donateur],A139))</f>
        <v>0</v>
      </c>
      <c r="AJ139" s="75">
        <f>IF(A139="",0,COUNTIFS(tbl_Donateurs_Opportunites[ID Donateur],A139,tbl_Donateurs_Opportunites[Statut],"Ouverte"))</f>
        <v>0</v>
      </c>
      <c r="AK139" s="75">
        <f>IF(A139="",0,COUNTIF(tbl_Donateurs_Demandes[ID Donateur],A139))</f>
        <v>0</v>
      </c>
      <c r="AL139" s="75">
        <f>IF(A139="",0,COUNTIFS(tbl_Donateurs_Demandes[ID Donateur],A139,tbl_Donateurs_Demandes[Statut],"Approuvee")+COUNTIFS(tbl_Donateurs_Demandes[ID Donateur],A139,tbl_Donateurs_Demandes[Statut],"Financement recu"))</f>
        <v>0</v>
      </c>
      <c r="AM139" s="76">
        <f>IF(A139="",0,SUMIF(tbl_Donateurs_Demandes[ID Donateur],A139,tbl_Donateurs_Demandes[Montant demande]))</f>
        <v>0</v>
      </c>
      <c r="AN139" s="76">
        <f>IF(A139="",0,SUMIF(tbl_Donateurs_Demandes[ID Donateur],A139,tbl_Donateurs_Demandes[Montant accorde]))</f>
        <v>0</v>
      </c>
      <c r="AO139" s="76">
        <f>IF(A139="",0,SUMIF(tbl_Donateurs_Decaissements[ID Donateur],A139,tbl_Donateurs_Decaissements[Montant recu]))</f>
        <v>0</v>
      </c>
      <c r="AP139" s="77" t="str">
        <f t="shared" si="11"/>
        <v/>
      </c>
      <c r="AQ139" s="75">
        <f>IF(A139="",0,COUNTIF(tbl_Donateurs_Contacts[ID Donateur],A139))</f>
        <v>0</v>
      </c>
      <c r="AR139" s="75">
        <f>IF(A139="",0,COUNTIF(tbl_Donateurs_Documents[ID Donateur],A139))</f>
        <v>0</v>
      </c>
      <c r="AS139" s="75">
        <f>IF(A139="",0,COUNTIF(tbl_Donateurs_Conventions[ID Donateur],A139))</f>
        <v>0</v>
      </c>
      <c r="AT139" s="83" t="str">
        <f ca="1">IFERROR(_xlfn.MAXIFS(tbl_Donateurs_Decaissements[Date recue],tbl_Donateurs_Decaissements[ID Donateur],A139),"")</f>
        <v/>
      </c>
      <c r="AU139" s="76" t="str">
        <f t="shared" si="14"/>
        <v/>
      </c>
      <c r="AV139" s="75" t="str">
        <f t="shared" ca="1" si="12"/>
        <v/>
      </c>
      <c r="AW139" s="75" t="str">
        <f t="shared" si="13"/>
        <v/>
      </c>
      <c r="AX139" s="81"/>
    </row>
    <row r="140" spans="1:50" ht="15" customHeight="1">
      <c r="A140" s="75" t="str">
        <f t="shared" si="10"/>
        <v/>
      </c>
      <c r="B140" s="81"/>
      <c r="C140" s="81"/>
      <c r="D140" s="81"/>
      <c r="E140" s="81"/>
      <c r="F140" s="81"/>
      <c r="G140" s="81"/>
      <c r="H140" s="81"/>
      <c r="I140" s="81"/>
      <c r="J140" s="81"/>
      <c r="K140" s="81"/>
      <c r="L140" s="81"/>
      <c r="M140" s="81"/>
      <c r="N140" s="81"/>
      <c r="O140" s="81"/>
      <c r="P140" s="81"/>
      <c r="Q140" s="81"/>
      <c r="R140" s="81"/>
      <c r="S140" s="81"/>
      <c r="T140" s="81"/>
      <c r="U140" s="81"/>
      <c r="V140" s="81"/>
      <c r="W140" s="81"/>
      <c r="X140" s="81"/>
      <c r="Y140" s="75" t="str">
        <f>IFERROR(INDEX(PARAMETRES!$B$536:$B$586,MATCH(X140,PARAMETRES!$J$536:$J$586,0)),"")</f>
        <v/>
      </c>
      <c r="Z140" s="75" t="str">
        <f>IFERROR(INDEX(PARAMETRES!$D$536:$D$586,MATCH(X140,PARAMETRES!$J$536:$J$586,0)),"")</f>
        <v/>
      </c>
      <c r="AA140" s="75" t="str">
        <f>IFERROR(INDEX(PARAMETRES!$F$536:$F$586,MATCH(X140,PARAMETRES!$J$536:$J$586,0)),"")</f>
        <v/>
      </c>
      <c r="AB140" s="81"/>
      <c r="AC140" s="82"/>
      <c r="AD140" s="81"/>
      <c r="AE140" s="82"/>
      <c r="AF140" s="82"/>
      <c r="AG140" s="81"/>
      <c r="AH140" s="81"/>
      <c r="AI140" s="75">
        <f>IF(A140="",0,COUNTIF(tbl_Donateurs_Opportunites[ID Donateur],A140))</f>
        <v>0</v>
      </c>
      <c r="AJ140" s="75">
        <f>IF(A140="",0,COUNTIFS(tbl_Donateurs_Opportunites[ID Donateur],A140,tbl_Donateurs_Opportunites[Statut],"Ouverte"))</f>
        <v>0</v>
      </c>
      <c r="AK140" s="75">
        <f>IF(A140="",0,COUNTIF(tbl_Donateurs_Demandes[ID Donateur],A140))</f>
        <v>0</v>
      </c>
      <c r="AL140" s="75">
        <f>IF(A140="",0,COUNTIFS(tbl_Donateurs_Demandes[ID Donateur],A140,tbl_Donateurs_Demandes[Statut],"Approuvee")+COUNTIFS(tbl_Donateurs_Demandes[ID Donateur],A140,tbl_Donateurs_Demandes[Statut],"Financement recu"))</f>
        <v>0</v>
      </c>
      <c r="AM140" s="76">
        <f>IF(A140="",0,SUMIF(tbl_Donateurs_Demandes[ID Donateur],A140,tbl_Donateurs_Demandes[Montant demande]))</f>
        <v>0</v>
      </c>
      <c r="AN140" s="76">
        <f>IF(A140="",0,SUMIF(tbl_Donateurs_Demandes[ID Donateur],A140,tbl_Donateurs_Demandes[Montant accorde]))</f>
        <v>0</v>
      </c>
      <c r="AO140" s="76">
        <f>IF(A140="",0,SUMIF(tbl_Donateurs_Decaissements[ID Donateur],A140,tbl_Donateurs_Decaissements[Montant recu]))</f>
        <v>0</v>
      </c>
      <c r="AP140" s="77" t="str">
        <f t="shared" si="11"/>
        <v/>
      </c>
      <c r="AQ140" s="75">
        <f>IF(A140="",0,COUNTIF(tbl_Donateurs_Contacts[ID Donateur],A140))</f>
        <v>0</v>
      </c>
      <c r="AR140" s="75">
        <f>IF(A140="",0,COUNTIF(tbl_Donateurs_Documents[ID Donateur],A140))</f>
        <v>0</v>
      </c>
      <c r="AS140" s="75">
        <f>IF(A140="",0,COUNTIF(tbl_Donateurs_Conventions[ID Donateur],A140))</f>
        <v>0</v>
      </c>
      <c r="AT140" s="83" t="str">
        <f ca="1">IFERROR(_xlfn.MAXIFS(tbl_Donateurs_Decaissements[Date recue],tbl_Donateurs_Decaissements[ID Donateur],A140),"")</f>
        <v/>
      </c>
      <c r="AU140" s="76" t="str">
        <f t="shared" si="14"/>
        <v/>
      </c>
      <c r="AV140" s="75" t="str">
        <f t="shared" ca="1" si="12"/>
        <v/>
      </c>
      <c r="AW140" s="75" t="str">
        <f t="shared" si="13"/>
        <v/>
      </c>
      <c r="AX140" s="81"/>
    </row>
    <row r="141" spans="1:50" ht="15" customHeight="1">
      <c r="A141" s="75" t="str">
        <f t="shared" si="10"/>
        <v/>
      </c>
      <c r="B141" s="81"/>
      <c r="C141" s="81"/>
      <c r="D141" s="81"/>
      <c r="E141" s="81"/>
      <c r="F141" s="81"/>
      <c r="G141" s="81"/>
      <c r="H141" s="81"/>
      <c r="I141" s="81"/>
      <c r="J141" s="81"/>
      <c r="K141" s="81"/>
      <c r="L141" s="81"/>
      <c r="M141" s="81"/>
      <c r="N141" s="81"/>
      <c r="O141" s="81"/>
      <c r="P141" s="81"/>
      <c r="Q141" s="81"/>
      <c r="R141" s="81"/>
      <c r="S141" s="81"/>
      <c r="T141" s="81"/>
      <c r="U141" s="81"/>
      <c r="V141" s="81"/>
      <c r="W141" s="81"/>
      <c r="X141" s="81"/>
      <c r="Y141" s="75" t="str">
        <f>IFERROR(INDEX(PARAMETRES!$B$536:$B$586,MATCH(X141,PARAMETRES!$J$536:$J$586,0)),"")</f>
        <v/>
      </c>
      <c r="Z141" s="75" t="str">
        <f>IFERROR(INDEX(PARAMETRES!$D$536:$D$586,MATCH(X141,PARAMETRES!$J$536:$J$586,0)),"")</f>
        <v/>
      </c>
      <c r="AA141" s="75" t="str">
        <f>IFERROR(INDEX(PARAMETRES!$F$536:$F$586,MATCH(X141,PARAMETRES!$J$536:$J$586,0)),"")</f>
        <v/>
      </c>
      <c r="AB141" s="81"/>
      <c r="AC141" s="82"/>
      <c r="AD141" s="81"/>
      <c r="AE141" s="82"/>
      <c r="AF141" s="82"/>
      <c r="AG141" s="81"/>
      <c r="AH141" s="81"/>
      <c r="AI141" s="75">
        <f>IF(A141="",0,COUNTIF(tbl_Donateurs_Opportunites[ID Donateur],A141))</f>
        <v>0</v>
      </c>
      <c r="AJ141" s="75">
        <f>IF(A141="",0,COUNTIFS(tbl_Donateurs_Opportunites[ID Donateur],A141,tbl_Donateurs_Opportunites[Statut],"Ouverte"))</f>
        <v>0</v>
      </c>
      <c r="AK141" s="75">
        <f>IF(A141="",0,COUNTIF(tbl_Donateurs_Demandes[ID Donateur],A141))</f>
        <v>0</v>
      </c>
      <c r="AL141" s="75">
        <f>IF(A141="",0,COUNTIFS(tbl_Donateurs_Demandes[ID Donateur],A141,tbl_Donateurs_Demandes[Statut],"Approuvee")+COUNTIFS(tbl_Donateurs_Demandes[ID Donateur],A141,tbl_Donateurs_Demandes[Statut],"Financement recu"))</f>
        <v>0</v>
      </c>
      <c r="AM141" s="76">
        <f>IF(A141="",0,SUMIF(tbl_Donateurs_Demandes[ID Donateur],A141,tbl_Donateurs_Demandes[Montant demande]))</f>
        <v>0</v>
      </c>
      <c r="AN141" s="76">
        <f>IF(A141="",0,SUMIF(tbl_Donateurs_Demandes[ID Donateur],A141,tbl_Donateurs_Demandes[Montant accorde]))</f>
        <v>0</v>
      </c>
      <c r="AO141" s="76">
        <f>IF(A141="",0,SUMIF(tbl_Donateurs_Decaissements[ID Donateur],A141,tbl_Donateurs_Decaissements[Montant recu]))</f>
        <v>0</v>
      </c>
      <c r="AP141" s="77" t="str">
        <f t="shared" si="11"/>
        <v/>
      </c>
      <c r="AQ141" s="75">
        <f>IF(A141="",0,COUNTIF(tbl_Donateurs_Contacts[ID Donateur],A141))</f>
        <v>0</v>
      </c>
      <c r="AR141" s="75">
        <f>IF(A141="",0,COUNTIF(tbl_Donateurs_Documents[ID Donateur],A141))</f>
        <v>0</v>
      </c>
      <c r="AS141" s="75">
        <f>IF(A141="",0,COUNTIF(tbl_Donateurs_Conventions[ID Donateur],A141))</f>
        <v>0</v>
      </c>
      <c r="AT141" s="83" t="str">
        <f ca="1">IFERROR(_xlfn.MAXIFS(tbl_Donateurs_Decaissements[Date recue],tbl_Donateurs_Decaissements[ID Donateur],A141),"")</f>
        <v/>
      </c>
      <c r="AU141" s="76" t="str">
        <f t="shared" si="14"/>
        <v/>
      </c>
      <c r="AV141" s="75" t="str">
        <f t="shared" ca="1" si="12"/>
        <v/>
      </c>
      <c r="AW141" s="75" t="str">
        <f t="shared" si="13"/>
        <v/>
      </c>
      <c r="AX141" s="81"/>
    </row>
    <row r="142" spans="1:50" ht="15" customHeight="1">
      <c r="A142" s="75" t="str">
        <f t="shared" si="10"/>
        <v/>
      </c>
      <c r="B142" s="81"/>
      <c r="C142" s="81"/>
      <c r="D142" s="81"/>
      <c r="E142" s="81"/>
      <c r="F142" s="81"/>
      <c r="G142" s="81"/>
      <c r="H142" s="81"/>
      <c r="I142" s="81"/>
      <c r="J142" s="81"/>
      <c r="K142" s="81"/>
      <c r="L142" s="81"/>
      <c r="M142" s="81"/>
      <c r="N142" s="81"/>
      <c r="O142" s="81"/>
      <c r="P142" s="81"/>
      <c r="Q142" s="81"/>
      <c r="R142" s="81"/>
      <c r="S142" s="81"/>
      <c r="T142" s="81"/>
      <c r="U142" s="81"/>
      <c r="V142" s="81"/>
      <c r="W142" s="81"/>
      <c r="X142" s="81"/>
      <c r="Y142" s="75" t="str">
        <f>IFERROR(INDEX(PARAMETRES!$B$536:$B$586,MATCH(X142,PARAMETRES!$J$536:$J$586,0)),"")</f>
        <v/>
      </c>
      <c r="Z142" s="75" t="str">
        <f>IFERROR(INDEX(PARAMETRES!$D$536:$D$586,MATCH(X142,PARAMETRES!$J$536:$J$586,0)),"")</f>
        <v/>
      </c>
      <c r="AA142" s="75" t="str">
        <f>IFERROR(INDEX(PARAMETRES!$F$536:$F$586,MATCH(X142,PARAMETRES!$J$536:$J$586,0)),"")</f>
        <v/>
      </c>
      <c r="AB142" s="81"/>
      <c r="AC142" s="82"/>
      <c r="AD142" s="81"/>
      <c r="AE142" s="82"/>
      <c r="AF142" s="82"/>
      <c r="AG142" s="81"/>
      <c r="AH142" s="81"/>
      <c r="AI142" s="75">
        <f>IF(A142="",0,COUNTIF(tbl_Donateurs_Opportunites[ID Donateur],A142))</f>
        <v>0</v>
      </c>
      <c r="AJ142" s="75">
        <f>IF(A142="",0,COUNTIFS(tbl_Donateurs_Opportunites[ID Donateur],A142,tbl_Donateurs_Opportunites[Statut],"Ouverte"))</f>
        <v>0</v>
      </c>
      <c r="AK142" s="75">
        <f>IF(A142="",0,COUNTIF(tbl_Donateurs_Demandes[ID Donateur],A142))</f>
        <v>0</v>
      </c>
      <c r="AL142" s="75">
        <f>IF(A142="",0,COUNTIFS(tbl_Donateurs_Demandes[ID Donateur],A142,tbl_Donateurs_Demandes[Statut],"Approuvee")+COUNTIFS(tbl_Donateurs_Demandes[ID Donateur],A142,tbl_Donateurs_Demandes[Statut],"Financement recu"))</f>
        <v>0</v>
      </c>
      <c r="AM142" s="76">
        <f>IF(A142="",0,SUMIF(tbl_Donateurs_Demandes[ID Donateur],A142,tbl_Donateurs_Demandes[Montant demande]))</f>
        <v>0</v>
      </c>
      <c r="AN142" s="76">
        <f>IF(A142="",0,SUMIF(tbl_Donateurs_Demandes[ID Donateur],A142,tbl_Donateurs_Demandes[Montant accorde]))</f>
        <v>0</v>
      </c>
      <c r="AO142" s="76">
        <f>IF(A142="",0,SUMIF(tbl_Donateurs_Decaissements[ID Donateur],A142,tbl_Donateurs_Decaissements[Montant recu]))</f>
        <v>0</v>
      </c>
      <c r="AP142" s="77" t="str">
        <f t="shared" si="11"/>
        <v/>
      </c>
      <c r="AQ142" s="75">
        <f>IF(A142="",0,COUNTIF(tbl_Donateurs_Contacts[ID Donateur],A142))</f>
        <v>0</v>
      </c>
      <c r="AR142" s="75">
        <f>IF(A142="",0,COUNTIF(tbl_Donateurs_Documents[ID Donateur],A142))</f>
        <v>0</v>
      </c>
      <c r="AS142" s="75">
        <f>IF(A142="",0,COUNTIF(tbl_Donateurs_Conventions[ID Donateur],A142))</f>
        <v>0</v>
      </c>
      <c r="AT142" s="83" t="str">
        <f ca="1">IFERROR(_xlfn.MAXIFS(tbl_Donateurs_Decaissements[Date recue],tbl_Donateurs_Decaissements[ID Donateur],A142),"")</f>
        <v/>
      </c>
      <c r="AU142" s="76" t="str">
        <f t="shared" si="14"/>
        <v/>
      </c>
      <c r="AV142" s="75" t="str">
        <f t="shared" ca="1" si="12"/>
        <v/>
      </c>
      <c r="AW142" s="75" t="str">
        <f t="shared" si="13"/>
        <v/>
      </c>
      <c r="AX142" s="81"/>
    </row>
    <row r="143" spans="1:50" ht="15" customHeight="1">
      <c r="A143" s="75" t="str">
        <f t="shared" si="10"/>
        <v/>
      </c>
      <c r="B143" s="81"/>
      <c r="C143" s="81"/>
      <c r="D143" s="81"/>
      <c r="E143" s="81"/>
      <c r="F143" s="81"/>
      <c r="G143" s="81"/>
      <c r="H143" s="81"/>
      <c r="I143" s="81"/>
      <c r="J143" s="81"/>
      <c r="K143" s="81"/>
      <c r="L143" s="81"/>
      <c r="M143" s="81"/>
      <c r="N143" s="81"/>
      <c r="O143" s="81"/>
      <c r="P143" s="81"/>
      <c r="Q143" s="81"/>
      <c r="R143" s="81"/>
      <c r="S143" s="81"/>
      <c r="T143" s="81"/>
      <c r="U143" s="81"/>
      <c r="V143" s="81"/>
      <c r="W143" s="81"/>
      <c r="X143" s="81"/>
      <c r="Y143" s="75" t="str">
        <f>IFERROR(INDEX(PARAMETRES!$B$536:$B$586,MATCH(X143,PARAMETRES!$J$536:$J$586,0)),"")</f>
        <v/>
      </c>
      <c r="Z143" s="75" t="str">
        <f>IFERROR(INDEX(PARAMETRES!$D$536:$D$586,MATCH(X143,PARAMETRES!$J$536:$J$586,0)),"")</f>
        <v/>
      </c>
      <c r="AA143" s="75" t="str">
        <f>IFERROR(INDEX(PARAMETRES!$F$536:$F$586,MATCH(X143,PARAMETRES!$J$536:$J$586,0)),"")</f>
        <v/>
      </c>
      <c r="AB143" s="81"/>
      <c r="AC143" s="82"/>
      <c r="AD143" s="81"/>
      <c r="AE143" s="82"/>
      <c r="AF143" s="82"/>
      <c r="AG143" s="81"/>
      <c r="AH143" s="81"/>
      <c r="AI143" s="75">
        <f>IF(A143="",0,COUNTIF(tbl_Donateurs_Opportunites[ID Donateur],A143))</f>
        <v>0</v>
      </c>
      <c r="AJ143" s="75">
        <f>IF(A143="",0,COUNTIFS(tbl_Donateurs_Opportunites[ID Donateur],A143,tbl_Donateurs_Opportunites[Statut],"Ouverte"))</f>
        <v>0</v>
      </c>
      <c r="AK143" s="75">
        <f>IF(A143="",0,COUNTIF(tbl_Donateurs_Demandes[ID Donateur],A143))</f>
        <v>0</v>
      </c>
      <c r="AL143" s="75">
        <f>IF(A143="",0,COUNTIFS(tbl_Donateurs_Demandes[ID Donateur],A143,tbl_Donateurs_Demandes[Statut],"Approuvee")+COUNTIFS(tbl_Donateurs_Demandes[ID Donateur],A143,tbl_Donateurs_Demandes[Statut],"Financement recu"))</f>
        <v>0</v>
      </c>
      <c r="AM143" s="76">
        <f>IF(A143="",0,SUMIF(tbl_Donateurs_Demandes[ID Donateur],A143,tbl_Donateurs_Demandes[Montant demande]))</f>
        <v>0</v>
      </c>
      <c r="AN143" s="76">
        <f>IF(A143="",0,SUMIF(tbl_Donateurs_Demandes[ID Donateur],A143,tbl_Donateurs_Demandes[Montant accorde]))</f>
        <v>0</v>
      </c>
      <c r="AO143" s="76">
        <f>IF(A143="",0,SUMIF(tbl_Donateurs_Decaissements[ID Donateur],A143,tbl_Donateurs_Decaissements[Montant recu]))</f>
        <v>0</v>
      </c>
      <c r="AP143" s="77" t="str">
        <f t="shared" si="11"/>
        <v/>
      </c>
      <c r="AQ143" s="75">
        <f>IF(A143="",0,COUNTIF(tbl_Donateurs_Contacts[ID Donateur],A143))</f>
        <v>0</v>
      </c>
      <c r="AR143" s="75">
        <f>IF(A143="",0,COUNTIF(tbl_Donateurs_Documents[ID Donateur],A143))</f>
        <v>0</v>
      </c>
      <c r="AS143" s="75">
        <f>IF(A143="",0,COUNTIF(tbl_Donateurs_Conventions[ID Donateur],A143))</f>
        <v>0</v>
      </c>
      <c r="AT143" s="83" t="str">
        <f ca="1">IFERROR(_xlfn.MAXIFS(tbl_Donateurs_Decaissements[Date recue],tbl_Donateurs_Decaissements[ID Donateur],A143),"")</f>
        <v/>
      </c>
      <c r="AU143" s="76" t="str">
        <f t="shared" si="14"/>
        <v/>
      </c>
      <c r="AV143" s="75" t="str">
        <f t="shared" ca="1" si="12"/>
        <v/>
      </c>
      <c r="AW143" s="75" t="str">
        <f t="shared" si="13"/>
        <v/>
      </c>
      <c r="AX143" s="81"/>
    </row>
    <row r="144" spans="1:50" ht="15" customHeight="1">
      <c r="A144" s="75" t="str">
        <f t="shared" si="10"/>
        <v/>
      </c>
      <c r="B144" s="81"/>
      <c r="C144" s="81"/>
      <c r="D144" s="81"/>
      <c r="E144" s="81"/>
      <c r="F144" s="81"/>
      <c r="G144" s="81"/>
      <c r="H144" s="81"/>
      <c r="I144" s="81"/>
      <c r="J144" s="81"/>
      <c r="K144" s="81"/>
      <c r="L144" s="81"/>
      <c r="M144" s="81"/>
      <c r="N144" s="81"/>
      <c r="O144" s="81"/>
      <c r="P144" s="81"/>
      <c r="Q144" s="81"/>
      <c r="R144" s="81"/>
      <c r="S144" s="81"/>
      <c r="T144" s="81"/>
      <c r="U144" s="81"/>
      <c r="V144" s="81"/>
      <c r="W144" s="81"/>
      <c r="X144" s="81"/>
      <c r="Y144" s="75" t="str">
        <f>IFERROR(INDEX(PARAMETRES!$B$536:$B$586,MATCH(X144,PARAMETRES!$J$536:$J$586,0)),"")</f>
        <v/>
      </c>
      <c r="Z144" s="75" t="str">
        <f>IFERROR(INDEX(PARAMETRES!$D$536:$D$586,MATCH(X144,PARAMETRES!$J$536:$J$586,0)),"")</f>
        <v/>
      </c>
      <c r="AA144" s="75" t="str">
        <f>IFERROR(INDEX(PARAMETRES!$F$536:$F$586,MATCH(X144,PARAMETRES!$J$536:$J$586,0)),"")</f>
        <v/>
      </c>
      <c r="AB144" s="81"/>
      <c r="AC144" s="82"/>
      <c r="AD144" s="81"/>
      <c r="AE144" s="82"/>
      <c r="AF144" s="82"/>
      <c r="AG144" s="81"/>
      <c r="AH144" s="81"/>
      <c r="AI144" s="75">
        <f>IF(A144="",0,COUNTIF(tbl_Donateurs_Opportunites[ID Donateur],A144))</f>
        <v>0</v>
      </c>
      <c r="AJ144" s="75">
        <f>IF(A144="",0,COUNTIFS(tbl_Donateurs_Opportunites[ID Donateur],A144,tbl_Donateurs_Opportunites[Statut],"Ouverte"))</f>
        <v>0</v>
      </c>
      <c r="AK144" s="75">
        <f>IF(A144="",0,COUNTIF(tbl_Donateurs_Demandes[ID Donateur],A144))</f>
        <v>0</v>
      </c>
      <c r="AL144" s="75">
        <f>IF(A144="",0,COUNTIFS(tbl_Donateurs_Demandes[ID Donateur],A144,tbl_Donateurs_Demandes[Statut],"Approuvee")+COUNTIFS(tbl_Donateurs_Demandes[ID Donateur],A144,tbl_Donateurs_Demandes[Statut],"Financement recu"))</f>
        <v>0</v>
      </c>
      <c r="AM144" s="76">
        <f>IF(A144="",0,SUMIF(tbl_Donateurs_Demandes[ID Donateur],A144,tbl_Donateurs_Demandes[Montant demande]))</f>
        <v>0</v>
      </c>
      <c r="AN144" s="76">
        <f>IF(A144="",0,SUMIF(tbl_Donateurs_Demandes[ID Donateur],A144,tbl_Donateurs_Demandes[Montant accorde]))</f>
        <v>0</v>
      </c>
      <c r="AO144" s="76">
        <f>IF(A144="",0,SUMIF(tbl_Donateurs_Decaissements[ID Donateur],A144,tbl_Donateurs_Decaissements[Montant recu]))</f>
        <v>0</v>
      </c>
      <c r="AP144" s="77" t="str">
        <f t="shared" si="11"/>
        <v/>
      </c>
      <c r="AQ144" s="75">
        <f>IF(A144="",0,COUNTIF(tbl_Donateurs_Contacts[ID Donateur],A144))</f>
        <v>0</v>
      </c>
      <c r="AR144" s="75">
        <f>IF(A144="",0,COUNTIF(tbl_Donateurs_Documents[ID Donateur],A144))</f>
        <v>0</v>
      </c>
      <c r="AS144" s="75">
        <f>IF(A144="",0,COUNTIF(tbl_Donateurs_Conventions[ID Donateur],A144))</f>
        <v>0</v>
      </c>
      <c r="AT144" s="83" t="str">
        <f ca="1">IFERROR(_xlfn.MAXIFS(tbl_Donateurs_Decaissements[Date recue],tbl_Donateurs_Decaissements[ID Donateur],A144),"")</f>
        <v/>
      </c>
      <c r="AU144" s="76" t="str">
        <f t="shared" si="14"/>
        <v/>
      </c>
      <c r="AV144" s="75" t="str">
        <f t="shared" ca="1" si="12"/>
        <v/>
      </c>
      <c r="AW144" s="75" t="str">
        <f t="shared" si="13"/>
        <v/>
      </c>
      <c r="AX144" s="81"/>
    </row>
    <row r="145" spans="1:50" ht="15" customHeight="1">
      <c r="A145" s="75" t="str">
        <f t="shared" si="10"/>
        <v/>
      </c>
      <c r="B145" s="81"/>
      <c r="C145" s="81"/>
      <c r="D145" s="81"/>
      <c r="E145" s="81"/>
      <c r="F145" s="81"/>
      <c r="G145" s="81"/>
      <c r="H145" s="81"/>
      <c r="I145" s="81"/>
      <c r="J145" s="81"/>
      <c r="K145" s="81"/>
      <c r="L145" s="81"/>
      <c r="M145" s="81"/>
      <c r="N145" s="81"/>
      <c r="O145" s="81"/>
      <c r="P145" s="81"/>
      <c r="Q145" s="81"/>
      <c r="R145" s="81"/>
      <c r="S145" s="81"/>
      <c r="T145" s="81"/>
      <c r="U145" s="81"/>
      <c r="V145" s="81"/>
      <c r="W145" s="81"/>
      <c r="X145" s="81"/>
      <c r="Y145" s="75" t="str">
        <f>IFERROR(INDEX(PARAMETRES!$B$536:$B$586,MATCH(X145,PARAMETRES!$J$536:$J$586,0)),"")</f>
        <v/>
      </c>
      <c r="Z145" s="75" t="str">
        <f>IFERROR(INDEX(PARAMETRES!$D$536:$D$586,MATCH(X145,PARAMETRES!$J$536:$J$586,0)),"")</f>
        <v/>
      </c>
      <c r="AA145" s="75" t="str">
        <f>IFERROR(INDEX(PARAMETRES!$F$536:$F$586,MATCH(X145,PARAMETRES!$J$536:$J$586,0)),"")</f>
        <v/>
      </c>
      <c r="AB145" s="81"/>
      <c r="AC145" s="82"/>
      <c r="AD145" s="81"/>
      <c r="AE145" s="82"/>
      <c r="AF145" s="82"/>
      <c r="AG145" s="81"/>
      <c r="AH145" s="81"/>
      <c r="AI145" s="75">
        <f>IF(A145="",0,COUNTIF(tbl_Donateurs_Opportunites[ID Donateur],A145))</f>
        <v>0</v>
      </c>
      <c r="AJ145" s="75">
        <f>IF(A145="",0,COUNTIFS(tbl_Donateurs_Opportunites[ID Donateur],A145,tbl_Donateurs_Opportunites[Statut],"Ouverte"))</f>
        <v>0</v>
      </c>
      <c r="AK145" s="75">
        <f>IF(A145="",0,COUNTIF(tbl_Donateurs_Demandes[ID Donateur],A145))</f>
        <v>0</v>
      </c>
      <c r="AL145" s="75">
        <f>IF(A145="",0,COUNTIFS(tbl_Donateurs_Demandes[ID Donateur],A145,tbl_Donateurs_Demandes[Statut],"Approuvee")+COUNTIFS(tbl_Donateurs_Demandes[ID Donateur],A145,tbl_Donateurs_Demandes[Statut],"Financement recu"))</f>
        <v>0</v>
      </c>
      <c r="AM145" s="76">
        <f>IF(A145="",0,SUMIF(tbl_Donateurs_Demandes[ID Donateur],A145,tbl_Donateurs_Demandes[Montant demande]))</f>
        <v>0</v>
      </c>
      <c r="AN145" s="76">
        <f>IF(A145="",0,SUMIF(tbl_Donateurs_Demandes[ID Donateur],A145,tbl_Donateurs_Demandes[Montant accorde]))</f>
        <v>0</v>
      </c>
      <c r="AO145" s="76">
        <f>IF(A145="",0,SUMIF(tbl_Donateurs_Decaissements[ID Donateur],A145,tbl_Donateurs_Decaissements[Montant recu]))</f>
        <v>0</v>
      </c>
      <c r="AP145" s="77" t="str">
        <f t="shared" si="11"/>
        <v/>
      </c>
      <c r="AQ145" s="75">
        <f>IF(A145="",0,COUNTIF(tbl_Donateurs_Contacts[ID Donateur],A145))</f>
        <v>0</v>
      </c>
      <c r="AR145" s="75">
        <f>IF(A145="",0,COUNTIF(tbl_Donateurs_Documents[ID Donateur],A145))</f>
        <v>0</v>
      </c>
      <c r="AS145" s="75">
        <f>IF(A145="",0,COUNTIF(tbl_Donateurs_Conventions[ID Donateur],A145))</f>
        <v>0</v>
      </c>
      <c r="AT145" s="83" t="str">
        <f ca="1">IFERROR(_xlfn.MAXIFS(tbl_Donateurs_Decaissements[Date recue],tbl_Donateurs_Decaissements[ID Donateur],A145),"")</f>
        <v/>
      </c>
      <c r="AU145" s="76" t="str">
        <f t="shared" si="14"/>
        <v/>
      </c>
      <c r="AV145" s="75" t="str">
        <f t="shared" ca="1" si="12"/>
        <v/>
      </c>
      <c r="AW145" s="75" t="str">
        <f t="shared" si="13"/>
        <v/>
      </c>
      <c r="AX145" s="81"/>
    </row>
    <row r="146" spans="1:50" ht="15" customHeight="1">
      <c r="A146" s="75" t="str">
        <f t="shared" si="10"/>
        <v/>
      </c>
      <c r="B146" s="81"/>
      <c r="C146" s="81"/>
      <c r="D146" s="81"/>
      <c r="E146" s="81"/>
      <c r="F146" s="81"/>
      <c r="G146" s="81"/>
      <c r="H146" s="81"/>
      <c r="I146" s="81"/>
      <c r="J146" s="81"/>
      <c r="K146" s="81"/>
      <c r="L146" s="81"/>
      <c r="M146" s="81"/>
      <c r="N146" s="81"/>
      <c r="O146" s="81"/>
      <c r="P146" s="81"/>
      <c r="Q146" s="81"/>
      <c r="R146" s="81"/>
      <c r="S146" s="81"/>
      <c r="T146" s="81"/>
      <c r="U146" s="81"/>
      <c r="V146" s="81"/>
      <c r="W146" s="81"/>
      <c r="X146" s="81"/>
      <c r="Y146" s="75" t="str">
        <f>IFERROR(INDEX(PARAMETRES!$B$536:$B$586,MATCH(X146,PARAMETRES!$J$536:$J$586,0)),"")</f>
        <v/>
      </c>
      <c r="Z146" s="75" t="str">
        <f>IFERROR(INDEX(PARAMETRES!$D$536:$D$586,MATCH(X146,PARAMETRES!$J$536:$J$586,0)),"")</f>
        <v/>
      </c>
      <c r="AA146" s="75" t="str">
        <f>IFERROR(INDEX(PARAMETRES!$F$536:$F$586,MATCH(X146,PARAMETRES!$J$536:$J$586,0)),"")</f>
        <v/>
      </c>
      <c r="AB146" s="81"/>
      <c r="AC146" s="82"/>
      <c r="AD146" s="81"/>
      <c r="AE146" s="82"/>
      <c r="AF146" s="82"/>
      <c r="AG146" s="81"/>
      <c r="AH146" s="81"/>
      <c r="AI146" s="75">
        <f>IF(A146="",0,COUNTIF(tbl_Donateurs_Opportunites[ID Donateur],A146))</f>
        <v>0</v>
      </c>
      <c r="AJ146" s="75">
        <f>IF(A146="",0,COUNTIFS(tbl_Donateurs_Opportunites[ID Donateur],A146,tbl_Donateurs_Opportunites[Statut],"Ouverte"))</f>
        <v>0</v>
      </c>
      <c r="AK146" s="75">
        <f>IF(A146="",0,COUNTIF(tbl_Donateurs_Demandes[ID Donateur],A146))</f>
        <v>0</v>
      </c>
      <c r="AL146" s="75">
        <f>IF(A146="",0,COUNTIFS(tbl_Donateurs_Demandes[ID Donateur],A146,tbl_Donateurs_Demandes[Statut],"Approuvee")+COUNTIFS(tbl_Donateurs_Demandes[ID Donateur],A146,tbl_Donateurs_Demandes[Statut],"Financement recu"))</f>
        <v>0</v>
      </c>
      <c r="AM146" s="76">
        <f>IF(A146="",0,SUMIF(tbl_Donateurs_Demandes[ID Donateur],A146,tbl_Donateurs_Demandes[Montant demande]))</f>
        <v>0</v>
      </c>
      <c r="AN146" s="76">
        <f>IF(A146="",0,SUMIF(tbl_Donateurs_Demandes[ID Donateur],A146,tbl_Donateurs_Demandes[Montant accorde]))</f>
        <v>0</v>
      </c>
      <c r="AO146" s="76">
        <f>IF(A146="",0,SUMIF(tbl_Donateurs_Decaissements[ID Donateur],A146,tbl_Donateurs_Decaissements[Montant recu]))</f>
        <v>0</v>
      </c>
      <c r="AP146" s="77" t="str">
        <f t="shared" si="11"/>
        <v/>
      </c>
      <c r="AQ146" s="75">
        <f>IF(A146="",0,COUNTIF(tbl_Donateurs_Contacts[ID Donateur],A146))</f>
        <v>0</v>
      </c>
      <c r="AR146" s="75">
        <f>IF(A146="",0,COUNTIF(tbl_Donateurs_Documents[ID Donateur],A146))</f>
        <v>0</v>
      </c>
      <c r="AS146" s="75">
        <f>IF(A146="",0,COUNTIF(tbl_Donateurs_Conventions[ID Donateur],A146))</f>
        <v>0</v>
      </c>
      <c r="AT146" s="83" t="str">
        <f ca="1">IFERROR(_xlfn.MAXIFS(tbl_Donateurs_Decaissements[Date recue],tbl_Donateurs_Decaissements[ID Donateur],A146),"")</f>
        <v/>
      </c>
      <c r="AU146" s="76" t="str">
        <f t="shared" si="14"/>
        <v/>
      </c>
      <c r="AV146" s="75" t="str">
        <f t="shared" ca="1" si="12"/>
        <v/>
      </c>
      <c r="AW146" s="75" t="str">
        <f t="shared" si="13"/>
        <v/>
      </c>
      <c r="AX146" s="81"/>
    </row>
    <row r="147" spans="1:50" ht="15" customHeight="1">
      <c r="A147" s="75" t="str">
        <f t="shared" si="10"/>
        <v/>
      </c>
      <c r="B147" s="81"/>
      <c r="C147" s="81"/>
      <c r="D147" s="81"/>
      <c r="E147" s="81"/>
      <c r="F147" s="81"/>
      <c r="G147" s="81"/>
      <c r="H147" s="81"/>
      <c r="I147" s="81"/>
      <c r="J147" s="81"/>
      <c r="K147" s="81"/>
      <c r="L147" s="81"/>
      <c r="M147" s="81"/>
      <c r="N147" s="81"/>
      <c r="O147" s="81"/>
      <c r="P147" s="81"/>
      <c r="Q147" s="81"/>
      <c r="R147" s="81"/>
      <c r="S147" s="81"/>
      <c r="T147" s="81"/>
      <c r="U147" s="81"/>
      <c r="V147" s="81"/>
      <c r="W147" s="81"/>
      <c r="X147" s="81"/>
      <c r="Y147" s="75" t="str">
        <f>IFERROR(INDEX(PARAMETRES!$B$536:$B$586,MATCH(X147,PARAMETRES!$J$536:$J$586,0)),"")</f>
        <v/>
      </c>
      <c r="Z147" s="75" t="str">
        <f>IFERROR(INDEX(PARAMETRES!$D$536:$D$586,MATCH(X147,PARAMETRES!$J$536:$J$586,0)),"")</f>
        <v/>
      </c>
      <c r="AA147" s="75" t="str">
        <f>IFERROR(INDEX(PARAMETRES!$F$536:$F$586,MATCH(X147,PARAMETRES!$J$536:$J$586,0)),"")</f>
        <v/>
      </c>
      <c r="AB147" s="81"/>
      <c r="AC147" s="82"/>
      <c r="AD147" s="81"/>
      <c r="AE147" s="82"/>
      <c r="AF147" s="82"/>
      <c r="AG147" s="81"/>
      <c r="AH147" s="81"/>
      <c r="AI147" s="75">
        <f>IF(A147="",0,COUNTIF(tbl_Donateurs_Opportunites[ID Donateur],A147))</f>
        <v>0</v>
      </c>
      <c r="AJ147" s="75">
        <f>IF(A147="",0,COUNTIFS(tbl_Donateurs_Opportunites[ID Donateur],A147,tbl_Donateurs_Opportunites[Statut],"Ouverte"))</f>
        <v>0</v>
      </c>
      <c r="AK147" s="75">
        <f>IF(A147="",0,COUNTIF(tbl_Donateurs_Demandes[ID Donateur],A147))</f>
        <v>0</v>
      </c>
      <c r="AL147" s="75">
        <f>IF(A147="",0,COUNTIFS(tbl_Donateurs_Demandes[ID Donateur],A147,tbl_Donateurs_Demandes[Statut],"Approuvee")+COUNTIFS(tbl_Donateurs_Demandes[ID Donateur],A147,tbl_Donateurs_Demandes[Statut],"Financement recu"))</f>
        <v>0</v>
      </c>
      <c r="AM147" s="76">
        <f>IF(A147="",0,SUMIF(tbl_Donateurs_Demandes[ID Donateur],A147,tbl_Donateurs_Demandes[Montant demande]))</f>
        <v>0</v>
      </c>
      <c r="AN147" s="76">
        <f>IF(A147="",0,SUMIF(tbl_Donateurs_Demandes[ID Donateur],A147,tbl_Donateurs_Demandes[Montant accorde]))</f>
        <v>0</v>
      </c>
      <c r="AO147" s="76">
        <f>IF(A147="",0,SUMIF(tbl_Donateurs_Decaissements[ID Donateur],A147,tbl_Donateurs_Decaissements[Montant recu]))</f>
        <v>0</v>
      </c>
      <c r="AP147" s="77" t="str">
        <f t="shared" si="11"/>
        <v/>
      </c>
      <c r="AQ147" s="75">
        <f>IF(A147="",0,COUNTIF(tbl_Donateurs_Contacts[ID Donateur],A147))</f>
        <v>0</v>
      </c>
      <c r="AR147" s="75">
        <f>IF(A147="",0,COUNTIF(tbl_Donateurs_Documents[ID Donateur],A147))</f>
        <v>0</v>
      </c>
      <c r="AS147" s="75">
        <f>IF(A147="",0,COUNTIF(tbl_Donateurs_Conventions[ID Donateur],A147))</f>
        <v>0</v>
      </c>
      <c r="AT147" s="83" t="str">
        <f ca="1">IFERROR(_xlfn.MAXIFS(tbl_Donateurs_Decaissements[Date recue],tbl_Donateurs_Decaissements[ID Donateur],A147),"")</f>
        <v/>
      </c>
      <c r="AU147" s="76" t="str">
        <f t="shared" si="14"/>
        <v/>
      </c>
      <c r="AV147" s="75" t="str">
        <f t="shared" ca="1" si="12"/>
        <v/>
      </c>
      <c r="AW147" s="75" t="str">
        <f t="shared" si="13"/>
        <v/>
      </c>
      <c r="AX147" s="81"/>
    </row>
    <row r="148" spans="1:50" ht="15" customHeight="1">
      <c r="A148" s="75" t="str">
        <f t="shared" si="10"/>
        <v/>
      </c>
      <c r="B148" s="81"/>
      <c r="C148" s="81"/>
      <c r="D148" s="81"/>
      <c r="E148" s="81"/>
      <c r="F148" s="81"/>
      <c r="G148" s="81"/>
      <c r="H148" s="81"/>
      <c r="I148" s="81"/>
      <c r="J148" s="81"/>
      <c r="K148" s="81"/>
      <c r="L148" s="81"/>
      <c r="M148" s="81"/>
      <c r="N148" s="81"/>
      <c r="O148" s="81"/>
      <c r="P148" s="81"/>
      <c r="Q148" s="81"/>
      <c r="R148" s="81"/>
      <c r="S148" s="81"/>
      <c r="T148" s="81"/>
      <c r="U148" s="81"/>
      <c r="V148" s="81"/>
      <c r="W148" s="81"/>
      <c r="X148" s="81"/>
      <c r="Y148" s="75" t="str">
        <f>IFERROR(INDEX(PARAMETRES!$B$536:$B$586,MATCH(X148,PARAMETRES!$J$536:$J$586,0)),"")</f>
        <v/>
      </c>
      <c r="Z148" s="75" t="str">
        <f>IFERROR(INDEX(PARAMETRES!$D$536:$D$586,MATCH(X148,PARAMETRES!$J$536:$J$586,0)),"")</f>
        <v/>
      </c>
      <c r="AA148" s="75" t="str">
        <f>IFERROR(INDEX(PARAMETRES!$F$536:$F$586,MATCH(X148,PARAMETRES!$J$536:$J$586,0)),"")</f>
        <v/>
      </c>
      <c r="AB148" s="81"/>
      <c r="AC148" s="82"/>
      <c r="AD148" s="81"/>
      <c r="AE148" s="82"/>
      <c r="AF148" s="82"/>
      <c r="AG148" s="81"/>
      <c r="AH148" s="81"/>
      <c r="AI148" s="75">
        <f>IF(A148="",0,COUNTIF(tbl_Donateurs_Opportunites[ID Donateur],A148))</f>
        <v>0</v>
      </c>
      <c r="AJ148" s="75">
        <f>IF(A148="",0,COUNTIFS(tbl_Donateurs_Opportunites[ID Donateur],A148,tbl_Donateurs_Opportunites[Statut],"Ouverte"))</f>
        <v>0</v>
      </c>
      <c r="AK148" s="75">
        <f>IF(A148="",0,COUNTIF(tbl_Donateurs_Demandes[ID Donateur],A148))</f>
        <v>0</v>
      </c>
      <c r="AL148" s="75">
        <f>IF(A148="",0,COUNTIFS(tbl_Donateurs_Demandes[ID Donateur],A148,tbl_Donateurs_Demandes[Statut],"Approuvee")+COUNTIFS(tbl_Donateurs_Demandes[ID Donateur],A148,tbl_Donateurs_Demandes[Statut],"Financement recu"))</f>
        <v>0</v>
      </c>
      <c r="AM148" s="76">
        <f>IF(A148="",0,SUMIF(tbl_Donateurs_Demandes[ID Donateur],A148,tbl_Donateurs_Demandes[Montant demande]))</f>
        <v>0</v>
      </c>
      <c r="AN148" s="76">
        <f>IF(A148="",0,SUMIF(tbl_Donateurs_Demandes[ID Donateur],A148,tbl_Donateurs_Demandes[Montant accorde]))</f>
        <v>0</v>
      </c>
      <c r="AO148" s="76">
        <f>IF(A148="",0,SUMIF(tbl_Donateurs_Decaissements[ID Donateur],A148,tbl_Donateurs_Decaissements[Montant recu]))</f>
        <v>0</v>
      </c>
      <c r="AP148" s="77" t="str">
        <f t="shared" si="11"/>
        <v/>
      </c>
      <c r="AQ148" s="75">
        <f>IF(A148="",0,COUNTIF(tbl_Donateurs_Contacts[ID Donateur],A148))</f>
        <v>0</v>
      </c>
      <c r="AR148" s="75">
        <f>IF(A148="",0,COUNTIF(tbl_Donateurs_Documents[ID Donateur],A148))</f>
        <v>0</v>
      </c>
      <c r="AS148" s="75">
        <f>IF(A148="",0,COUNTIF(tbl_Donateurs_Conventions[ID Donateur],A148))</f>
        <v>0</v>
      </c>
      <c r="AT148" s="83" t="str">
        <f ca="1">IFERROR(_xlfn.MAXIFS(tbl_Donateurs_Decaissements[Date recue],tbl_Donateurs_Decaissements[ID Donateur],A148),"")</f>
        <v/>
      </c>
      <c r="AU148" s="76" t="str">
        <f t="shared" si="14"/>
        <v/>
      </c>
      <c r="AV148" s="75" t="str">
        <f t="shared" ca="1" si="12"/>
        <v/>
      </c>
      <c r="AW148" s="75" t="str">
        <f t="shared" si="13"/>
        <v/>
      </c>
      <c r="AX148" s="81"/>
    </row>
    <row r="149" spans="1:50" ht="15" customHeight="1">
      <c r="A149" s="75" t="str">
        <f t="shared" si="10"/>
        <v/>
      </c>
      <c r="B149" s="81"/>
      <c r="C149" s="81"/>
      <c r="D149" s="81"/>
      <c r="E149" s="81"/>
      <c r="F149" s="81"/>
      <c r="G149" s="81"/>
      <c r="H149" s="81"/>
      <c r="I149" s="81"/>
      <c r="J149" s="81"/>
      <c r="K149" s="81"/>
      <c r="L149" s="81"/>
      <c r="M149" s="81"/>
      <c r="N149" s="81"/>
      <c r="O149" s="81"/>
      <c r="P149" s="81"/>
      <c r="Q149" s="81"/>
      <c r="R149" s="81"/>
      <c r="S149" s="81"/>
      <c r="T149" s="81"/>
      <c r="U149" s="81"/>
      <c r="V149" s="81"/>
      <c r="W149" s="81"/>
      <c r="X149" s="81"/>
      <c r="Y149" s="75" t="str">
        <f>IFERROR(INDEX(PARAMETRES!$B$536:$B$586,MATCH(X149,PARAMETRES!$J$536:$J$586,0)),"")</f>
        <v/>
      </c>
      <c r="Z149" s="75" t="str">
        <f>IFERROR(INDEX(PARAMETRES!$D$536:$D$586,MATCH(X149,PARAMETRES!$J$536:$J$586,0)),"")</f>
        <v/>
      </c>
      <c r="AA149" s="75" t="str">
        <f>IFERROR(INDEX(PARAMETRES!$F$536:$F$586,MATCH(X149,PARAMETRES!$J$536:$J$586,0)),"")</f>
        <v/>
      </c>
      <c r="AB149" s="81"/>
      <c r="AC149" s="82"/>
      <c r="AD149" s="81"/>
      <c r="AE149" s="82"/>
      <c r="AF149" s="82"/>
      <c r="AG149" s="81"/>
      <c r="AH149" s="81"/>
      <c r="AI149" s="75">
        <f>IF(A149="",0,COUNTIF(tbl_Donateurs_Opportunites[ID Donateur],A149))</f>
        <v>0</v>
      </c>
      <c r="AJ149" s="75">
        <f>IF(A149="",0,COUNTIFS(tbl_Donateurs_Opportunites[ID Donateur],A149,tbl_Donateurs_Opportunites[Statut],"Ouverte"))</f>
        <v>0</v>
      </c>
      <c r="AK149" s="75">
        <f>IF(A149="",0,COUNTIF(tbl_Donateurs_Demandes[ID Donateur],A149))</f>
        <v>0</v>
      </c>
      <c r="AL149" s="75">
        <f>IF(A149="",0,COUNTIFS(tbl_Donateurs_Demandes[ID Donateur],A149,tbl_Donateurs_Demandes[Statut],"Approuvee")+COUNTIFS(tbl_Donateurs_Demandes[ID Donateur],A149,tbl_Donateurs_Demandes[Statut],"Financement recu"))</f>
        <v>0</v>
      </c>
      <c r="AM149" s="76">
        <f>IF(A149="",0,SUMIF(tbl_Donateurs_Demandes[ID Donateur],A149,tbl_Donateurs_Demandes[Montant demande]))</f>
        <v>0</v>
      </c>
      <c r="AN149" s="76">
        <f>IF(A149="",0,SUMIF(tbl_Donateurs_Demandes[ID Donateur],A149,tbl_Donateurs_Demandes[Montant accorde]))</f>
        <v>0</v>
      </c>
      <c r="AO149" s="76">
        <f>IF(A149="",0,SUMIF(tbl_Donateurs_Decaissements[ID Donateur],A149,tbl_Donateurs_Decaissements[Montant recu]))</f>
        <v>0</v>
      </c>
      <c r="AP149" s="77" t="str">
        <f t="shared" si="11"/>
        <v/>
      </c>
      <c r="AQ149" s="75">
        <f>IF(A149="",0,COUNTIF(tbl_Donateurs_Contacts[ID Donateur],A149))</f>
        <v>0</v>
      </c>
      <c r="AR149" s="75">
        <f>IF(A149="",0,COUNTIF(tbl_Donateurs_Documents[ID Donateur],A149))</f>
        <v>0</v>
      </c>
      <c r="AS149" s="75">
        <f>IF(A149="",0,COUNTIF(tbl_Donateurs_Conventions[ID Donateur],A149))</f>
        <v>0</v>
      </c>
      <c r="AT149" s="83" t="str">
        <f ca="1">IFERROR(_xlfn.MAXIFS(tbl_Donateurs_Decaissements[Date recue],tbl_Donateurs_Decaissements[ID Donateur],A149),"")</f>
        <v/>
      </c>
      <c r="AU149" s="76" t="str">
        <f t="shared" si="14"/>
        <v/>
      </c>
      <c r="AV149" s="75" t="str">
        <f t="shared" ca="1" si="12"/>
        <v/>
      </c>
      <c r="AW149" s="75" t="str">
        <f t="shared" si="13"/>
        <v/>
      </c>
      <c r="AX149" s="81"/>
    </row>
    <row r="150" spans="1:50" ht="15" customHeight="1">
      <c r="A150" s="75" t="str">
        <f t="shared" si="10"/>
        <v/>
      </c>
      <c r="B150" s="81"/>
      <c r="C150" s="81"/>
      <c r="D150" s="81"/>
      <c r="E150" s="81"/>
      <c r="F150" s="81"/>
      <c r="G150" s="81"/>
      <c r="H150" s="81"/>
      <c r="I150" s="81"/>
      <c r="J150" s="81"/>
      <c r="K150" s="81"/>
      <c r="L150" s="81"/>
      <c r="M150" s="81"/>
      <c r="N150" s="81"/>
      <c r="O150" s="81"/>
      <c r="P150" s="81"/>
      <c r="Q150" s="81"/>
      <c r="R150" s="81"/>
      <c r="S150" s="81"/>
      <c r="T150" s="81"/>
      <c r="U150" s="81"/>
      <c r="V150" s="81"/>
      <c r="W150" s="81"/>
      <c r="X150" s="81"/>
      <c r="Y150" s="75" t="str">
        <f>IFERROR(INDEX(PARAMETRES!$B$536:$B$586,MATCH(X150,PARAMETRES!$J$536:$J$586,0)),"")</f>
        <v/>
      </c>
      <c r="Z150" s="75" t="str">
        <f>IFERROR(INDEX(PARAMETRES!$D$536:$D$586,MATCH(X150,PARAMETRES!$J$536:$J$586,0)),"")</f>
        <v/>
      </c>
      <c r="AA150" s="75" t="str">
        <f>IFERROR(INDEX(PARAMETRES!$F$536:$F$586,MATCH(X150,PARAMETRES!$J$536:$J$586,0)),"")</f>
        <v/>
      </c>
      <c r="AB150" s="81"/>
      <c r="AC150" s="82"/>
      <c r="AD150" s="81"/>
      <c r="AE150" s="82"/>
      <c r="AF150" s="82"/>
      <c r="AG150" s="81"/>
      <c r="AH150" s="81"/>
      <c r="AI150" s="75">
        <f>IF(A150="",0,COUNTIF(tbl_Donateurs_Opportunites[ID Donateur],A150))</f>
        <v>0</v>
      </c>
      <c r="AJ150" s="75">
        <f>IF(A150="",0,COUNTIFS(tbl_Donateurs_Opportunites[ID Donateur],A150,tbl_Donateurs_Opportunites[Statut],"Ouverte"))</f>
        <v>0</v>
      </c>
      <c r="AK150" s="75">
        <f>IF(A150="",0,COUNTIF(tbl_Donateurs_Demandes[ID Donateur],A150))</f>
        <v>0</v>
      </c>
      <c r="AL150" s="75">
        <f>IF(A150="",0,COUNTIFS(tbl_Donateurs_Demandes[ID Donateur],A150,tbl_Donateurs_Demandes[Statut],"Approuvee")+COUNTIFS(tbl_Donateurs_Demandes[ID Donateur],A150,tbl_Donateurs_Demandes[Statut],"Financement recu"))</f>
        <v>0</v>
      </c>
      <c r="AM150" s="76">
        <f>IF(A150="",0,SUMIF(tbl_Donateurs_Demandes[ID Donateur],A150,tbl_Donateurs_Demandes[Montant demande]))</f>
        <v>0</v>
      </c>
      <c r="AN150" s="76">
        <f>IF(A150="",0,SUMIF(tbl_Donateurs_Demandes[ID Donateur],A150,tbl_Donateurs_Demandes[Montant accorde]))</f>
        <v>0</v>
      </c>
      <c r="AO150" s="76">
        <f>IF(A150="",0,SUMIF(tbl_Donateurs_Decaissements[ID Donateur],A150,tbl_Donateurs_Decaissements[Montant recu]))</f>
        <v>0</v>
      </c>
      <c r="AP150" s="77" t="str">
        <f t="shared" si="11"/>
        <v/>
      </c>
      <c r="AQ150" s="75">
        <f>IF(A150="",0,COUNTIF(tbl_Donateurs_Contacts[ID Donateur],A150))</f>
        <v>0</v>
      </c>
      <c r="AR150" s="75">
        <f>IF(A150="",0,COUNTIF(tbl_Donateurs_Documents[ID Donateur],A150))</f>
        <v>0</v>
      </c>
      <c r="AS150" s="75">
        <f>IF(A150="",0,COUNTIF(tbl_Donateurs_Conventions[ID Donateur],A150))</f>
        <v>0</v>
      </c>
      <c r="AT150" s="83" t="str">
        <f ca="1">IFERROR(_xlfn.MAXIFS(tbl_Donateurs_Decaissements[Date recue],tbl_Donateurs_Decaissements[ID Donateur],A150),"")</f>
        <v/>
      </c>
      <c r="AU150" s="76" t="str">
        <f t="shared" si="14"/>
        <v/>
      </c>
      <c r="AV150" s="75" t="str">
        <f t="shared" ca="1" si="12"/>
        <v/>
      </c>
      <c r="AW150" s="75" t="str">
        <f t="shared" si="13"/>
        <v/>
      </c>
      <c r="AX150" s="81"/>
    </row>
    <row r="151" spans="1:50" ht="15" customHeight="1">
      <c r="A151" s="75" t="str">
        <f t="shared" si="10"/>
        <v/>
      </c>
      <c r="B151" s="81"/>
      <c r="C151" s="81"/>
      <c r="D151" s="81"/>
      <c r="E151" s="81"/>
      <c r="F151" s="81"/>
      <c r="G151" s="81"/>
      <c r="H151" s="81"/>
      <c r="I151" s="81"/>
      <c r="J151" s="81"/>
      <c r="K151" s="81"/>
      <c r="L151" s="81"/>
      <c r="M151" s="81"/>
      <c r="N151" s="81"/>
      <c r="O151" s="81"/>
      <c r="P151" s="81"/>
      <c r="Q151" s="81"/>
      <c r="R151" s="81"/>
      <c r="S151" s="81"/>
      <c r="T151" s="81"/>
      <c r="U151" s="81"/>
      <c r="V151" s="81"/>
      <c r="W151" s="81"/>
      <c r="X151" s="81"/>
      <c r="Y151" s="75" t="str">
        <f>IFERROR(INDEX(PARAMETRES!$B$536:$B$586,MATCH(X151,PARAMETRES!$J$536:$J$586,0)),"")</f>
        <v/>
      </c>
      <c r="Z151" s="75" t="str">
        <f>IFERROR(INDEX(PARAMETRES!$D$536:$D$586,MATCH(X151,PARAMETRES!$J$536:$J$586,0)),"")</f>
        <v/>
      </c>
      <c r="AA151" s="75" t="str">
        <f>IFERROR(INDEX(PARAMETRES!$F$536:$F$586,MATCH(X151,PARAMETRES!$J$536:$J$586,0)),"")</f>
        <v/>
      </c>
      <c r="AB151" s="81"/>
      <c r="AC151" s="82"/>
      <c r="AD151" s="81"/>
      <c r="AE151" s="82"/>
      <c r="AF151" s="82"/>
      <c r="AG151" s="81"/>
      <c r="AH151" s="81"/>
      <c r="AI151" s="75">
        <f>IF(A151="",0,COUNTIF(tbl_Donateurs_Opportunites[ID Donateur],A151))</f>
        <v>0</v>
      </c>
      <c r="AJ151" s="75">
        <f>IF(A151="",0,COUNTIFS(tbl_Donateurs_Opportunites[ID Donateur],A151,tbl_Donateurs_Opportunites[Statut],"Ouverte"))</f>
        <v>0</v>
      </c>
      <c r="AK151" s="75">
        <f>IF(A151="",0,COUNTIF(tbl_Donateurs_Demandes[ID Donateur],A151))</f>
        <v>0</v>
      </c>
      <c r="AL151" s="75">
        <f>IF(A151="",0,COUNTIFS(tbl_Donateurs_Demandes[ID Donateur],A151,tbl_Donateurs_Demandes[Statut],"Approuvee")+COUNTIFS(tbl_Donateurs_Demandes[ID Donateur],A151,tbl_Donateurs_Demandes[Statut],"Financement recu"))</f>
        <v>0</v>
      </c>
      <c r="AM151" s="76">
        <f>IF(A151="",0,SUMIF(tbl_Donateurs_Demandes[ID Donateur],A151,tbl_Donateurs_Demandes[Montant demande]))</f>
        <v>0</v>
      </c>
      <c r="AN151" s="76">
        <f>IF(A151="",0,SUMIF(tbl_Donateurs_Demandes[ID Donateur],A151,tbl_Donateurs_Demandes[Montant accorde]))</f>
        <v>0</v>
      </c>
      <c r="AO151" s="76">
        <f>IF(A151="",0,SUMIF(tbl_Donateurs_Decaissements[ID Donateur],A151,tbl_Donateurs_Decaissements[Montant recu]))</f>
        <v>0</v>
      </c>
      <c r="AP151" s="77" t="str">
        <f t="shared" si="11"/>
        <v/>
      </c>
      <c r="AQ151" s="75">
        <f>IF(A151="",0,COUNTIF(tbl_Donateurs_Contacts[ID Donateur],A151))</f>
        <v>0</v>
      </c>
      <c r="AR151" s="75">
        <f>IF(A151="",0,COUNTIF(tbl_Donateurs_Documents[ID Donateur],A151))</f>
        <v>0</v>
      </c>
      <c r="AS151" s="75">
        <f>IF(A151="",0,COUNTIF(tbl_Donateurs_Conventions[ID Donateur],A151))</f>
        <v>0</v>
      </c>
      <c r="AT151" s="83" t="str">
        <f ca="1">IFERROR(_xlfn.MAXIFS(tbl_Donateurs_Decaissements[Date recue],tbl_Donateurs_Decaissements[ID Donateur],A151),"")</f>
        <v/>
      </c>
      <c r="AU151" s="76" t="str">
        <f t="shared" si="14"/>
        <v/>
      </c>
      <c r="AV151" s="75" t="str">
        <f t="shared" ca="1" si="12"/>
        <v/>
      </c>
      <c r="AW151" s="75" t="str">
        <f t="shared" si="13"/>
        <v/>
      </c>
      <c r="AX151" s="81"/>
    </row>
    <row r="152" spans="1:50" ht="15" customHeight="1">
      <c r="A152" s="75" t="str">
        <f t="shared" ref="A152:A183" si="15">IF(B152="","","DON"&amp;TEXT(ROW()-55,"00000"))</f>
        <v/>
      </c>
      <c r="B152" s="81"/>
      <c r="C152" s="81"/>
      <c r="D152" s="81"/>
      <c r="E152" s="81"/>
      <c r="F152" s="81"/>
      <c r="G152" s="81"/>
      <c r="H152" s="81"/>
      <c r="I152" s="81"/>
      <c r="J152" s="81"/>
      <c r="K152" s="81"/>
      <c r="L152" s="81"/>
      <c r="M152" s="81"/>
      <c r="N152" s="81"/>
      <c r="O152" s="81"/>
      <c r="P152" s="81"/>
      <c r="Q152" s="81"/>
      <c r="R152" s="81"/>
      <c r="S152" s="81"/>
      <c r="T152" s="81"/>
      <c r="U152" s="81"/>
      <c r="V152" s="81"/>
      <c r="W152" s="81"/>
      <c r="X152" s="81"/>
      <c r="Y152" s="75" t="str">
        <f>IFERROR(INDEX(PARAMETRES!$B$536:$B$586,MATCH(X152,PARAMETRES!$J$536:$J$586,0)),"")</f>
        <v/>
      </c>
      <c r="Z152" s="75" t="str">
        <f>IFERROR(INDEX(PARAMETRES!$D$536:$D$586,MATCH(X152,PARAMETRES!$J$536:$J$586,0)),"")</f>
        <v/>
      </c>
      <c r="AA152" s="75" t="str">
        <f>IFERROR(INDEX(PARAMETRES!$F$536:$F$586,MATCH(X152,PARAMETRES!$J$536:$J$586,0)),"")</f>
        <v/>
      </c>
      <c r="AB152" s="81"/>
      <c r="AC152" s="82"/>
      <c r="AD152" s="81"/>
      <c r="AE152" s="82"/>
      <c r="AF152" s="82"/>
      <c r="AG152" s="81"/>
      <c r="AH152" s="81"/>
      <c r="AI152" s="75">
        <f>IF(A152="",0,COUNTIF(tbl_Donateurs_Opportunites[ID Donateur],A152))</f>
        <v>0</v>
      </c>
      <c r="AJ152" s="75">
        <f>IF(A152="",0,COUNTIFS(tbl_Donateurs_Opportunites[ID Donateur],A152,tbl_Donateurs_Opportunites[Statut],"Ouverte"))</f>
        <v>0</v>
      </c>
      <c r="AK152" s="75">
        <f>IF(A152="",0,COUNTIF(tbl_Donateurs_Demandes[ID Donateur],A152))</f>
        <v>0</v>
      </c>
      <c r="AL152" s="75">
        <f>IF(A152="",0,COUNTIFS(tbl_Donateurs_Demandes[ID Donateur],A152,tbl_Donateurs_Demandes[Statut],"Approuvee")+COUNTIFS(tbl_Donateurs_Demandes[ID Donateur],A152,tbl_Donateurs_Demandes[Statut],"Financement recu"))</f>
        <v>0</v>
      </c>
      <c r="AM152" s="76">
        <f>IF(A152="",0,SUMIF(tbl_Donateurs_Demandes[ID Donateur],A152,tbl_Donateurs_Demandes[Montant demande]))</f>
        <v>0</v>
      </c>
      <c r="AN152" s="76">
        <f>IF(A152="",0,SUMIF(tbl_Donateurs_Demandes[ID Donateur],A152,tbl_Donateurs_Demandes[Montant accorde]))</f>
        <v>0</v>
      </c>
      <c r="AO152" s="76">
        <f>IF(A152="",0,SUMIF(tbl_Donateurs_Decaissements[ID Donateur],A152,tbl_Donateurs_Decaissements[Montant recu]))</f>
        <v>0</v>
      </c>
      <c r="AP152" s="77" t="str">
        <f t="shared" ref="AP152:AP183" si="16">IFERROR(AL152/AK152,"")</f>
        <v/>
      </c>
      <c r="AQ152" s="75">
        <f>IF(A152="",0,COUNTIF(tbl_Donateurs_Contacts[ID Donateur],A152))</f>
        <v>0</v>
      </c>
      <c r="AR152" s="75">
        <f>IF(A152="",0,COUNTIF(tbl_Donateurs_Documents[ID Donateur],A152))</f>
        <v>0</v>
      </c>
      <c r="AS152" s="75">
        <f>IF(A152="",0,COUNTIF(tbl_Donateurs_Conventions[ID Donateur],A152))</f>
        <v>0</v>
      </c>
      <c r="AT152" s="83" t="str">
        <f ca="1">IFERROR(_xlfn.MAXIFS(tbl_Donateurs_Decaissements[Date recue],tbl_Donateurs_Decaissements[ID Donateur],A152),"")</f>
        <v/>
      </c>
      <c r="AU152" s="76" t="str">
        <f t="shared" si="14"/>
        <v/>
      </c>
      <c r="AV152" s="75" t="str">
        <f t="shared" ref="AV152:AV183" ca="1" si="17">IF(A152="","",IF(OR(AB152="A relancer",AND(AF152&lt;&gt;"",AF152&lt;=TODAY())),"OUI","NON"))</f>
        <v/>
      </c>
      <c r="AW152" s="75" t="str">
        <f t="shared" ref="AW152:AW183" si="18">IF(B152="","",IF(OR(COUNTIF($B$56:$B$205,B152)&gt;1,AND(D152&lt;&gt;"",COUNTIF($D$56:$D$205,D152)&gt;1),AND(K152&lt;&gt;"",COUNTIF($K$56:$K$205,K152)&gt;1),AND(L152&lt;&gt;"",COUNTIF($L$56:$L$205,L152)&gt;1)),"OUI","NON"))</f>
        <v/>
      </c>
      <c r="AX152" s="81"/>
    </row>
    <row r="153" spans="1:50" ht="15" customHeight="1">
      <c r="A153" s="75" t="str">
        <f t="shared" si="15"/>
        <v/>
      </c>
      <c r="B153" s="81"/>
      <c r="C153" s="81"/>
      <c r="D153" s="81"/>
      <c r="E153" s="81"/>
      <c r="F153" s="81"/>
      <c r="G153" s="81"/>
      <c r="H153" s="81"/>
      <c r="I153" s="81"/>
      <c r="J153" s="81"/>
      <c r="K153" s="81"/>
      <c r="L153" s="81"/>
      <c r="M153" s="81"/>
      <c r="N153" s="81"/>
      <c r="O153" s="81"/>
      <c r="P153" s="81"/>
      <c r="Q153" s="81"/>
      <c r="R153" s="81"/>
      <c r="S153" s="81"/>
      <c r="T153" s="81"/>
      <c r="U153" s="81"/>
      <c r="V153" s="81"/>
      <c r="W153" s="81"/>
      <c r="X153" s="81"/>
      <c r="Y153" s="75" t="str">
        <f>IFERROR(INDEX(PARAMETRES!$B$536:$B$586,MATCH(X153,PARAMETRES!$J$536:$J$586,0)),"")</f>
        <v/>
      </c>
      <c r="Z153" s="75" t="str">
        <f>IFERROR(INDEX(PARAMETRES!$D$536:$D$586,MATCH(X153,PARAMETRES!$J$536:$J$586,0)),"")</f>
        <v/>
      </c>
      <c r="AA153" s="75" t="str">
        <f>IFERROR(INDEX(PARAMETRES!$F$536:$F$586,MATCH(X153,PARAMETRES!$J$536:$J$586,0)),"")</f>
        <v/>
      </c>
      <c r="AB153" s="81"/>
      <c r="AC153" s="82"/>
      <c r="AD153" s="81"/>
      <c r="AE153" s="82"/>
      <c r="AF153" s="82"/>
      <c r="AG153" s="81"/>
      <c r="AH153" s="81"/>
      <c r="AI153" s="75">
        <f>IF(A153="",0,COUNTIF(tbl_Donateurs_Opportunites[ID Donateur],A153))</f>
        <v>0</v>
      </c>
      <c r="AJ153" s="75">
        <f>IF(A153="",0,COUNTIFS(tbl_Donateurs_Opportunites[ID Donateur],A153,tbl_Donateurs_Opportunites[Statut],"Ouverte"))</f>
        <v>0</v>
      </c>
      <c r="AK153" s="75">
        <f>IF(A153="",0,COUNTIF(tbl_Donateurs_Demandes[ID Donateur],A153))</f>
        <v>0</v>
      </c>
      <c r="AL153" s="75">
        <f>IF(A153="",0,COUNTIFS(tbl_Donateurs_Demandes[ID Donateur],A153,tbl_Donateurs_Demandes[Statut],"Approuvee")+COUNTIFS(tbl_Donateurs_Demandes[ID Donateur],A153,tbl_Donateurs_Demandes[Statut],"Financement recu"))</f>
        <v>0</v>
      </c>
      <c r="AM153" s="76">
        <f>IF(A153="",0,SUMIF(tbl_Donateurs_Demandes[ID Donateur],A153,tbl_Donateurs_Demandes[Montant demande]))</f>
        <v>0</v>
      </c>
      <c r="AN153" s="76">
        <f>IF(A153="",0,SUMIF(tbl_Donateurs_Demandes[ID Donateur],A153,tbl_Donateurs_Demandes[Montant accorde]))</f>
        <v>0</v>
      </c>
      <c r="AO153" s="76">
        <f>IF(A153="",0,SUMIF(tbl_Donateurs_Decaissements[ID Donateur],A153,tbl_Donateurs_Decaissements[Montant recu]))</f>
        <v>0</v>
      </c>
      <c r="AP153" s="77" t="str">
        <f t="shared" si="16"/>
        <v/>
      </c>
      <c r="AQ153" s="75">
        <f>IF(A153="",0,COUNTIF(tbl_Donateurs_Contacts[ID Donateur],A153))</f>
        <v>0</v>
      </c>
      <c r="AR153" s="75">
        <f>IF(A153="",0,COUNTIF(tbl_Donateurs_Documents[ID Donateur],A153))</f>
        <v>0</v>
      </c>
      <c r="AS153" s="75">
        <f>IF(A153="",0,COUNTIF(tbl_Donateurs_Conventions[ID Donateur],A153))</f>
        <v>0</v>
      </c>
      <c r="AT153" s="83" t="str">
        <f ca="1">IFERROR(_xlfn.MAXIFS(tbl_Donateurs_Decaissements[Date recue],tbl_Donateurs_Decaissements[ID Donateur],A153),"")</f>
        <v/>
      </c>
      <c r="AU153" s="76" t="str">
        <f t="shared" ref="AU153:AU184" si="19">IFERROR(AN153/AL153,"")</f>
        <v/>
      </c>
      <c r="AV153" s="75" t="str">
        <f t="shared" ca="1" si="17"/>
        <v/>
      </c>
      <c r="AW153" s="75" t="str">
        <f t="shared" si="18"/>
        <v/>
      </c>
      <c r="AX153" s="81"/>
    </row>
    <row r="154" spans="1:50" ht="15" customHeight="1">
      <c r="A154" s="75" t="str">
        <f t="shared" si="15"/>
        <v/>
      </c>
      <c r="B154" s="81"/>
      <c r="C154" s="81"/>
      <c r="D154" s="81"/>
      <c r="E154" s="81"/>
      <c r="F154" s="81"/>
      <c r="G154" s="81"/>
      <c r="H154" s="81"/>
      <c r="I154" s="81"/>
      <c r="J154" s="81"/>
      <c r="K154" s="81"/>
      <c r="L154" s="81"/>
      <c r="M154" s="81"/>
      <c r="N154" s="81"/>
      <c r="O154" s="81"/>
      <c r="P154" s="81"/>
      <c r="Q154" s="81"/>
      <c r="R154" s="81"/>
      <c r="S154" s="81"/>
      <c r="T154" s="81"/>
      <c r="U154" s="81"/>
      <c r="V154" s="81"/>
      <c r="W154" s="81"/>
      <c r="X154" s="81"/>
      <c r="Y154" s="75" t="str">
        <f>IFERROR(INDEX(PARAMETRES!$B$536:$B$586,MATCH(X154,PARAMETRES!$J$536:$J$586,0)),"")</f>
        <v/>
      </c>
      <c r="Z154" s="75" t="str">
        <f>IFERROR(INDEX(PARAMETRES!$D$536:$D$586,MATCH(X154,PARAMETRES!$J$536:$J$586,0)),"")</f>
        <v/>
      </c>
      <c r="AA154" s="75" t="str">
        <f>IFERROR(INDEX(PARAMETRES!$F$536:$F$586,MATCH(X154,PARAMETRES!$J$536:$J$586,0)),"")</f>
        <v/>
      </c>
      <c r="AB154" s="81"/>
      <c r="AC154" s="82"/>
      <c r="AD154" s="81"/>
      <c r="AE154" s="82"/>
      <c r="AF154" s="82"/>
      <c r="AG154" s="81"/>
      <c r="AH154" s="81"/>
      <c r="AI154" s="75">
        <f>IF(A154="",0,COUNTIF(tbl_Donateurs_Opportunites[ID Donateur],A154))</f>
        <v>0</v>
      </c>
      <c r="AJ154" s="75">
        <f>IF(A154="",0,COUNTIFS(tbl_Donateurs_Opportunites[ID Donateur],A154,tbl_Donateurs_Opportunites[Statut],"Ouverte"))</f>
        <v>0</v>
      </c>
      <c r="AK154" s="75">
        <f>IF(A154="",0,COUNTIF(tbl_Donateurs_Demandes[ID Donateur],A154))</f>
        <v>0</v>
      </c>
      <c r="AL154" s="75">
        <f>IF(A154="",0,COUNTIFS(tbl_Donateurs_Demandes[ID Donateur],A154,tbl_Donateurs_Demandes[Statut],"Approuvee")+COUNTIFS(tbl_Donateurs_Demandes[ID Donateur],A154,tbl_Donateurs_Demandes[Statut],"Financement recu"))</f>
        <v>0</v>
      </c>
      <c r="AM154" s="76">
        <f>IF(A154="",0,SUMIF(tbl_Donateurs_Demandes[ID Donateur],A154,tbl_Donateurs_Demandes[Montant demande]))</f>
        <v>0</v>
      </c>
      <c r="AN154" s="76">
        <f>IF(A154="",0,SUMIF(tbl_Donateurs_Demandes[ID Donateur],A154,tbl_Donateurs_Demandes[Montant accorde]))</f>
        <v>0</v>
      </c>
      <c r="AO154" s="76">
        <f>IF(A154="",0,SUMIF(tbl_Donateurs_Decaissements[ID Donateur],A154,tbl_Donateurs_Decaissements[Montant recu]))</f>
        <v>0</v>
      </c>
      <c r="AP154" s="77" t="str">
        <f t="shared" si="16"/>
        <v/>
      </c>
      <c r="AQ154" s="75">
        <f>IF(A154="",0,COUNTIF(tbl_Donateurs_Contacts[ID Donateur],A154))</f>
        <v>0</v>
      </c>
      <c r="AR154" s="75">
        <f>IF(A154="",0,COUNTIF(tbl_Donateurs_Documents[ID Donateur],A154))</f>
        <v>0</v>
      </c>
      <c r="AS154" s="75">
        <f>IF(A154="",0,COUNTIF(tbl_Donateurs_Conventions[ID Donateur],A154))</f>
        <v>0</v>
      </c>
      <c r="AT154" s="83" t="str">
        <f ca="1">IFERROR(_xlfn.MAXIFS(tbl_Donateurs_Decaissements[Date recue],tbl_Donateurs_Decaissements[ID Donateur],A154),"")</f>
        <v/>
      </c>
      <c r="AU154" s="76" t="str">
        <f t="shared" si="19"/>
        <v/>
      </c>
      <c r="AV154" s="75" t="str">
        <f t="shared" ca="1" si="17"/>
        <v/>
      </c>
      <c r="AW154" s="75" t="str">
        <f t="shared" si="18"/>
        <v/>
      </c>
      <c r="AX154" s="81"/>
    </row>
    <row r="155" spans="1:50" ht="15" customHeight="1">
      <c r="A155" s="75" t="str">
        <f t="shared" si="15"/>
        <v/>
      </c>
      <c r="B155" s="81"/>
      <c r="C155" s="81"/>
      <c r="D155" s="81"/>
      <c r="E155" s="81"/>
      <c r="F155" s="81"/>
      <c r="G155" s="81"/>
      <c r="H155" s="81"/>
      <c r="I155" s="81"/>
      <c r="J155" s="81"/>
      <c r="K155" s="81"/>
      <c r="L155" s="81"/>
      <c r="M155" s="81"/>
      <c r="N155" s="81"/>
      <c r="O155" s="81"/>
      <c r="P155" s="81"/>
      <c r="Q155" s="81"/>
      <c r="R155" s="81"/>
      <c r="S155" s="81"/>
      <c r="T155" s="81"/>
      <c r="U155" s="81"/>
      <c r="V155" s="81"/>
      <c r="W155" s="81"/>
      <c r="X155" s="81"/>
      <c r="Y155" s="75" t="str">
        <f>IFERROR(INDEX(PARAMETRES!$B$536:$B$586,MATCH(X155,PARAMETRES!$J$536:$J$586,0)),"")</f>
        <v/>
      </c>
      <c r="Z155" s="75" t="str">
        <f>IFERROR(INDEX(PARAMETRES!$D$536:$D$586,MATCH(X155,PARAMETRES!$J$536:$J$586,0)),"")</f>
        <v/>
      </c>
      <c r="AA155" s="75" t="str">
        <f>IFERROR(INDEX(PARAMETRES!$F$536:$F$586,MATCH(X155,PARAMETRES!$J$536:$J$586,0)),"")</f>
        <v/>
      </c>
      <c r="AB155" s="81"/>
      <c r="AC155" s="82"/>
      <c r="AD155" s="81"/>
      <c r="AE155" s="82"/>
      <c r="AF155" s="82"/>
      <c r="AG155" s="81"/>
      <c r="AH155" s="81"/>
      <c r="AI155" s="75">
        <f>IF(A155="",0,COUNTIF(tbl_Donateurs_Opportunites[ID Donateur],A155))</f>
        <v>0</v>
      </c>
      <c r="AJ155" s="75">
        <f>IF(A155="",0,COUNTIFS(tbl_Donateurs_Opportunites[ID Donateur],A155,tbl_Donateurs_Opportunites[Statut],"Ouverte"))</f>
        <v>0</v>
      </c>
      <c r="AK155" s="75">
        <f>IF(A155="",0,COUNTIF(tbl_Donateurs_Demandes[ID Donateur],A155))</f>
        <v>0</v>
      </c>
      <c r="AL155" s="75">
        <f>IF(A155="",0,COUNTIFS(tbl_Donateurs_Demandes[ID Donateur],A155,tbl_Donateurs_Demandes[Statut],"Approuvee")+COUNTIFS(tbl_Donateurs_Demandes[ID Donateur],A155,tbl_Donateurs_Demandes[Statut],"Financement recu"))</f>
        <v>0</v>
      </c>
      <c r="AM155" s="76">
        <f>IF(A155="",0,SUMIF(tbl_Donateurs_Demandes[ID Donateur],A155,tbl_Donateurs_Demandes[Montant demande]))</f>
        <v>0</v>
      </c>
      <c r="AN155" s="76">
        <f>IF(A155="",0,SUMIF(tbl_Donateurs_Demandes[ID Donateur],A155,tbl_Donateurs_Demandes[Montant accorde]))</f>
        <v>0</v>
      </c>
      <c r="AO155" s="76">
        <f>IF(A155="",0,SUMIF(tbl_Donateurs_Decaissements[ID Donateur],A155,tbl_Donateurs_Decaissements[Montant recu]))</f>
        <v>0</v>
      </c>
      <c r="AP155" s="77" t="str">
        <f t="shared" si="16"/>
        <v/>
      </c>
      <c r="AQ155" s="75">
        <f>IF(A155="",0,COUNTIF(tbl_Donateurs_Contacts[ID Donateur],A155))</f>
        <v>0</v>
      </c>
      <c r="AR155" s="75">
        <f>IF(A155="",0,COUNTIF(tbl_Donateurs_Documents[ID Donateur],A155))</f>
        <v>0</v>
      </c>
      <c r="AS155" s="75">
        <f>IF(A155="",0,COUNTIF(tbl_Donateurs_Conventions[ID Donateur],A155))</f>
        <v>0</v>
      </c>
      <c r="AT155" s="83" t="str">
        <f ca="1">IFERROR(_xlfn.MAXIFS(tbl_Donateurs_Decaissements[Date recue],tbl_Donateurs_Decaissements[ID Donateur],A155),"")</f>
        <v/>
      </c>
      <c r="AU155" s="76" t="str">
        <f t="shared" si="19"/>
        <v/>
      </c>
      <c r="AV155" s="75" t="str">
        <f t="shared" ca="1" si="17"/>
        <v/>
      </c>
      <c r="AW155" s="75" t="str">
        <f t="shared" si="18"/>
        <v/>
      </c>
      <c r="AX155" s="81"/>
    </row>
    <row r="156" spans="1:50" ht="15" customHeight="1">
      <c r="A156" s="75" t="str">
        <f t="shared" si="15"/>
        <v/>
      </c>
      <c r="B156" s="81"/>
      <c r="C156" s="81"/>
      <c r="D156" s="81"/>
      <c r="E156" s="81"/>
      <c r="F156" s="81"/>
      <c r="G156" s="81"/>
      <c r="H156" s="81"/>
      <c r="I156" s="81"/>
      <c r="J156" s="81"/>
      <c r="K156" s="81"/>
      <c r="L156" s="81"/>
      <c r="M156" s="81"/>
      <c r="N156" s="81"/>
      <c r="O156" s="81"/>
      <c r="P156" s="81"/>
      <c r="Q156" s="81"/>
      <c r="R156" s="81"/>
      <c r="S156" s="81"/>
      <c r="T156" s="81"/>
      <c r="U156" s="81"/>
      <c r="V156" s="81"/>
      <c r="W156" s="81"/>
      <c r="X156" s="81"/>
      <c r="Y156" s="75" t="str">
        <f>IFERROR(INDEX(PARAMETRES!$B$536:$B$586,MATCH(X156,PARAMETRES!$J$536:$J$586,0)),"")</f>
        <v/>
      </c>
      <c r="Z156" s="75" t="str">
        <f>IFERROR(INDEX(PARAMETRES!$D$536:$D$586,MATCH(X156,PARAMETRES!$J$536:$J$586,0)),"")</f>
        <v/>
      </c>
      <c r="AA156" s="75" t="str">
        <f>IFERROR(INDEX(PARAMETRES!$F$536:$F$586,MATCH(X156,PARAMETRES!$J$536:$J$586,0)),"")</f>
        <v/>
      </c>
      <c r="AB156" s="81"/>
      <c r="AC156" s="82"/>
      <c r="AD156" s="81"/>
      <c r="AE156" s="82"/>
      <c r="AF156" s="82"/>
      <c r="AG156" s="81"/>
      <c r="AH156" s="81"/>
      <c r="AI156" s="75">
        <f>IF(A156="",0,COUNTIF(tbl_Donateurs_Opportunites[ID Donateur],A156))</f>
        <v>0</v>
      </c>
      <c r="AJ156" s="75">
        <f>IF(A156="",0,COUNTIFS(tbl_Donateurs_Opportunites[ID Donateur],A156,tbl_Donateurs_Opportunites[Statut],"Ouverte"))</f>
        <v>0</v>
      </c>
      <c r="AK156" s="75">
        <f>IF(A156="",0,COUNTIF(tbl_Donateurs_Demandes[ID Donateur],A156))</f>
        <v>0</v>
      </c>
      <c r="AL156" s="75">
        <f>IF(A156="",0,COUNTIFS(tbl_Donateurs_Demandes[ID Donateur],A156,tbl_Donateurs_Demandes[Statut],"Approuvee")+COUNTIFS(tbl_Donateurs_Demandes[ID Donateur],A156,tbl_Donateurs_Demandes[Statut],"Financement recu"))</f>
        <v>0</v>
      </c>
      <c r="AM156" s="76">
        <f>IF(A156="",0,SUMIF(tbl_Donateurs_Demandes[ID Donateur],A156,tbl_Donateurs_Demandes[Montant demande]))</f>
        <v>0</v>
      </c>
      <c r="AN156" s="76">
        <f>IF(A156="",0,SUMIF(tbl_Donateurs_Demandes[ID Donateur],A156,tbl_Donateurs_Demandes[Montant accorde]))</f>
        <v>0</v>
      </c>
      <c r="AO156" s="76">
        <f>IF(A156="",0,SUMIF(tbl_Donateurs_Decaissements[ID Donateur],A156,tbl_Donateurs_Decaissements[Montant recu]))</f>
        <v>0</v>
      </c>
      <c r="AP156" s="77" t="str">
        <f t="shared" si="16"/>
        <v/>
      </c>
      <c r="AQ156" s="75">
        <f>IF(A156="",0,COUNTIF(tbl_Donateurs_Contacts[ID Donateur],A156))</f>
        <v>0</v>
      </c>
      <c r="AR156" s="75">
        <f>IF(A156="",0,COUNTIF(tbl_Donateurs_Documents[ID Donateur],A156))</f>
        <v>0</v>
      </c>
      <c r="AS156" s="75">
        <f>IF(A156="",0,COUNTIF(tbl_Donateurs_Conventions[ID Donateur],A156))</f>
        <v>0</v>
      </c>
      <c r="AT156" s="83" t="str">
        <f ca="1">IFERROR(_xlfn.MAXIFS(tbl_Donateurs_Decaissements[Date recue],tbl_Donateurs_Decaissements[ID Donateur],A156),"")</f>
        <v/>
      </c>
      <c r="AU156" s="76" t="str">
        <f t="shared" si="19"/>
        <v/>
      </c>
      <c r="AV156" s="75" t="str">
        <f t="shared" ca="1" si="17"/>
        <v/>
      </c>
      <c r="AW156" s="75" t="str">
        <f t="shared" si="18"/>
        <v/>
      </c>
      <c r="AX156" s="81"/>
    </row>
    <row r="157" spans="1:50" ht="15" customHeight="1">
      <c r="A157" s="75" t="str">
        <f t="shared" si="15"/>
        <v/>
      </c>
      <c r="B157" s="81"/>
      <c r="C157" s="81"/>
      <c r="D157" s="81"/>
      <c r="E157" s="81"/>
      <c r="F157" s="81"/>
      <c r="G157" s="81"/>
      <c r="H157" s="81"/>
      <c r="I157" s="81"/>
      <c r="J157" s="81"/>
      <c r="K157" s="81"/>
      <c r="L157" s="81"/>
      <c r="M157" s="81"/>
      <c r="N157" s="81"/>
      <c r="O157" s="81"/>
      <c r="P157" s="81"/>
      <c r="Q157" s="81"/>
      <c r="R157" s="81"/>
      <c r="S157" s="81"/>
      <c r="T157" s="81"/>
      <c r="U157" s="81"/>
      <c r="V157" s="81"/>
      <c r="W157" s="81"/>
      <c r="X157" s="81"/>
      <c r="Y157" s="75" t="str">
        <f>IFERROR(INDEX(PARAMETRES!$B$536:$B$586,MATCH(X157,PARAMETRES!$J$536:$J$586,0)),"")</f>
        <v/>
      </c>
      <c r="Z157" s="75" t="str">
        <f>IFERROR(INDEX(PARAMETRES!$D$536:$D$586,MATCH(X157,PARAMETRES!$J$536:$J$586,0)),"")</f>
        <v/>
      </c>
      <c r="AA157" s="75" t="str">
        <f>IFERROR(INDEX(PARAMETRES!$F$536:$F$586,MATCH(X157,PARAMETRES!$J$536:$J$586,0)),"")</f>
        <v/>
      </c>
      <c r="AB157" s="81"/>
      <c r="AC157" s="82"/>
      <c r="AD157" s="81"/>
      <c r="AE157" s="82"/>
      <c r="AF157" s="82"/>
      <c r="AG157" s="81"/>
      <c r="AH157" s="81"/>
      <c r="AI157" s="75">
        <f>IF(A157="",0,COUNTIF(tbl_Donateurs_Opportunites[ID Donateur],A157))</f>
        <v>0</v>
      </c>
      <c r="AJ157" s="75">
        <f>IF(A157="",0,COUNTIFS(tbl_Donateurs_Opportunites[ID Donateur],A157,tbl_Donateurs_Opportunites[Statut],"Ouverte"))</f>
        <v>0</v>
      </c>
      <c r="AK157" s="75">
        <f>IF(A157="",0,COUNTIF(tbl_Donateurs_Demandes[ID Donateur],A157))</f>
        <v>0</v>
      </c>
      <c r="AL157" s="75">
        <f>IF(A157="",0,COUNTIFS(tbl_Donateurs_Demandes[ID Donateur],A157,tbl_Donateurs_Demandes[Statut],"Approuvee")+COUNTIFS(tbl_Donateurs_Demandes[ID Donateur],A157,tbl_Donateurs_Demandes[Statut],"Financement recu"))</f>
        <v>0</v>
      </c>
      <c r="AM157" s="76">
        <f>IF(A157="",0,SUMIF(tbl_Donateurs_Demandes[ID Donateur],A157,tbl_Donateurs_Demandes[Montant demande]))</f>
        <v>0</v>
      </c>
      <c r="AN157" s="76">
        <f>IF(A157="",0,SUMIF(tbl_Donateurs_Demandes[ID Donateur],A157,tbl_Donateurs_Demandes[Montant accorde]))</f>
        <v>0</v>
      </c>
      <c r="AO157" s="76">
        <f>IF(A157="",0,SUMIF(tbl_Donateurs_Decaissements[ID Donateur],A157,tbl_Donateurs_Decaissements[Montant recu]))</f>
        <v>0</v>
      </c>
      <c r="AP157" s="77" t="str">
        <f t="shared" si="16"/>
        <v/>
      </c>
      <c r="AQ157" s="75">
        <f>IF(A157="",0,COUNTIF(tbl_Donateurs_Contacts[ID Donateur],A157))</f>
        <v>0</v>
      </c>
      <c r="AR157" s="75">
        <f>IF(A157="",0,COUNTIF(tbl_Donateurs_Documents[ID Donateur],A157))</f>
        <v>0</v>
      </c>
      <c r="AS157" s="75">
        <f>IF(A157="",0,COUNTIF(tbl_Donateurs_Conventions[ID Donateur],A157))</f>
        <v>0</v>
      </c>
      <c r="AT157" s="83" t="str">
        <f ca="1">IFERROR(_xlfn.MAXIFS(tbl_Donateurs_Decaissements[Date recue],tbl_Donateurs_Decaissements[ID Donateur],A157),"")</f>
        <v/>
      </c>
      <c r="AU157" s="76" t="str">
        <f t="shared" si="19"/>
        <v/>
      </c>
      <c r="AV157" s="75" t="str">
        <f t="shared" ca="1" si="17"/>
        <v/>
      </c>
      <c r="AW157" s="75" t="str">
        <f t="shared" si="18"/>
        <v/>
      </c>
      <c r="AX157" s="81"/>
    </row>
    <row r="158" spans="1:50" ht="15" customHeight="1">
      <c r="A158" s="75" t="str">
        <f t="shared" si="15"/>
        <v/>
      </c>
      <c r="B158" s="81"/>
      <c r="C158" s="81"/>
      <c r="D158" s="81"/>
      <c r="E158" s="81"/>
      <c r="F158" s="81"/>
      <c r="G158" s="81"/>
      <c r="H158" s="81"/>
      <c r="I158" s="81"/>
      <c r="J158" s="81"/>
      <c r="K158" s="81"/>
      <c r="L158" s="81"/>
      <c r="M158" s="81"/>
      <c r="N158" s="81"/>
      <c r="O158" s="81"/>
      <c r="P158" s="81"/>
      <c r="Q158" s="81"/>
      <c r="R158" s="81"/>
      <c r="S158" s="81"/>
      <c r="T158" s="81"/>
      <c r="U158" s="81"/>
      <c r="V158" s="81"/>
      <c r="W158" s="81"/>
      <c r="X158" s="81"/>
      <c r="Y158" s="75" t="str">
        <f>IFERROR(INDEX(PARAMETRES!$B$536:$B$586,MATCH(X158,PARAMETRES!$J$536:$J$586,0)),"")</f>
        <v/>
      </c>
      <c r="Z158" s="75" t="str">
        <f>IFERROR(INDEX(PARAMETRES!$D$536:$D$586,MATCH(X158,PARAMETRES!$J$536:$J$586,0)),"")</f>
        <v/>
      </c>
      <c r="AA158" s="75" t="str">
        <f>IFERROR(INDEX(PARAMETRES!$F$536:$F$586,MATCH(X158,PARAMETRES!$J$536:$J$586,0)),"")</f>
        <v/>
      </c>
      <c r="AB158" s="81"/>
      <c r="AC158" s="82"/>
      <c r="AD158" s="81"/>
      <c r="AE158" s="82"/>
      <c r="AF158" s="82"/>
      <c r="AG158" s="81"/>
      <c r="AH158" s="81"/>
      <c r="AI158" s="75">
        <f>IF(A158="",0,COUNTIF(tbl_Donateurs_Opportunites[ID Donateur],A158))</f>
        <v>0</v>
      </c>
      <c r="AJ158" s="75">
        <f>IF(A158="",0,COUNTIFS(tbl_Donateurs_Opportunites[ID Donateur],A158,tbl_Donateurs_Opportunites[Statut],"Ouverte"))</f>
        <v>0</v>
      </c>
      <c r="AK158" s="75">
        <f>IF(A158="",0,COUNTIF(tbl_Donateurs_Demandes[ID Donateur],A158))</f>
        <v>0</v>
      </c>
      <c r="AL158" s="75">
        <f>IF(A158="",0,COUNTIFS(tbl_Donateurs_Demandes[ID Donateur],A158,tbl_Donateurs_Demandes[Statut],"Approuvee")+COUNTIFS(tbl_Donateurs_Demandes[ID Donateur],A158,tbl_Donateurs_Demandes[Statut],"Financement recu"))</f>
        <v>0</v>
      </c>
      <c r="AM158" s="76">
        <f>IF(A158="",0,SUMIF(tbl_Donateurs_Demandes[ID Donateur],A158,tbl_Donateurs_Demandes[Montant demande]))</f>
        <v>0</v>
      </c>
      <c r="AN158" s="76">
        <f>IF(A158="",0,SUMIF(tbl_Donateurs_Demandes[ID Donateur],A158,tbl_Donateurs_Demandes[Montant accorde]))</f>
        <v>0</v>
      </c>
      <c r="AO158" s="76">
        <f>IF(A158="",0,SUMIF(tbl_Donateurs_Decaissements[ID Donateur],A158,tbl_Donateurs_Decaissements[Montant recu]))</f>
        <v>0</v>
      </c>
      <c r="AP158" s="77" t="str">
        <f t="shared" si="16"/>
        <v/>
      </c>
      <c r="AQ158" s="75">
        <f>IF(A158="",0,COUNTIF(tbl_Donateurs_Contacts[ID Donateur],A158))</f>
        <v>0</v>
      </c>
      <c r="AR158" s="75">
        <f>IF(A158="",0,COUNTIF(tbl_Donateurs_Documents[ID Donateur],A158))</f>
        <v>0</v>
      </c>
      <c r="AS158" s="75">
        <f>IF(A158="",0,COUNTIF(tbl_Donateurs_Conventions[ID Donateur],A158))</f>
        <v>0</v>
      </c>
      <c r="AT158" s="83" t="str">
        <f ca="1">IFERROR(_xlfn.MAXIFS(tbl_Donateurs_Decaissements[Date recue],tbl_Donateurs_Decaissements[ID Donateur],A158),"")</f>
        <v/>
      </c>
      <c r="AU158" s="76" t="str">
        <f t="shared" si="19"/>
        <v/>
      </c>
      <c r="AV158" s="75" t="str">
        <f t="shared" ca="1" si="17"/>
        <v/>
      </c>
      <c r="AW158" s="75" t="str">
        <f t="shared" si="18"/>
        <v/>
      </c>
      <c r="AX158" s="81"/>
    </row>
    <row r="159" spans="1:50" ht="15" customHeight="1">
      <c r="A159" s="75" t="str">
        <f t="shared" si="15"/>
        <v/>
      </c>
      <c r="B159" s="81"/>
      <c r="C159" s="81"/>
      <c r="D159" s="81"/>
      <c r="E159" s="81"/>
      <c r="F159" s="81"/>
      <c r="G159" s="81"/>
      <c r="H159" s="81"/>
      <c r="I159" s="81"/>
      <c r="J159" s="81"/>
      <c r="K159" s="81"/>
      <c r="L159" s="81"/>
      <c r="M159" s="81"/>
      <c r="N159" s="81"/>
      <c r="O159" s="81"/>
      <c r="P159" s="81"/>
      <c r="Q159" s="81"/>
      <c r="R159" s="81"/>
      <c r="S159" s="81"/>
      <c r="T159" s="81"/>
      <c r="U159" s="81"/>
      <c r="V159" s="81"/>
      <c r="W159" s="81"/>
      <c r="X159" s="81"/>
      <c r="Y159" s="75" t="str">
        <f>IFERROR(INDEX(PARAMETRES!$B$536:$B$586,MATCH(X159,PARAMETRES!$J$536:$J$586,0)),"")</f>
        <v/>
      </c>
      <c r="Z159" s="75" t="str">
        <f>IFERROR(INDEX(PARAMETRES!$D$536:$D$586,MATCH(X159,PARAMETRES!$J$536:$J$586,0)),"")</f>
        <v/>
      </c>
      <c r="AA159" s="75" t="str">
        <f>IFERROR(INDEX(PARAMETRES!$F$536:$F$586,MATCH(X159,PARAMETRES!$J$536:$J$586,0)),"")</f>
        <v/>
      </c>
      <c r="AB159" s="81"/>
      <c r="AC159" s="82"/>
      <c r="AD159" s="81"/>
      <c r="AE159" s="82"/>
      <c r="AF159" s="82"/>
      <c r="AG159" s="81"/>
      <c r="AH159" s="81"/>
      <c r="AI159" s="75">
        <f>IF(A159="",0,COUNTIF(tbl_Donateurs_Opportunites[ID Donateur],A159))</f>
        <v>0</v>
      </c>
      <c r="AJ159" s="75">
        <f>IF(A159="",0,COUNTIFS(tbl_Donateurs_Opportunites[ID Donateur],A159,tbl_Donateurs_Opportunites[Statut],"Ouverte"))</f>
        <v>0</v>
      </c>
      <c r="AK159" s="75">
        <f>IF(A159="",0,COUNTIF(tbl_Donateurs_Demandes[ID Donateur],A159))</f>
        <v>0</v>
      </c>
      <c r="AL159" s="75">
        <f>IF(A159="",0,COUNTIFS(tbl_Donateurs_Demandes[ID Donateur],A159,tbl_Donateurs_Demandes[Statut],"Approuvee")+COUNTIFS(tbl_Donateurs_Demandes[ID Donateur],A159,tbl_Donateurs_Demandes[Statut],"Financement recu"))</f>
        <v>0</v>
      </c>
      <c r="AM159" s="76">
        <f>IF(A159="",0,SUMIF(tbl_Donateurs_Demandes[ID Donateur],A159,tbl_Donateurs_Demandes[Montant demande]))</f>
        <v>0</v>
      </c>
      <c r="AN159" s="76">
        <f>IF(A159="",0,SUMIF(tbl_Donateurs_Demandes[ID Donateur],A159,tbl_Donateurs_Demandes[Montant accorde]))</f>
        <v>0</v>
      </c>
      <c r="AO159" s="76">
        <f>IF(A159="",0,SUMIF(tbl_Donateurs_Decaissements[ID Donateur],A159,tbl_Donateurs_Decaissements[Montant recu]))</f>
        <v>0</v>
      </c>
      <c r="AP159" s="77" t="str">
        <f t="shared" si="16"/>
        <v/>
      </c>
      <c r="AQ159" s="75">
        <f>IF(A159="",0,COUNTIF(tbl_Donateurs_Contacts[ID Donateur],A159))</f>
        <v>0</v>
      </c>
      <c r="AR159" s="75">
        <f>IF(A159="",0,COUNTIF(tbl_Donateurs_Documents[ID Donateur],A159))</f>
        <v>0</v>
      </c>
      <c r="AS159" s="75">
        <f>IF(A159="",0,COUNTIF(tbl_Donateurs_Conventions[ID Donateur],A159))</f>
        <v>0</v>
      </c>
      <c r="AT159" s="83" t="str">
        <f ca="1">IFERROR(_xlfn.MAXIFS(tbl_Donateurs_Decaissements[Date recue],tbl_Donateurs_Decaissements[ID Donateur],A159),"")</f>
        <v/>
      </c>
      <c r="AU159" s="76" t="str">
        <f t="shared" si="19"/>
        <v/>
      </c>
      <c r="AV159" s="75" t="str">
        <f t="shared" ca="1" si="17"/>
        <v/>
      </c>
      <c r="AW159" s="75" t="str">
        <f t="shared" si="18"/>
        <v/>
      </c>
      <c r="AX159" s="81"/>
    </row>
    <row r="160" spans="1:50" ht="15" customHeight="1">
      <c r="A160" s="75" t="str">
        <f t="shared" si="15"/>
        <v/>
      </c>
      <c r="B160" s="81"/>
      <c r="C160" s="81"/>
      <c r="D160" s="81"/>
      <c r="E160" s="81"/>
      <c r="F160" s="81"/>
      <c r="G160" s="81"/>
      <c r="H160" s="81"/>
      <c r="I160" s="81"/>
      <c r="J160" s="81"/>
      <c r="K160" s="81"/>
      <c r="L160" s="81"/>
      <c r="M160" s="81"/>
      <c r="N160" s="81"/>
      <c r="O160" s="81"/>
      <c r="P160" s="81"/>
      <c r="Q160" s="81"/>
      <c r="R160" s="81"/>
      <c r="S160" s="81"/>
      <c r="T160" s="81"/>
      <c r="U160" s="81"/>
      <c r="V160" s="81"/>
      <c r="W160" s="81"/>
      <c r="X160" s="81"/>
      <c r="Y160" s="75" t="str">
        <f>IFERROR(INDEX(PARAMETRES!$B$536:$B$586,MATCH(X160,PARAMETRES!$J$536:$J$586,0)),"")</f>
        <v/>
      </c>
      <c r="Z160" s="75" t="str">
        <f>IFERROR(INDEX(PARAMETRES!$D$536:$D$586,MATCH(X160,PARAMETRES!$J$536:$J$586,0)),"")</f>
        <v/>
      </c>
      <c r="AA160" s="75" t="str">
        <f>IFERROR(INDEX(PARAMETRES!$F$536:$F$586,MATCH(X160,PARAMETRES!$J$536:$J$586,0)),"")</f>
        <v/>
      </c>
      <c r="AB160" s="81"/>
      <c r="AC160" s="82"/>
      <c r="AD160" s="81"/>
      <c r="AE160" s="82"/>
      <c r="AF160" s="82"/>
      <c r="AG160" s="81"/>
      <c r="AH160" s="81"/>
      <c r="AI160" s="75">
        <f>IF(A160="",0,COUNTIF(tbl_Donateurs_Opportunites[ID Donateur],A160))</f>
        <v>0</v>
      </c>
      <c r="AJ160" s="75">
        <f>IF(A160="",0,COUNTIFS(tbl_Donateurs_Opportunites[ID Donateur],A160,tbl_Donateurs_Opportunites[Statut],"Ouverte"))</f>
        <v>0</v>
      </c>
      <c r="AK160" s="75">
        <f>IF(A160="",0,COUNTIF(tbl_Donateurs_Demandes[ID Donateur],A160))</f>
        <v>0</v>
      </c>
      <c r="AL160" s="75">
        <f>IF(A160="",0,COUNTIFS(tbl_Donateurs_Demandes[ID Donateur],A160,tbl_Donateurs_Demandes[Statut],"Approuvee")+COUNTIFS(tbl_Donateurs_Demandes[ID Donateur],A160,tbl_Donateurs_Demandes[Statut],"Financement recu"))</f>
        <v>0</v>
      </c>
      <c r="AM160" s="76">
        <f>IF(A160="",0,SUMIF(tbl_Donateurs_Demandes[ID Donateur],A160,tbl_Donateurs_Demandes[Montant demande]))</f>
        <v>0</v>
      </c>
      <c r="AN160" s="76">
        <f>IF(A160="",0,SUMIF(tbl_Donateurs_Demandes[ID Donateur],A160,tbl_Donateurs_Demandes[Montant accorde]))</f>
        <v>0</v>
      </c>
      <c r="AO160" s="76">
        <f>IF(A160="",0,SUMIF(tbl_Donateurs_Decaissements[ID Donateur],A160,tbl_Donateurs_Decaissements[Montant recu]))</f>
        <v>0</v>
      </c>
      <c r="AP160" s="77" t="str">
        <f t="shared" si="16"/>
        <v/>
      </c>
      <c r="AQ160" s="75">
        <f>IF(A160="",0,COUNTIF(tbl_Donateurs_Contacts[ID Donateur],A160))</f>
        <v>0</v>
      </c>
      <c r="AR160" s="75">
        <f>IF(A160="",0,COUNTIF(tbl_Donateurs_Documents[ID Donateur],A160))</f>
        <v>0</v>
      </c>
      <c r="AS160" s="75">
        <f>IF(A160="",0,COUNTIF(tbl_Donateurs_Conventions[ID Donateur],A160))</f>
        <v>0</v>
      </c>
      <c r="AT160" s="83" t="str">
        <f ca="1">IFERROR(_xlfn.MAXIFS(tbl_Donateurs_Decaissements[Date recue],tbl_Donateurs_Decaissements[ID Donateur],A160),"")</f>
        <v/>
      </c>
      <c r="AU160" s="76" t="str">
        <f t="shared" si="19"/>
        <v/>
      </c>
      <c r="AV160" s="75" t="str">
        <f t="shared" ca="1" si="17"/>
        <v/>
      </c>
      <c r="AW160" s="75" t="str">
        <f t="shared" si="18"/>
        <v/>
      </c>
      <c r="AX160" s="81"/>
    </row>
    <row r="161" spans="1:50" ht="15" customHeight="1">
      <c r="A161" s="75" t="str">
        <f t="shared" si="15"/>
        <v/>
      </c>
      <c r="B161" s="81"/>
      <c r="C161" s="81"/>
      <c r="D161" s="81"/>
      <c r="E161" s="81"/>
      <c r="F161" s="81"/>
      <c r="G161" s="81"/>
      <c r="H161" s="81"/>
      <c r="I161" s="81"/>
      <c r="J161" s="81"/>
      <c r="K161" s="81"/>
      <c r="L161" s="81"/>
      <c r="M161" s="81"/>
      <c r="N161" s="81"/>
      <c r="O161" s="81"/>
      <c r="P161" s="81"/>
      <c r="Q161" s="81"/>
      <c r="R161" s="81"/>
      <c r="S161" s="81"/>
      <c r="T161" s="81"/>
      <c r="U161" s="81"/>
      <c r="V161" s="81"/>
      <c r="W161" s="81"/>
      <c r="X161" s="81"/>
      <c r="Y161" s="75" t="str">
        <f>IFERROR(INDEX(PARAMETRES!$B$536:$B$586,MATCH(X161,PARAMETRES!$J$536:$J$586,0)),"")</f>
        <v/>
      </c>
      <c r="Z161" s="75" t="str">
        <f>IFERROR(INDEX(PARAMETRES!$D$536:$D$586,MATCH(X161,PARAMETRES!$J$536:$J$586,0)),"")</f>
        <v/>
      </c>
      <c r="AA161" s="75" t="str">
        <f>IFERROR(INDEX(PARAMETRES!$F$536:$F$586,MATCH(X161,PARAMETRES!$J$536:$J$586,0)),"")</f>
        <v/>
      </c>
      <c r="AB161" s="81"/>
      <c r="AC161" s="82"/>
      <c r="AD161" s="81"/>
      <c r="AE161" s="82"/>
      <c r="AF161" s="82"/>
      <c r="AG161" s="81"/>
      <c r="AH161" s="81"/>
      <c r="AI161" s="75">
        <f>IF(A161="",0,COUNTIF(tbl_Donateurs_Opportunites[ID Donateur],A161))</f>
        <v>0</v>
      </c>
      <c r="AJ161" s="75">
        <f>IF(A161="",0,COUNTIFS(tbl_Donateurs_Opportunites[ID Donateur],A161,tbl_Donateurs_Opportunites[Statut],"Ouverte"))</f>
        <v>0</v>
      </c>
      <c r="AK161" s="75">
        <f>IF(A161="",0,COUNTIF(tbl_Donateurs_Demandes[ID Donateur],A161))</f>
        <v>0</v>
      </c>
      <c r="AL161" s="75">
        <f>IF(A161="",0,COUNTIFS(tbl_Donateurs_Demandes[ID Donateur],A161,tbl_Donateurs_Demandes[Statut],"Approuvee")+COUNTIFS(tbl_Donateurs_Demandes[ID Donateur],A161,tbl_Donateurs_Demandes[Statut],"Financement recu"))</f>
        <v>0</v>
      </c>
      <c r="AM161" s="76">
        <f>IF(A161="",0,SUMIF(tbl_Donateurs_Demandes[ID Donateur],A161,tbl_Donateurs_Demandes[Montant demande]))</f>
        <v>0</v>
      </c>
      <c r="AN161" s="76">
        <f>IF(A161="",0,SUMIF(tbl_Donateurs_Demandes[ID Donateur],A161,tbl_Donateurs_Demandes[Montant accorde]))</f>
        <v>0</v>
      </c>
      <c r="AO161" s="76">
        <f>IF(A161="",0,SUMIF(tbl_Donateurs_Decaissements[ID Donateur],A161,tbl_Donateurs_Decaissements[Montant recu]))</f>
        <v>0</v>
      </c>
      <c r="AP161" s="77" t="str">
        <f t="shared" si="16"/>
        <v/>
      </c>
      <c r="AQ161" s="75">
        <f>IF(A161="",0,COUNTIF(tbl_Donateurs_Contacts[ID Donateur],A161))</f>
        <v>0</v>
      </c>
      <c r="AR161" s="75">
        <f>IF(A161="",0,COUNTIF(tbl_Donateurs_Documents[ID Donateur],A161))</f>
        <v>0</v>
      </c>
      <c r="AS161" s="75">
        <f>IF(A161="",0,COUNTIF(tbl_Donateurs_Conventions[ID Donateur],A161))</f>
        <v>0</v>
      </c>
      <c r="AT161" s="83" t="str">
        <f ca="1">IFERROR(_xlfn.MAXIFS(tbl_Donateurs_Decaissements[Date recue],tbl_Donateurs_Decaissements[ID Donateur],A161),"")</f>
        <v/>
      </c>
      <c r="AU161" s="76" t="str">
        <f t="shared" si="19"/>
        <v/>
      </c>
      <c r="AV161" s="75" t="str">
        <f t="shared" ca="1" si="17"/>
        <v/>
      </c>
      <c r="AW161" s="75" t="str">
        <f t="shared" si="18"/>
        <v/>
      </c>
      <c r="AX161" s="81"/>
    </row>
    <row r="162" spans="1:50" ht="15" customHeight="1">
      <c r="A162" s="75" t="str">
        <f t="shared" si="15"/>
        <v/>
      </c>
      <c r="B162" s="81"/>
      <c r="C162" s="81"/>
      <c r="D162" s="81"/>
      <c r="E162" s="81"/>
      <c r="F162" s="81"/>
      <c r="G162" s="81"/>
      <c r="H162" s="81"/>
      <c r="I162" s="81"/>
      <c r="J162" s="81"/>
      <c r="K162" s="81"/>
      <c r="L162" s="81"/>
      <c r="M162" s="81"/>
      <c r="N162" s="81"/>
      <c r="O162" s="81"/>
      <c r="P162" s="81"/>
      <c r="Q162" s="81"/>
      <c r="R162" s="81"/>
      <c r="S162" s="81"/>
      <c r="T162" s="81"/>
      <c r="U162" s="81"/>
      <c r="V162" s="81"/>
      <c r="W162" s="81"/>
      <c r="X162" s="81"/>
      <c r="Y162" s="75" t="str">
        <f>IFERROR(INDEX(PARAMETRES!$B$536:$B$586,MATCH(X162,PARAMETRES!$J$536:$J$586,0)),"")</f>
        <v/>
      </c>
      <c r="Z162" s="75" t="str">
        <f>IFERROR(INDEX(PARAMETRES!$D$536:$D$586,MATCH(X162,PARAMETRES!$J$536:$J$586,0)),"")</f>
        <v/>
      </c>
      <c r="AA162" s="75" t="str">
        <f>IFERROR(INDEX(PARAMETRES!$F$536:$F$586,MATCH(X162,PARAMETRES!$J$536:$J$586,0)),"")</f>
        <v/>
      </c>
      <c r="AB162" s="81"/>
      <c r="AC162" s="82"/>
      <c r="AD162" s="81"/>
      <c r="AE162" s="82"/>
      <c r="AF162" s="82"/>
      <c r="AG162" s="81"/>
      <c r="AH162" s="81"/>
      <c r="AI162" s="75">
        <f>IF(A162="",0,COUNTIF(tbl_Donateurs_Opportunites[ID Donateur],A162))</f>
        <v>0</v>
      </c>
      <c r="AJ162" s="75">
        <f>IF(A162="",0,COUNTIFS(tbl_Donateurs_Opportunites[ID Donateur],A162,tbl_Donateurs_Opportunites[Statut],"Ouverte"))</f>
        <v>0</v>
      </c>
      <c r="AK162" s="75">
        <f>IF(A162="",0,COUNTIF(tbl_Donateurs_Demandes[ID Donateur],A162))</f>
        <v>0</v>
      </c>
      <c r="AL162" s="75">
        <f>IF(A162="",0,COUNTIFS(tbl_Donateurs_Demandes[ID Donateur],A162,tbl_Donateurs_Demandes[Statut],"Approuvee")+COUNTIFS(tbl_Donateurs_Demandes[ID Donateur],A162,tbl_Donateurs_Demandes[Statut],"Financement recu"))</f>
        <v>0</v>
      </c>
      <c r="AM162" s="76">
        <f>IF(A162="",0,SUMIF(tbl_Donateurs_Demandes[ID Donateur],A162,tbl_Donateurs_Demandes[Montant demande]))</f>
        <v>0</v>
      </c>
      <c r="AN162" s="76">
        <f>IF(A162="",0,SUMIF(tbl_Donateurs_Demandes[ID Donateur],A162,tbl_Donateurs_Demandes[Montant accorde]))</f>
        <v>0</v>
      </c>
      <c r="AO162" s="76">
        <f>IF(A162="",0,SUMIF(tbl_Donateurs_Decaissements[ID Donateur],A162,tbl_Donateurs_Decaissements[Montant recu]))</f>
        <v>0</v>
      </c>
      <c r="AP162" s="77" t="str">
        <f t="shared" si="16"/>
        <v/>
      </c>
      <c r="AQ162" s="75">
        <f>IF(A162="",0,COUNTIF(tbl_Donateurs_Contacts[ID Donateur],A162))</f>
        <v>0</v>
      </c>
      <c r="AR162" s="75">
        <f>IF(A162="",0,COUNTIF(tbl_Donateurs_Documents[ID Donateur],A162))</f>
        <v>0</v>
      </c>
      <c r="AS162" s="75">
        <f>IF(A162="",0,COUNTIF(tbl_Donateurs_Conventions[ID Donateur],A162))</f>
        <v>0</v>
      </c>
      <c r="AT162" s="83" t="str">
        <f ca="1">IFERROR(_xlfn.MAXIFS(tbl_Donateurs_Decaissements[Date recue],tbl_Donateurs_Decaissements[ID Donateur],A162),"")</f>
        <v/>
      </c>
      <c r="AU162" s="76" t="str">
        <f t="shared" si="19"/>
        <v/>
      </c>
      <c r="AV162" s="75" t="str">
        <f t="shared" ca="1" si="17"/>
        <v/>
      </c>
      <c r="AW162" s="75" t="str">
        <f t="shared" si="18"/>
        <v/>
      </c>
      <c r="AX162" s="81"/>
    </row>
    <row r="163" spans="1:50" ht="15" customHeight="1">
      <c r="A163" s="75" t="str">
        <f t="shared" si="15"/>
        <v/>
      </c>
      <c r="B163" s="81"/>
      <c r="C163" s="81"/>
      <c r="D163" s="81"/>
      <c r="E163" s="81"/>
      <c r="F163" s="81"/>
      <c r="G163" s="81"/>
      <c r="H163" s="81"/>
      <c r="I163" s="81"/>
      <c r="J163" s="81"/>
      <c r="K163" s="81"/>
      <c r="L163" s="81"/>
      <c r="M163" s="81"/>
      <c r="N163" s="81"/>
      <c r="O163" s="81"/>
      <c r="P163" s="81"/>
      <c r="Q163" s="81"/>
      <c r="R163" s="81"/>
      <c r="S163" s="81"/>
      <c r="T163" s="81"/>
      <c r="U163" s="81"/>
      <c r="V163" s="81"/>
      <c r="W163" s="81"/>
      <c r="X163" s="81"/>
      <c r="Y163" s="75" t="str">
        <f>IFERROR(INDEX(PARAMETRES!$B$536:$B$586,MATCH(X163,PARAMETRES!$J$536:$J$586,0)),"")</f>
        <v/>
      </c>
      <c r="Z163" s="75" t="str">
        <f>IFERROR(INDEX(PARAMETRES!$D$536:$D$586,MATCH(X163,PARAMETRES!$J$536:$J$586,0)),"")</f>
        <v/>
      </c>
      <c r="AA163" s="75" t="str">
        <f>IFERROR(INDEX(PARAMETRES!$F$536:$F$586,MATCH(X163,PARAMETRES!$J$536:$J$586,0)),"")</f>
        <v/>
      </c>
      <c r="AB163" s="81"/>
      <c r="AC163" s="82"/>
      <c r="AD163" s="81"/>
      <c r="AE163" s="82"/>
      <c r="AF163" s="82"/>
      <c r="AG163" s="81"/>
      <c r="AH163" s="81"/>
      <c r="AI163" s="75">
        <f>IF(A163="",0,COUNTIF(tbl_Donateurs_Opportunites[ID Donateur],A163))</f>
        <v>0</v>
      </c>
      <c r="AJ163" s="75">
        <f>IF(A163="",0,COUNTIFS(tbl_Donateurs_Opportunites[ID Donateur],A163,tbl_Donateurs_Opportunites[Statut],"Ouverte"))</f>
        <v>0</v>
      </c>
      <c r="AK163" s="75">
        <f>IF(A163="",0,COUNTIF(tbl_Donateurs_Demandes[ID Donateur],A163))</f>
        <v>0</v>
      </c>
      <c r="AL163" s="75">
        <f>IF(A163="",0,COUNTIFS(tbl_Donateurs_Demandes[ID Donateur],A163,tbl_Donateurs_Demandes[Statut],"Approuvee")+COUNTIFS(tbl_Donateurs_Demandes[ID Donateur],A163,tbl_Donateurs_Demandes[Statut],"Financement recu"))</f>
        <v>0</v>
      </c>
      <c r="AM163" s="76">
        <f>IF(A163="",0,SUMIF(tbl_Donateurs_Demandes[ID Donateur],A163,tbl_Donateurs_Demandes[Montant demande]))</f>
        <v>0</v>
      </c>
      <c r="AN163" s="76">
        <f>IF(A163="",0,SUMIF(tbl_Donateurs_Demandes[ID Donateur],A163,tbl_Donateurs_Demandes[Montant accorde]))</f>
        <v>0</v>
      </c>
      <c r="AO163" s="76">
        <f>IF(A163="",0,SUMIF(tbl_Donateurs_Decaissements[ID Donateur],A163,tbl_Donateurs_Decaissements[Montant recu]))</f>
        <v>0</v>
      </c>
      <c r="AP163" s="77" t="str">
        <f t="shared" si="16"/>
        <v/>
      </c>
      <c r="AQ163" s="75">
        <f>IF(A163="",0,COUNTIF(tbl_Donateurs_Contacts[ID Donateur],A163))</f>
        <v>0</v>
      </c>
      <c r="AR163" s="75">
        <f>IF(A163="",0,COUNTIF(tbl_Donateurs_Documents[ID Donateur],A163))</f>
        <v>0</v>
      </c>
      <c r="AS163" s="75">
        <f>IF(A163="",0,COUNTIF(tbl_Donateurs_Conventions[ID Donateur],A163))</f>
        <v>0</v>
      </c>
      <c r="AT163" s="83" t="str">
        <f ca="1">IFERROR(_xlfn.MAXIFS(tbl_Donateurs_Decaissements[Date recue],tbl_Donateurs_Decaissements[ID Donateur],A163),"")</f>
        <v/>
      </c>
      <c r="AU163" s="76" t="str">
        <f t="shared" si="19"/>
        <v/>
      </c>
      <c r="AV163" s="75" t="str">
        <f t="shared" ca="1" si="17"/>
        <v/>
      </c>
      <c r="AW163" s="75" t="str">
        <f t="shared" si="18"/>
        <v/>
      </c>
      <c r="AX163" s="81"/>
    </row>
    <row r="164" spans="1:50" ht="15" customHeight="1">
      <c r="A164" s="75" t="str">
        <f t="shared" si="15"/>
        <v/>
      </c>
      <c r="B164" s="81"/>
      <c r="C164" s="81"/>
      <c r="D164" s="81"/>
      <c r="E164" s="81"/>
      <c r="F164" s="81"/>
      <c r="G164" s="81"/>
      <c r="H164" s="81"/>
      <c r="I164" s="81"/>
      <c r="J164" s="81"/>
      <c r="K164" s="81"/>
      <c r="L164" s="81"/>
      <c r="M164" s="81"/>
      <c r="N164" s="81"/>
      <c r="O164" s="81"/>
      <c r="P164" s="81"/>
      <c r="Q164" s="81"/>
      <c r="R164" s="81"/>
      <c r="S164" s="81"/>
      <c r="T164" s="81"/>
      <c r="U164" s="81"/>
      <c r="V164" s="81"/>
      <c r="W164" s="81"/>
      <c r="X164" s="81"/>
      <c r="Y164" s="75" t="str">
        <f>IFERROR(INDEX(PARAMETRES!$B$536:$B$586,MATCH(X164,PARAMETRES!$J$536:$J$586,0)),"")</f>
        <v/>
      </c>
      <c r="Z164" s="75" t="str">
        <f>IFERROR(INDEX(PARAMETRES!$D$536:$D$586,MATCH(X164,PARAMETRES!$J$536:$J$586,0)),"")</f>
        <v/>
      </c>
      <c r="AA164" s="75" t="str">
        <f>IFERROR(INDEX(PARAMETRES!$F$536:$F$586,MATCH(X164,PARAMETRES!$J$536:$J$586,0)),"")</f>
        <v/>
      </c>
      <c r="AB164" s="81"/>
      <c r="AC164" s="82"/>
      <c r="AD164" s="81"/>
      <c r="AE164" s="82"/>
      <c r="AF164" s="82"/>
      <c r="AG164" s="81"/>
      <c r="AH164" s="81"/>
      <c r="AI164" s="75">
        <f>IF(A164="",0,COUNTIF(tbl_Donateurs_Opportunites[ID Donateur],A164))</f>
        <v>0</v>
      </c>
      <c r="AJ164" s="75">
        <f>IF(A164="",0,COUNTIFS(tbl_Donateurs_Opportunites[ID Donateur],A164,tbl_Donateurs_Opportunites[Statut],"Ouverte"))</f>
        <v>0</v>
      </c>
      <c r="AK164" s="75">
        <f>IF(A164="",0,COUNTIF(tbl_Donateurs_Demandes[ID Donateur],A164))</f>
        <v>0</v>
      </c>
      <c r="AL164" s="75">
        <f>IF(A164="",0,COUNTIFS(tbl_Donateurs_Demandes[ID Donateur],A164,tbl_Donateurs_Demandes[Statut],"Approuvee")+COUNTIFS(tbl_Donateurs_Demandes[ID Donateur],A164,tbl_Donateurs_Demandes[Statut],"Financement recu"))</f>
        <v>0</v>
      </c>
      <c r="AM164" s="76">
        <f>IF(A164="",0,SUMIF(tbl_Donateurs_Demandes[ID Donateur],A164,tbl_Donateurs_Demandes[Montant demande]))</f>
        <v>0</v>
      </c>
      <c r="AN164" s="76">
        <f>IF(A164="",0,SUMIF(tbl_Donateurs_Demandes[ID Donateur],A164,tbl_Donateurs_Demandes[Montant accorde]))</f>
        <v>0</v>
      </c>
      <c r="AO164" s="76">
        <f>IF(A164="",0,SUMIF(tbl_Donateurs_Decaissements[ID Donateur],A164,tbl_Donateurs_Decaissements[Montant recu]))</f>
        <v>0</v>
      </c>
      <c r="AP164" s="77" t="str">
        <f t="shared" si="16"/>
        <v/>
      </c>
      <c r="AQ164" s="75">
        <f>IF(A164="",0,COUNTIF(tbl_Donateurs_Contacts[ID Donateur],A164))</f>
        <v>0</v>
      </c>
      <c r="AR164" s="75">
        <f>IF(A164="",0,COUNTIF(tbl_Donateurs_Documents[ID Donateur],A164))</f>
        <v>0</v>
      </c>
      <c r="AS164" s="75">
        <f>IF(A164="",0,COUNTIF(tbl_Donateurs_Conventions[ID Donateur],A164))</f>
        <v>0</v>
      </c>
      <c r="AT164" s="83" t="str">
        <f ca="1">IFERROR(_xlfn.MAXIFS(tbl_Donateurs_Decaissements[Date recue],tbl_Donateurs_Decaissements[ID Donateur],A164),"")</f>
        <v/>
      </c>
      <c r="AU164" s="76" t="str">
        <f t="shared" si="19"/>
        <v/>
      </c>
      <c r="AV164" s="75" t="str">
        <f t="shared" ca="1" si="17"/>
        <v/>
      </c>
      <c r="AW164" s="75" t="str">
        <f t="shared" si="18"/>
        <v/>
      </c>
      <c r="AX164" s="81"/>
    </row>
    <row r="165" spans="1:50" ht="15" customHeight="1">
      <c r="A165" s="75" t="str">
        <f t="shared" si="15"/>
        <v/>
      </c>
      <c r="B165" s="81"/>
      <c r="C165" s="81"/>
      <c r="D165" s="81"/>
      <c r="E165" s="81"/>
      <c r="F165" s="81"/>
      <c r="G165" s="81"/>
      <c r="H165" s="81"/>
      <c r="I165" s="81"/>
      <c r="J165" s="81"/>
      <c r="K165" s="81"/>
      <c r="L165" s="81"/>
      <c r="M165" s="81"/>
      <c r="N165" s="81"/>
      <c r="O165" s="81"/>
      <c r="P165" s="81"/>
      <c r="Q165" s="81"/>
      <c r="R165" s="81"/>
      <c r="S165" s="81"/>
      <c r="T165" s="81"/>
      <c r="U165" s="81"/>
      <c r="V165" s="81"/>
      <c r="W165" s="81"/>
      <c r="X165" s="81"/>
      <c r="Y165" s="75" t="str">
        <f>IFERROR(INDEX(PARAMETRES!$B$536:$B$586,MATCH(X165,PARAMETRES!$J$536:$J$586,0)),"")</f>
        <v/>
      </c>
      <c r="Z165" s="75" t="str">
        <f>IFERROR(INDEX(PARAMETRES!$D$536:$D$586,MATCH(X165,PARAMETRES!$J$536:$J$586,0)),"")</f>
        <v/>
      </c>
      <c r="AA165" s="75" t="str">
        <f>IFERROR(INDEX(PARAMETRES!$F$536:$F$586,MATCH(X165,PARAMETRES!$J$536:$J$586,0)),"")</f>
        <v/>
      </c>
      <c r="AB165" s="81"/>
      <c r="AC165" s="82"/>
      <c r="AD165" s="81"/>
      <c r="AE165" s="82"/>
      <c r="AF165" s="82"/>
      <c r="AG165" s="81"/>
      <c r="AH165" s="81"/>
      <c r="AI165" s="75">
        <f>IF(A165="",0,COUNTIF(tbl_Donateurs_Opportunites[ID Donateur],A165))</f>
        <v>0</v>
      </c>
      <c r="AJ165" s="75">
        <f>IF(A165="",0,COUNTIFS(tbl_Donateurs_Opportunites[ID Donateur],A165,tbl_Donateurs_Opportunites[Statut],"Ouverte"))</f>
        <v>0</v>
      </c>
      <c r="AK165" s="75">
        <f>IF(A165="",0,COUNTIF(tbl_Donateurs_Demandes[ID Donateur],A165))</f>
        <v>0</v>
      </c>
      <c r="AL165" s="75">
        <f>IF(A165="",0,COUNTIFS(tbl_Donateurs_Demandes[ID Donateur],A165,tbl_Donateurs_Demandes[Statut],"Approuvee")+COUNTIFS(tbl_Donateurs_Demandes[ID Donateur],A165,tbl_Donateurs_Demandes[Statut],"Financement recu"))</f>
        <v>0</v>
      </c>
      <c r="AM165" s="76">
        <f>IF(A165="",0,SUMIF(tbl_Donateurs_Demandes[ID Donateur],A165,tbl_Donateurs_Demandes[Montant demande]))</f>
        <v>0</v>
      </c>
      <c r="AN165" s="76">
        <f>IF(A165="",0,SUMIF(tbl_Donateurs_Demandes[ID Donateur],A165,tbl_Donateurs_Demandes[Montant accorde]))</f>
        <v>0</v>
      </c>
      <c r="AO165" s="76">
        <f>IF(A165="",0,SUMIF(tbl_Donateurs_Decaissements[ID Donateur],A165,tbl_Donateurs_Decaissements[Montant recu]))</f>
        <v>0</v>
      </c>
      <c r="AP165" s="77" t="str">
        <f t="shared" si="16"/>
        <v/>
      </c>
      <c r="AQ165" s="75">
        <f>IF(A165="",0,COUNTIF(tbl_Donateurs_Contacts[ID Donateur],A165))</f>
        <v>0</v>
      </c>
      <c r="AR165" s="75">
        <f>IF(A165="",0,COUNTIF(tbl_Donateurs_Documents[ID Donateur],A165))</f>
        <v>0</v>
      </c>
      <c r="AS165" s="75">
        <f>IF(A165="",0,COUNTIF(tbl_Donateurs_Conventions[ID Donateur],A165))</f>
        <v>0</v>
      </c>
      <c r="AT165" s="83" t="str">
        <f ca="1">IFERROR(_xlfn.MAXIFS(tbl_Donateurs_Decaissements[Date recue],tbl_Donateurs_Decaissements[ID Donateur],A165),"")</f>
        <v/>
      </c>
      <c r="AU165" s="76" t="str">
        <f t="shared" si="19"/>
        <v/>
      </c>
      <c r="AV165" s="75" t="str">
        <f t="shared" ca="1" si="17"/>
        <v/>
      </c>
      <c r="AW165" s="75" t="str">
        <f t="shared" si="18"/>
        <v/>
      </c>
      <c r="AX165" s="81"/>
    </row>
    <row r="166" spans="1:50" ht="15" customHeight="1">
      <c r="A166" s="75" t="str">
        <f t="shared" si="15"/>
        <v/>
      </c>
      <c r="B166" s="81"/>
      <c r="C166" s="81"/>
      <c r="D166" s="81"/>
      <c r="E166" s="81"/>
      <c r="F166" s="81"/>
      <c r="G166" s="81"/>
      <c r="H166" s="81"/>
      <c r="I166" s="81"/>
      <c r="J166" s="81"/>
      <c r="K166" s="81"/>
      <c r="L166" s="81"/>
      <c r="M166" s="81"/>
      <c r="N166" s="81"/>
      <c r="O166" s="81"/>
      <c r="P166" s="81"/>
      <c r="Q166" s="81"/>
      <c r="R166" s="81"/>
      <c r="S166" s="81"/>
      <c r="T166" s="81"/>
      <c r="U166" s="81"/>
      <c r="V166" s="81"/>
      <c r="W166" s="81"/>
      <c r="X166" s="81"/>
      <c r="Y166" s="75" t="str">
        <f>IFERROR(INDEX(PARAMETRES!$B$536:$B$586,MATCH(X166,PARAMETRES!$J$536:$J$586,0)),"")</f>
        <v/>
      </c>
      <c r="Z166" s="75" t="str">
        <f>IFERROR(INDEX(PARAMETRES!$D$536:$D$586,MATCH(X166,PARAMETRES!$J$536:$J$586,0)),"")</f>
        <v/>
      </c>
      <c r="AA166" s="75" t="str">
        <f>IFERROR(INDEX(PARAMETRES!$F$536:$F$586,MATCH(X166,PARAMETRES!$J$536:$J$586,0)),"")</f>
        <v/>
      </c>
      <c r="AB166" s="81"/>
      <c r="AC166" s="82"/>
      <c r="AD166" s="81"/>
      <c r="AE166" s="82"/>
      <c r="AF166" s="82"/>
      <c r="AG166" s="81"/>
      <c r="AH166" s="81"/>
      <c r="AI166" s="75">
        <f>IF(A166="",0,COUNTIF(tbl_Donateurs_Opportunites[ID Donateur],A166))</f>
        <v>0</v>
      </c>
      <c r="AJ166" s="75">
        <f>IF(A166="",0,COUNTIFS(tbl_Donateurs_Opportunites[ID Donateur],A166,tbl_Donateurs_Opportunites[Statut],"Ouverte"))</f>
        <v>0</v>
      </c>
      <c r="AK166" s="75">
        <f>IF(A166="",0,COUNTIF(tbl_Donateurs_Demandes[ID Donateur],A166))</f>
        <v>0</v>
      </c>
      <c r="AL166" s="75">
        <f>IF(A166="",0,COUNTIFS(tbl_Donateurs_Demandes[ID Donateur],A166,tbl_Donateurs_Demandes[Statut],"Approuvee")+COUNTIFS(tbl_Donateurs_Demandes[ID Donateur],A166,tbl_Donateurs_Demandes[Statut],"Financement recu"))</f>
        <v>0</v>
      </c>
      <c r="AM166" s="76">
        <f>IF(A166="",0,SUMIF(tbl_Donateurs_Demandes[ID Donateur],A166,tbl_Donateurs_Demandes[Montant demande]))</f>
        <v>0</v>
      </c>
      <c r="AN166" s="76">
        <f>IF(A166="",0,SUMIF(tbl_Donateurs_Demandes[ID Donateur],A166,tbl_Donateurs_Demandes[Montant accorde]))</f>
        <v>0</v>
      </c>
      <c r="AO166" s="76">
        <f>IF(A166="",0,SUMIF(tbl_Donateurs_Decaissements[ID Donateur],A166,tbl_Donateurs_Decaissements[Montant recu]))</f>
        <v>0</v>
      </c>
      <c r="AP166" s="77" t="str">
        <f t="shared" si="16"/>
        <v/>
      </c>
      <c r="AQ166" s="75">
        <f>IF(A166="",0,COUNTIF(tbl_Donateurs_Contacts[ID Donateur],A166))</f>
        <v>0</v>
      </c>
      <c r="AR166" s="75">
        <f>IF(A166="",0,COUNTIF(tbl_Donateurs_Documents[ID Donateur],A166))</f>
        <v>0</v>
      </c>
      <c r="AS166" s="75">
        <f>IF(A166="",0,COUNTIF(tbl_Donateurs_Conventions[ID Donateur],A166))</f>
        <v>0</v>
      </c>
      <c r="AT166" s="83" t="str">
        <f ca="1">IFERROR(_xlfn.MAXIFS(tbl_Donateurs_Decaissements[Date recue],tbl_Donateurs_Decaissements[ID Donateur],A166),"")</f>
        <v/>
      </c>
      <c r="AU166" s="76" t="str">
        <f t="shared" si="19"/>
        <v/>
      </c>
      <c r="AV166" s="75" t="str">
        <f t="shared" ca="1" si="17"/>
        <v/>
      </c>
      <c r="AW166" s="75" t="str">
        <f t="shared" si="18"/>
        <v/>
      </c>
      <c r="AX166" s="81"/>
    </row>
    <row r="167" spans="1:50" ht="15" customHeight="1">
      <c r="A167" s="75" t="str">
        <f t="shared" si="15"/>
        <v/>
      </c>
      <c r="B167" s="81"/>
      <c r="C167" s="81"/>
      <c r="D167" s="81"/>
      <c r="E167" s="81"/>
      <c r="F167" s="81"/>
      <c r="G167" s="81"/>
      <c r="H167" s="81"/>
      <c r="I167" s="81"/>
      <c r="J167" s="81"/>
      <c r="K167" s="81"/>
      <c r="L167" s="81"/>
      <c r="M167" s="81"/>
      <c r="N167" s="81"/>
      <c r="O167" s="81"/>
      <c r="P167" s="81"/>
      <c r="Q167" s="81"/>
      <c r="R167" s="81"/>
      <c r="S167" s="81"/>
      <c r="T167" s="81"/>
      <c r="U167" s="81"/>
      <c r="V167" s="81"/>
      <c r="W167" s="81"/>
      <c r="X167" s="81"/>
      <c r="Y167" s="75" t="str">
        <f>IFERROR(INDEX(PARAMETRES!$B$536:$B$586,MATCH(X167,PARAMETRES!$J$536:$J$586,0)),"")</f>
        <v/>
      </c>
      <c r="Z167" s="75" t="str">
        <f>IFERROR(INDEX(PARAMETRES!$D$536:$D$586,MATCH(X167,PARAMETRES!$J$536:$J$586,0)),"")</f>
        <v/>
      </c>
      <c r="AA167" s="75" t="str">
        <f>IFERROR(INDEX(PARAMETRES!$F$536:$F$586,MATCH(X167,PARAMETRES!$J$536:$J$586,0)),"")</f>
        <v/>
      </c>
      <c r="AB167" s="81"/>
      <c r="AC167" s="82"/>
      <c r="AD167" s="81"/>
      <c r="AE167" s="82"/>
      <c r="AF167" s="82"/>
      <c r="AG167" s="81"/>
      <c r="AH167" s="81"/>
      <c r="AI167" s="75">
        <f>IF(A167="",0,COUNTIF(tbl_Donateurs_Opportunites[ID Donateur],A167))</f>
        <v>0</v>
      </c>
      <c r="AJ167" s="75">
        <f>IF(A167="",0,COUNTIFS(tbl_Donateurs_Opportunites[ID Donateur],A167,tbl_Donateurs_Opportunites[Statut],"Ouverte"))</f>
        <v>0</v>
      </c>
      <c r="AK167" s="75">
        <f>IF(A167="",0,COUNTIF(tbl_Donateurs_Demandes[ID Donateur],A167))</f>
        <v>0</v>
      </c>
      <c r="AL167" s="75">
        <f>IF(A167="",0,COUNTIFS(tbl_Donateurs_Demandes[ID Donateur],A167,tbl_Donateurs_Demandes[Statut],"Approuvee")+COUNTIFS(tbl_Donateurs_Demandes[ID Donateur],A167,tbl_Donateurs_Demandes[Statut],"Financement recu"))</f>
        <v>0</v>
      </c>
      <c r="AM167" s="76">
        <f>IF(A167="",0,SUMIF(tbl_Donateurs_Demandes[ID Donateur],A167,tbl_Donateurs_Demandes[Montant demande]))</f>
        <v>0</v>
      </c>
      <c r="AN167" s="76">
        <f>IF(A167="",0,SUMIF(tbl_Donateurs_Demandes[ID Donateur],A167,tbl_Donateurs_Demandes[Montant accorde]))</f>
        <v>0</v>
      </c>
      <c r="AO167" s="76">
        <f>IF(A167="",0,SUMIF(tbl_Donateurs_Decaissements[ID Donateur],A167,tbl_Donateurs_Decaissements[Montant recu]))</f>
        <v>0</v>
      </c>
      <c r="AP167" s="77" t="str">
        <f t="shared" si="16"/>
        <v/>
      </c>
      <c r="AQ167" s="75">
        <f>IF(A167="",0,COUNTIF(tbl_Donateurs_Contacts[ID Donateur],A167))</f>
        <v>0</v>
      </c>
      <c r="AR167" s="75">
        <f>IF(A167="",0,COUNTIF(tbl_Donateurs_Documents[ID Donateur],A167))</f>
        <v>0</v>
      </c>
      <c r="AS167" s="75">
        <f>IF(A167="",0,COUNTIF(tbl_Donateurs_Conventions[ID Donateur],A167))</f>
        <v>0</v>
      </c>
      <c r="AT167" s="83" t="str">
        <f ca="1">IFERROR(_xlfn.MAXIFS(tbl_Donateurs_Decaissements[Date recue],tbl_Donateurs_Decaissements[ID Donateur],A167),"")</f>
        <v/>
      </c>
      <c r="AU167" s="76" t="str">
        <f t="shared" si="19"/>
        <v/>
      </c>
      <c r="AV167" s="75" t="str">
        <f t="shared" ca="1" si="17"/>
        <v/>
      </c>
      <c r="AW167" s="75" t="str">
        <f t="shared" si="18"/>
        <v/>
      </c>
      <c r="AX167" s="81"/>
    </row>
    <row r="168" spans="1:50" ht="15" customHeight="1">
      <c r="A168" s="75" t="str">
        <f t="shared" si="15"/>
        <v/>
      </c>
      <c r="B168" s="81"/>
      <c r="C168" s="81"/>
      <c r="D168" s="81"/>
      <c r="E168" s="81"/>
      <c r="F168" s="81"/>
      <c r="G168" s="81"/>
      <c r="H168" s="81"/>
      <c r="I168" s="81"/>
      <c r="J168" s="81"/>
      <c r="K168" s="81"/>
      <c r="L168" s="81"/>
      <c r="M168" s="81"/>
      <c r="N168" s="81"/>
      <c r="O168" s="81"/>
      <c r="P168" s="81"/>
      <c r="Q168" s="81"/>
      <c r="R168" s="81"/>
      <c r="S168" s="81"/>
      <c r="T168" s="81"/>
      <c r="U168" s="81"/>
      <c r="V168" s="81"/>
      <c r="W168" s="81"/>
      <c r="X168" s="81"/>
      <c r="Y168" s="75" t="str">
        <f>IFERROR(INDEX(PARAMETRES!$B$536:$B$586,MATCH(X168,PARAMETRES!$J$536:$J$586,0)),"")</f>
        <v/>
      </c>
      <c r="Z168" s="75" t="str">
        <f>IFERROR(INDEX(PARAMETRES!$D$536:$D$586,MATCH(X168,PARAMETRES!$J$536:$J$586,0)),"")</f>
        <v/>
      </c>
      <c r="AA168" s="75" t="str">
        <f>IFERROR(INDEX(PARAMETRES!$F$536:$F$586,MATCH(X168,PARAMETRES!$J$536:$J$586,0)),"")</f>
        <v/>
      </c>
      <c r="AB168" s="81"/>
      <c r="AC168" s="82"/>
      <c r="AD168" s="81"/>
      <c r="AE168" s="82"/>
      <c r="AF168" s="82"/>
      <c r="AG168" s="81"/>
      <c r="AH168" s="81"/>
      <c r="AI168" s="75">
        <f>IF(A168="",0,COUNTIF(tbl_Donateurs_Opportunites[ID Donateur],A168))</f>
        <v>0</v>
      </c>
      <c r="AJ168" s="75">
        <f>IF(A168="",0,COUNTIFS(tbl_Donateurs_Opportunites[ID Donateur],A168,tbl_Donateurs_Opportunites[Statut],"Ouverte"))</f>
        <v>0</v>
      </c>
      <c r="AK168" s="75">
        <f>IF(A168="",0,COUNTIF(tbl_Donateurs_Demandes[ID Donateur],A168))</f>
        <v>0</v>
      </c>
      <c r="AL168" s="75">
        <f>IF(A168="",0,COUNTIFS(tbl_Donateurs_Demandes[ID Donateur],A168,tbl_Donateurs_Demandes[Statut],"Approuvee")+COUNTIFS(tbl_Donateurs_Demandes[ID Donateur],A168,tbl_Donateurs_Demandes[Statut],"Financement recu"))</f>
        <v>0</v>
      </c>
      <c r="AM168" s="76">
        <f>IF(A168="",0,SUMIF(tbl_Donateurs_Demandes[ID Donateur],A168,tbl_Donateurs_Demandes[Montant demande]))</f>
        <v>0</v>
      </c>
      <c r="AN168" s="76">
        <f>IF(A168="",0,SUMIF(tbl_Donateurs_Demandes[ID Donateur],A168,tbl_Donateurs_Demandes[Montant accorde]))</f>
        <v>0</v>
      </c>
      <c r="AO168" s="76">
        <f>IF(A168="",0,SUMIF(tbl_Donateurs_Decaissements[ID Donateur],A168,tbl_Donateurs_Decaissements[Montant recu]))</f>
        <v>0</v>
      </c>
      <c r="AP168" s="77" t="str">
        <f t="shared" si="16"/>
        <v/>
      </c>
      <c r="AQ168" s="75">
        <f>IF(A168="",0,COUNTIF(tbl_Donateurs_Contacts[ID Donateur],A168))</f>
        <v>0</v>
      </c>
      <c r="AR168" s="75">
        <f>IF(A168="",0,COUNTIF(tbl_Donateurs_Documents[ID Donateur],A168))</f>
        <v>0</v>
      </c>
      <c r="AS168" s="75">
        <f>IF(A168="",0,COUNTIF(tbl_Donateurs_Conventions[ID Donateur],A168))</f>
        <v>0</v>
      </c>
      <c r="AT168" s="83" t="str">
        <f ca="1">IFERROR(_xlfn.MAXIFS(tbl_Donateurs_Decaissements[Date recue],tbl_Donateurs_Decaissements[ID Donateur],A168),"")</f>
        <v/>
      </c>
      <c r="AU168" s="76" t="str">
        <f t="shared" si="19"/>
        <v/>
      </c>
      <c r="AV168" s="75" t="str">
        <f t="shared" ca="1" si="17"/>
        <v/>
      </c>
      <c r="AW168" s="75" t="str">
        <f t="shared" si="18"/>
        <v/>
      </c>
      <c r="AX168" s="81"/>
    </row>
    <row r="169" spans="1:50" ht="15" customHeight="1">
      <c r="A169" s="75" t="str">
        <f t="shared" si="15"/>
        <v/>
      </c>
      <c r="B169" s="81"/>
      <c r="C169" s="81"/>
      <c r="D169" s="81"/>
      <c r="E169" s="81"/>
      <c r="F169" s="81"/>
      <c r="G169" s="81"/>
      <c r="H169" s="81"/>
      <c r="I169" s="81"/>
      <c r="J169" s="81"/>
      <c r="K169" s="81"/>
      <c r="L169" s="81"/>
      <c r="M169" s="81"/>
      <c r="N169" s="81"/>
      <c r="O169" s="81"/>
      <c r="P169" s="81"/>
      <c r="Q169" s="81"/>
      <c r="R169" s="81"/>
      <c r="S169" s="81"/>
      <c r="T169" s="81"/>
      <c r="U169" s="81"/>
      <c r="V169" s="81"/>
      <c r="W169" s="81"/>
      <c r="X169" s="81"/>
      <c r="Y169" s="75" t="str">
        <f>IFERROR(INDEX(PARAMETRES!$B$536:$B$586,MATCH(X169,PARAMETRES!$J$536:$J$586,0)),"")</f>
        <v/>
      </c>
      <c r="Z169" s="75" t="str">
        <f>IFERROR(INDEX(PARAMETRES!$D$536:$D$586,MATCH(X169,PARAMETRES!$J$536:$J$586,0)),"")</f>
        <v/>
      </c>
      <c r="AA169" s="75" t="str">
        <f>IFERROR(INDEX(PARAMETRES!$F$536:$F$586,MATCH(X169,PARAMETRES!$J$536:$J$586,0)),"")</f>
        <v/>
      </c>
      <c r="AB169" s="81"/>
      <c r="AC169" s="82"/>
      <c r="AD169" s="81"/>
      <c r="AE169" s="82"/>
      <c r="AF169" s="82"/>
      <c r="AG169" s="81"/>
      <c r="AH169" s="81"/>
      <c r="AI169" s="75">
        <f>IF(A169="",0,COUNTIF(tbl_Donateurs_Opportunites[ID Donateur],A169))</f>
        <v>0</v>
      </c>
      <c r="AJ169" s="75">
        <f>IF(A169="",0,COUNTIFS(tbl_Donateurs_Opportunites[ID Donateur],A169,tbl_Donateurs_Opportunites[Statut],"Ouverte"))</f>
        <v>0</v>
      </c>
      <c r="AK169" s="75">
        <f>IF(A169="",0,COUNTIF(tbl_Donateurs_Demandes[ID Donateur],A169))</f>
        <v>0</v>
      </c>
      <c r="AL169" s="75">
        <f>IF(A169="",0,COUNTIFS(tbl_Donateurs_Demandes[ID Donateur],A169,tbl_Donateurs_Demandes[Statut],"Approuvee")+COUNTIFS(tbl_Donateurs_Demandes[ID Donateur],A169,tbl_Donateurs_Demandes[Statut],"Financement recu"))</f>
        <v>0</v>
      </c>
      <c r="AM169" s="76">
        <f>IF(A169="",0,SUMIF(tbl_Donateurs_Demandes[ID Donateur],A169,tbl_Donateurs_Demandes[Montant demande]))</f>
        <v>0</v>
      </c>
      <c r="AN169" s="76">
        <f>IF(A169="",0,SUMIF(tbl_Donateurs_Demandes[ID Donateur],A169,tbl_Donateurs_Demandes[Montant accorde]))</f>
        <v>0</v>
      </c>
      <c r="AO169" s="76">
        <f>IF(A169="",0,SUMIF(tbl_Donateurs_Decaissements[ID Donateur],A169,tbl_Donateurs_Decaissements[Montant recu]))</f>
        <v>0</v>
      </c>
      <c r="AP169" s="77" t="str">
        <f t="shared" si="16"/>
        <v/>
      </c>
      <c r="AQ169" s="75">
        <f>IF(A169="",0,COUNTIF(tbl_Donateurs_Contacts[ID Donateur],A169))</f>
        <v>0</v>
      </c>
      <c r="AR169" s="75">
        <f>IF(A169="",0,COUNTIF(tbl_Donateurs_Documents[ID Donateur],A169))</f>
        <v>0</v>
      </c>
      <c r="AS169" s="75">
        <f>IF(A169="",0,COUNTIF(tbl_Donateurs_Conventions[ID Donateur],A169))</f>
        <v>0</v>
      </c>
      <c r="AT169" s="83" t="str">
        <f ca="1">IFERROR(_xlfn.MAXIFS(tbl_Donateurs_Decaissements[Date recue],tbl_Donateurs_Decaissements[ID Donateur],A169),"")</f>
        <v/>
      </c>
      <c r="AU169" s="76" t="str">
        <f t="shared" si="19"/>
        <v/>
      </c>
      <c r="AV169" s="75" t="str">
        <f t="shared" ca="1" si="17"/>
        <v/>
      </c>
      <c r="AW169" s="75" t="str">
        <f t="shared" si="18"/>
        <v/>
      </c>
      <c r="AX169" s="81"/>
    </row>
    <row r="170" spans="1:50" ht="15" customHeight="1">
      <c r="A170" s="75" t="str">
        <f t="shared" si="15"/>
        <v/>
      </c>
      <c r="B170" s="81"/>
      <c r="C170" s="81"/>
      <c r="D170" s="81"/>
      <c r="E170" s="81"/>
      <c r="F170" s="81"/>
      <c r="G170" s="81"/>
      <c r="H170" s="81"/>
      <c r="I170" s="81"/>
      <c r="J170" s="81"/>
      <c r="K170" s="81"/>
      <c r="L170" s="81"/>
      <c r="M170" s="81"/>
      <c r="N170" s="81"/>
      <c r="O170" s="81"/>
      <c r="P170" s="81"/>
      <c r="Q170" s="81"/>
      <c r="R170" s="81"/>
      <c r="S170" s="81"/>
      <c r="T170" s="81"/>
      <c r="U170" s="81"/>
      <c r="V170" s="81"/>
      <c r="W170" s="81"/>
      <c r="X170" s="81"/>
      <c r="Y170" s="75" t="str">
        <f>IFERROR(INDEX(PARAMETRES!$B$536:$B$586,MATCH(X170,PARAMETRES!$J$536:$J$586,0)),"")</f>
        <v/>
      </c>
      <c r="Z170" s="75" t="str">
        <f>IFERROR(INDEX(PARAMETRES!$D$536:$D$586,MATCH(X170,PARAMETRES!$J$536:$J$586,0)),"")</f>
        <v/>
      </c>
      <c r="AA170" s="75" t="str">
        <f>IFERROR(INDEX(PARAMETRES!$F$536:$F$586,MATCH(X170,PARAMETRES!$J$536:$J$586,0)),"")</f>
        <v/>
      </c>
      <c r="AB170" s="81"/>
      <c r="AC170" s="82"/>
      <c r="AD170" s="81"/>
      <c r="AE170" s="82"/>
      <c r="AF170" s="82"/>
      <c r="AG170" s="81"/>
      <c r="AH170" s="81"/>
      <c r="AI170" s="75">
        <f>IF(A170="",0,COUNTIF(tbl_Donateurs_Opportunites[ID Donateur],A170))</f>
        <v>0</v>
      </c>
      <c r="AJ170" s="75">
        <f>IF(A170="",0,COUNTIFS(tbl_Donateurs_Opportunites[ID Donateur],A170,tbl_Donateurs_Opportunites[Statut],"Ouverte"))</f>
        <v>0</v>
      </c>
      <c r="AK170" s="75">
        <f>IF(A170="",0,COUNTIF(tbl_Donateurs_Demandes[ID Donateur],A170))</f>
        <v>0</v>
      </c>
      <c r="AL170" s="75">
        <f>IF(A170="",0,COUNTIFS(tbl_Donateurs_Demandes[ID Donateur],A170,tbl_Donateurs_Demandes[Statut],"Approuvee")+COUNTIFS(tbl_Donateurs_Demandes[ID Donateur],A170,tbl_Donateurs_Demandes[Statut],"Financement recu"))</f>
        <v>0</v>
      </c>
      <c r="AM170" s="76">
        <f>IF(A170="",0,SUMIF(tbl_Donateurs_Demandes[ID Donateur],A170,tbl_Donateurs_Demandes[Montant demande]))</f>
        <v>0</v>
      </c>
      <c r="AN170" s="76">
        <f>IF(A170="",0,SUMIF(tbl_Donateurs_Demandes[ID Donateur],A170,tbl_Donateurs_Demandes[Montant accorde]))</f>
        <v>0</v>
      </c>
      <c r="AO170" s="76">
        <f>IF(A170="",0,SUMIF(tbl_Donateurs_Decaissements[ID Donateur],A170,tbl_Donateurs_Decaissements[Montant recu]))</f>
        <v>0</v>
      </c>
      <c r="AP170" s="77" t="str">
        <f t="shared" si="16"/>
        <v/>
      </c>
      <c r="AQ170" s="75">
        <f>IF(A170="",0,COUNTIF(tbl_Donateurs_Contacts[ID Donateur],A170))</f>
        <v>0</v>
      </c>
      <c r="AR170" s="75">
        <f>IF(A170="",0,COUNTIF(tbl_Donateurs_Documents[ID Donateur],A170))</f>
        <v>0</v>
      </c>
      <c r="AS170" s="75">
        <f>IF(A170="",0,COUNTIF(tbl_Donateurs_Conventions[ID Donateur],A170))</f>
        <v>0</v>
      </c>
      <c r="AT170" s="83" t="str">
        <f ca="1">IFERROR(_xlfn.MAXIFS(tbl_Donateurs_Decaissements[Date recue],tbl_Donateurs_Decaissements[ID Donateur],A170),"")</f>
        <v/>
      </c>
      <c r="AU170" s="76" t="str">
        <f t="shared" si="19"/>
        <v/>
      </c>
      <c r="AV170" s="75" t="str">
        <f t="shared" ca="1" si="17"/>
        <v/>
      </c>
      <c r="AW170" s="75" t="str">
        <f t="shared" si="18"/>
        <v/>
      </c>
      <c r="AX170" s="81"/>
    </row>
    <row r="171" spans="1:50" ht="15" customHeight="1">
      <c r="A171" s="75" t="str">
        <f t="shared" si="15"/>
        <v/>
      </c>
      <c r="B171" s="81"/>
      <c r="C171" s="81"/>
      <c r="D171" s="81"/>
      <c r="E171" s="81"/>
      <c r="F171" s="81"/>
      <c r="G171" s="81"/>
      <c r="H171" s="81"/>
      <c r="I171" s="81"/>
      <c r="J171" s="81"/>
      <c r="K171" s="81"/>
      <c r="L171" s="81"/>
      <c r="M171" s="81"/>
      <c r="N171" s="81"/>
      <c r="O171" s="81"/>
      <c r="P171" s="81"/>
      <c r="Q171" s="81"/>
      <c r="R171" s="81"/>
      <c r="S171" s="81"/>
      <c r="T171" s="81"/>
      <c r="U171" s="81"/>
      <c r="V171" s="81"/>
      <c r="W171" s="81"/>
      <c r="X171" s="81"/>
      <c r="Y171" s="75" t="str">
        <f>IFERROR(INDEX(PARAMETRES!$B$536:$B$586,MATCH(X171,PARAMETRES!$J$536:$J$586,0)),"")</f>
        <v/>
      </c>
      <c r="Z171" s="75" t="str">
        <f>IFERROR(INDEX(PARAMETRES!$D$536:$D$586,MATCH(X171,PARAMETRES!$J$536:$J$586,0)),"")</f>
        <v/>
      </c>
      <c r="AA171" s="75" t="str">
        <f>IFERROR(INDEX(PARAMETRES!$F$536:$F$586,MATCH(X171,PARAMETRES!$J$536:$J$586,0)),"")</f>
        <v/>
      </c>
      <c r="AB171" s="81"/>
      <c r="AC171" s="82"/>
      <c r="AD171" s="81"/>
      <c r="AE171" s="82"/>
      <c r="AF171" s="82"/>
      <c r="AG171" s="81"/>
      <c r="AH171" s="81"/>
      <c r="AI171" s="75">
        <f>IF(A171="",0,COUNTIF(tbl_Donateurs_Opportunites[ID Donateur],A171))</f>
        <v>0</v>
      </c>
      <c r="AJ171" s="75">
        <f>IF(A171="",0,COUNTIFS(tbl_Donateurs_Opportunites[ID Donateur],A171,tbl_Donateurs_Opportunites[Statut],"Ouverte"))</f>
        <v>0</v>
      </c>
      <c r="AK171" s="75">
        <f>IF(A171="",0,COUNTIF(tbl_Donateurs_Demandes[ID Donateur],A171))</f>
        <v>0</v>
      </c>
      <c r="AL171" s="75">
        <f>IF(A171="",0,COUNTIFS(tbl_Donateurs_Demandes[ID Donateur],A171,tbl_Donateurs_Demandes[Statut],"Approuvee")+COUNTIFS(tbl_Donateurs_Demandes[ID Donateur],A171,tbl_Donateurs_Demandes[Statut],"Financement recu"))</f>
        <v>0</v>
      </c>
      <c r="AM171" s="76">
        <f>IF(A171="",0,SUMIF(tbl_Donateurs_Demandes[ID Donateur],A171,tbl_Donateurs_Demandes[Montant demande]))</f>
        <v>0</v>
      </c>
      <c r="AN171" s="76">
        <f>IF(A171="",0,SUMIF(tbl_Donateurs_Demandes[ID Donateur],A171,tbl_Donateurs_Demandes[Montant accorde]))</f>
        <v>0</v>
      </c>
      <c r="AO171" s="76">
        <f>IF(A171="",0,SUMIF(tbl_Donateurs_Decaissements[ID Donateur],A171,tbl_Donateurs_Decaissements[Montant recu]))</f>
        <v>0</v>
      </c>
      <c r="AP171" s="77" t="str">
        <f t="shared" si="16"/>
        <v/>
      </c>
      <c r="AQ171" s="75">
        <f>IF(A171="",0,COUNTIF(tbl_Donateurs_Contacts[ID Donateur],A171))</f>
        <v>0</v>
      </c>
      <c r="AR171" s="75">
        <f>IF(A171="",0,COUNTIF(tbl_Donateurs_Documents[ID Donateur],A171))</f>
        <v>0</v>
      </c>
      <c r="AS171" s="75">
        <f>IF(A171="",0,COUNTIF(tbl_Donateurs_Conventions[ID Donateur],A171))</f>
        <v>0</v>
      </c>
      <c r="AT171" s="83" t="str">
        <f ca="1">IFERROR(_xlfn.MAXIFS(tbl_Donateurs_Decaissements[Date recue],tbl_Donateurs_Decaissements[ID Donateur],A171),"")</f>
        <v/>
      </c>
      <c r="AU171" s="76" t="str">
        <f t="shared" si="19"/>
        <v/>
      </c>
      <c r="AV171" s="75" t="str">
        <f t="shared" ca="1" si="17"/>
        <v/>
      </c>
      <c r="AW171" s="75" t="str">
        <f t="shared" si="18"/>
        <v/>
      </c>
      <c r="AX171" s="81"/>
    </row>
    <row r="172" spans="1:50" ht="15" customHeight="1">
      <c r="A172" s="75" t="str">
        <f t="shared" si="15"/>
        <v/>
      </c>
      <c r="B172" s="81"/>
      <c r="C172" s="81"/>
      <c r="D172" s="81"/>
      <c r="E172" s="81"/>
      <c r="F172" s="81"/>
      <c r="G172" s="81"/>
      <c r="H172" s="81"/>
      <c r="I172" s="81"/>
      <c r="J172" s="81"/>
      <c r="K172" s="81"/>
      <c r="L172" s="81"/>
      <c r="M172" s="81"/>
      <c r="N172" s="81"/>
      <c r="O172" s="81"/>
      <c r="P172" s="81"/>
      <c r="Q172" s="81"/>
      <c r="R172" s="81"/>
      <c r="S172" s="81"/>
      <c r="T172" s="81"/>
      <c r="U172" s="81"/>
      <c r="V172" s="81"/>
      <c r="W172" s="81"/>
      <c r="X172" s="81"/>
      <c r="Y172" s="75" t="str">
        <f>IFERROR(INDEX(PARAMETRES!$B$536:$B$586,MATCH(X172,PARAMETRES!$J$536:$J$586,0)),"")</f>
        <v/>
      </c>
      <c r="Z172" s="75" t="str">
        <f>IFERROR(INDEX(PARAMETRES!$D$536:$D$586,MATCH(X172,PARAMETRES!$J$536:$J$586,0)),"")</f>
        <v/>
      </c>
      <c r="AA172" s="75" t="str">
        <f>IFERROR(INDEX(PARAMETRES!$F$536:$F$586,MATCH(X172,PARAMETRES!$J$536:$J$586,0)),"")</f>
        <v/>
      </c>
      <c r="AB172" s="81"/>
      <c r="AC172" s="82"/>
      <c r="AD172" s="81"/>
      <c r="AE172" s="82"/>
      <c r="AF172" s="82"/>
      <c r="AG172" s="81"/>
      <c r="AH172" s="81"/>
      <c r="AI172" s="75">
        <f>IF(A172="",0,COUNTIF(tbl_Donateurs_Opportunites[ID Donateur],A172))</f>
        <v>0</v>
      </c>
      <c r="AJ172" s="75">
        <f>IF(A172="",0,COUNTIFS(tbl_Donateurs_Opportunites[ID Donateur],A172,tbl_Donateurs_Opportunites[Statut],"Ouverte"))</f>
        <v>0</v>
      </c>
      <c r="AK172" s="75">
        <f>IF(A172="",0,COUNTIF(tbl_Donateurs_Demandes[ID Donateur],A172))</f>
        <v>0</v>
      </c>
      <c r="AL172" s="75">
        <f>IF(A172="",0,COUNTIFS(tbl_Donateurs_Demandes[ID Donateur],A172,tbl_Donateurs_Demandes[Statut],"Approuvee")+COUNTIFS(tbl_Donateurs_Demandes[ID Donateur],A172,tbl_Donateurs_Demandes[Statut],"Financement recu"))</f>
        <v>0</v>
      </c>
      <c r="AM172" s="76">
        <f>IF(A172="",0,SUMIF(tbl_Donateurs_Demandes[ID Donateur],A172,tbl_Donateurs_Demandes[Montant demande]))</f>
        <v>0</v>
      </c>
      <c r="AN172" s="76">
        <f>IF(A172="",0,SUMIF(tbl_Donateurs_Demandes[ID Donateur],A172,tbl_Donateurs_Demandes[Montant accorde]))</f>
        <v>0</v>
      </c>
      <c r="AO172" s="76">
        <f>IF(A172="",0,SUMIF(tbl_Donateurs_Decaissements[ID Donateur],A172,tbl_Donateurs_Decaissements[Montant recu]))</f>
        <v>0</v>
      </c>
      <c r="AP172" s="77" t="str">
        <f t="shared" si="16"/>
        <v/>
      </c>
      <c r="AQ172" s="75">
        <f>IF(A172="",0,COUNTIF(tbl_Donateurs_Contacts[ID Donateur],A172))</f>
        <v>0</v>
      </c>
      <c r="AR172" s="75">
        <f>IF(A172="",0,COUNTIF(tbl_Donateurs_Documents[ID Donateur],A172))</f>
        <v>0</v>
      </c>
      <c r="AS172" s="75">
        <f>IF(A172="",0,COUNTIF(tbl_Donateurs_Conventions[ID Donateur],A172))</f>
        <v>0</v>
      </c>
      <c r="AT172" s="83" t="str">
        <f ca="1">IFERROR(_xlfn.MAXIFS(tbl_Donateurs_Decaissements[Date recue],tbl_Donateurs_Decaissements[ID Donateur],A172),"")</f>
        <v/>
      </c>
      <c r="AU172" s="76" t="str">
        <f t="shared" si="19"/>
        <v/>
      </c>
      <c r="AV172" s="75" t="str">
        <f t="shared" ca="1" si="17"/>
        <v/>
      </c>
      <c r="AW172" s="75" t="str">
        <f t="shared" si="18"/>
        <v/>
      </c>
      <c r="AX172" s="81"/>
    </row>
    <row r="173" spans="1:50" ht="15" customHeight="1">
      <c r="A173" s="75" t="str">
        <f t="shared" si="15"/>
        <v/>
      </c>
      <c r="B173" s="81"/>
      <c r="C173" s="81"/>
      <c r="D173" s="81"/>
      <c r="E173" s="81"/>
      <c r="F173" s="81"/>
      <c r="G173" s="81"/>
      <c r="H173" s="81"/>
      <c r="I173" s="81"/>
      <c r="J173" s="81"/>
      <c r="K173" s="81"/>
      <c r="L173" s="81"/>
      <c r="M173" s="81"/>
      <c r="N173" s="81"/>
      <c r="O173" s="81"/>
      <c r="P173" s="81"/>
      <c r="Q173" s="81"/>
      <c r="R173" s="81"/>
      <c r="S173" s="81"/>
      <c r="T173" s="81"/>
      <c r="U173" s="81"/>
      <c r="V173" s="81"/>
      <c r="W173" s="81"/>
      <c r="X173" s="81"/>
      <c r="Y173" s="75" t="str">
        <f>IFERROR(INDEX(PARAMETRES!$B$536:$B$586,MATCH(X173,PARAMETRES!$J$536:$J$586,0)),"")</f>
        <v/>
      </c>
      <c r="Z173" s="75" t="str">
        <f>IFERROR(INDEX(PARAMETRES!$D$536:$D$586,MATCH(X173,PARAMETRES!$J$536:$J$586,0)),"")</f>
        <v/>
      </c>
      <c r="AA173" s="75" t="str">
        <f>IFERROR(INDEX(PARAMETRES!$F$536:$F$586,MATCH(X173,PARAMETRES!$J$536:$J$586,0)),"")</f>
        <v/>
      </c>
      <c r="AB173" s="81"/>
      <c r="AC173" s="82"/>
      <c r="AD173" s="81"/>
      <c r="AE173" s="82"/>
      <c r="AF173" s="82"/>
      <c r="AG173" s="81"/>
      <c r="AH173" s="81"/>
      <c r="AI173" s="75">
        <f>IF(A173="",0,COUNTIF(tbl_Donateurs_Opportunites[ID Donateur],A173))</f>
        <v>0</v>
      </c>
      <c r="AJ173" s="75">
        <f>IF(A173="",0,COUNTIFS(tbl_Donateurs_Opportunites[ID Donateur],A173,tbl_Donateurs_Opportunites[Statut],"Ouverte"))</f>
        <v>0</v>
      </c>
      <c r="AK173" s="75">
        <f>IF(A173="",0,COUNTIF(tbl_Donateurs_Demandes[ID Donateur],A173))</f>
        <v>0</v>
      </c>
      <c r="AL173" s="75">
        <f>IF(A173="",0,COUNTIFS(tbl_Donateurs_Demandes[ID Donateur],A173,tbl_Donateurs_Demandes[Statut],"Approuvee")+COUNTIFS(tbl_Donateurs_Demandes[ID Donateur],A173,tbl_Donateurs_Demandes[Statut],"Financement recu"))</f>
        <v>0</v>
      </c>
      <c r="AM173" s="76">
        <f>IF(A173="",0,SUMIF(tbl_Donateurs_Demandes[ID Donateur],A173,tbl_Donateurs_Demandes[Montant demande]))</f>
        <v>0</v>
      </c>
      <c r="AN173" s="76">
        <f>IF(A173="",0,SUMIF(tbl_Donateurs_Demandes[ID Donateur],A173,tbl_Donateurs_Demandes[Montant accorde]))</f>
        <v>0</v>
      </c>
      <c r="AO173" s="76">
        <f>IF(A173="",0,SUMIF(tbl_Donateurs_Decaissements[ID Donateur],A173,tbl_Donateurs_Decaissements[Montant recu]))</f>
        <v>0</v>
      </c>
      <c r="AP173" s="77" t="str">
        <f t="shared" si="16"/>
        <v/>
      </c>
      <c r="AQ173" s="75">
        <f>IF(A173="",0,COUNTIF(tbl_Donateurs_Contacts[ID Donateur],A173))</f>
        <v>0</v>
      </c>
      <c r="AR173" s="75">
        <f>IF(A173="",0,COUNTIF(tbl_Donateurs_Documents[ID Donateur],A173))</f>
        <v>0</v>
      </c>
      <c r="AS173" s="75">
        <f>IF(A173="",0,COUNTIF(tbl_Donateurs_Conventions[ID Donateur],A173))</f>
        <v>0</v>
      </c>
      <c r="AT173" s="83" t="str">
        <f ca="1">IFERROR(_xlfn.MAXIFS(tbl_Donateurs_Decaissements[Date recue],tbl_Donateurs_Decaissements[ID Donateur],A173),"")</f>
        <v/>
      </c>
      <c r="AU173" s="76" t="str">
        <f t="shared" si="19"/>
        <v/>
      </c>
      <c r="AV173" s="75" t="str">
        <f t="shared" ca="1" si="17"/>
        <v/>
      </c>
      <c r="AW173" s="75" t="str">
        <f t="shared" si="18"/>
        <v/>
      </c>
      <c r="AX173" s="81"/>
    </row>
    <row r="174" spans="1:50" ht="15" customHeight="1">
      <c r="A174" s="75" t="str">
        <f t="shared" si="15"/>
        <v/>
      </c>
      <c r="B174" s="81"/>
      <c r="C174" s="81"/>
      <c r="D174" s="81"/>
      <c r="E174" s="81"/>
      <c r="F174" s="81"/>
      <c r="G174" s="81"/>
      <c r="H174" s="81"/>
      <c r="I174" s="81"/>
      <c r="J174" s="81"/>
      <c r="K174" s="81"/>
      <c r="L174" s="81"/>
      <c r="M174" s="81"/>
      <c r="N174" s="81"/>
      <c r="O174" s="81"/>
      <c r="P174" s="81"/>
      <c r="Q174" s="81"/>
      <c r="R174" s="81"/>
      <c r="S174" s="81"/>
      <c r="T174" s="81"/>
      <c r="U174" s="81"/>
      <c r="V174" s="81"/>
      <c r="W174" s="81"/>
      <c r="X174" s="81"/>
      <c r="Y174" s="75" t="str">
        <f>IFERROR(INDEX(PARAMETRES!$B$536:$B$586,MATCH(X174,PARAMETRES!$J$536:$J$586,0)),"")</f>
        <v/>
      </c>
      <c r="Z174" s="75" t="str">
        <f>IFERROR(INDEX(PARAMETRES!$D$536:$D$586,MATCH(X174,PARAMETRES!$J$536:$J$586,0)),"")</f>
        <v/>
      </c>
      <c r="AA174" s="75" t="str">
        <f>IFERROR(INDEX(PARAMETRES!$F$536:$F$586,MATCH(X174,PARAMETRES!$J$536:$J$586,0)),"")</f>
        <v/>
      </c>
      <c r="AB174" s="81"/>
      <c r="AC174" s="82"/>
      <c r="AD174" s="81"/>
      <c r="AE174" s="82"/>
      <c r="AF174" s="82"/>
      <c r="AG174" s="81"/>
      <c r="AH174" s="81"/>
      <c r="AI174" s="75">
        <f>IF(A174="",0,COUNTIF(tbl_Donateurs_Opportunites[ID Donateur],A174))</f>
        <v>0</v>
      </c>
      <c r="AJ174" s="75">
        <f>IF(A174="",0,COUNTIFS(tbl_Donateurs_Opportunites[ID Donateur],A174,tbl_Donateurs_Opportunites[Statut],"Ouverte"))</f>
        <v>0</v>
      </c>
      <c r="AK174" s="75">
        <f>IF(A174="",0,COUNTIF(tbl_Donateurs_Demandes[ID Donateur],A174))</f>
        <v>0</v>
      </c>
      <c r="AL174" s="75">
        <f>IF(A174="",0,COUNTIFS(tbl_Donateurs_Demandes[ID Donateur],A174,tbl_Donateurs_Demandes[Statut],"Approuvee")+COUNTIFS(tbl_Donateurs_Demandes[ID Donateur],A174,tbl_Donateurs_Demandes[Statut],"Financement recu"))</f>
        <v>0</v>
      </c>
      <c r="AM174" s="76">
        <f>IF(A174="",0,SUMIF(tbl_Donateurs_Demandes[ID Donateur],A174,tbl_Donateurs_Demandes[Montant demande]))</f>
        <v>0</v>
      </c>
      <c r="AN174" s="76">
        <f>IF(A174="",0,SUMIF(tbl_Donateurs_Demandes[ID Donateur],A174,tbl_Donateurs_Demandes[Montant accorde]))</f>
        <v>0</v>
      </c>
      <c r="AO174" s="76">
        <f>IF(A174="",0,SUMIF(tbl_Donateurs_Decaissements[ID Donateur],A174,tbl_Donateurs_Decaissements[Montant recu]))</f>
        <v>0</v>
      </c>
      <c r="AP174" s="77" t="str">
        <f t="shared" si="16"/>
        <v/>
      </c>
      <c r="AQ174" s="75">
        <f>IF(A174="",0,COUNTIF(tbl_Donateurs_Contacts[ID Donateur],A174))</f>
        <v>0</v>
      </c>
      <c r="AR174" s="75">
        <f>IF(A174="",0,COUNTIF(tbl_Donateurs_Documents[ID Donateur],A174))</f>
        <v>0</v>
      </c>
      <c r="AS174" s="75">
        <f>IF(A174="",0,COUNTIF(tbl_Donateurs_Conventions[ID Donateur],A174))</f>
        <v>0</v>
      </c>
      <c r="AT174" s="83" t="str">
        <f ca="1">IFERROR(_xlfn.MAXIFS(tbl_Donateurs_Decaissements[Date recue],tbl_Donateurs_Decaissements[ID Donateur],A174),"")</f>
        <v/>
      </c>
      <c r="AU174" s="76" t="str">
        <f t="shared" si="19"/>
        <v/>
      </c>
      <c r="AV174" s="75" t="str">
        <f t="shared" ca="1" si="17"/>
        <v/>
      </c>
      <c r="AW174" s="75" t="str">
        <f t="shared" si="18"/>
        <v/>
      </c>
      <c r="AX174" s="81"/>
    </row>
    <row r="175" spans="1:50" ht="15" customHeight="1">
      <c r="A175" s="75" t="str">
        <f t="shared" si="15"/>
        <v/>
      </c>
      <c r="B175" s="81"/>
      <c r="C175" s="81"/>
      <c r="D175" s="81"/>
      <c r="E175" s="81"/>
      <c r="F175" s="81"/>
      <c r="G175" s="81"/>
      <c r="H175" s="81"/>
      <c r="I175" s="81"/>
      <c r="J175" s="81"/>
      <c r="K175" s="81"/>
      <c r="L175" s="81"/>
      <c r="M175" s="81"/>
      <c r="N175" s="81"/>
      <c r="O175" s="81"/>
      <c r="P175" s="81"/>
      <c r="Q175" s="81"/>
      <c r="R175" s="81"/>
      <c r="S175" s="81"/>
      <c r="T175" s="81"/>
      <c r="U175" s="81"/>
      <c r="V175" s="81"/>
      <c r="W175" s="81"/>
      <c r="X175" s="81"/>
      <c r="Y175" s="75" t="str">
        <f>IFERROR(INDEX(PARAMETRES!$B$536:$B$586,MATCH(X175,PARAMETRES!$J$536:$J$586,0)),"")</f>
        <v/>
      </c>
      <c r="Z175" s="75" t="str">
        <f>IFERROR(INDEX(PARAMETRES!$D$536:$D$586,MATCH(X175,PARAMETRES!$J$536:$J$586,0)),"")</f>
        <v/>
      </c>
      <c r="AA175" s="75" t="str">
        <f>IFERROR(INDEX(PARAMETRES!$F$536:$F$586,MATCH(X175,PARAMETRES!$J$536:$J$586,0)),"")</f>
        <v/>
      </c>
      <c r="AB175" s="81"/>
      <c r="AC175" s="82"/>
      <c r="AD175" s="81"/>
      <c r="AE175" s="82"/>
      <c r="AF175" s="82"/>
      <c r="AG175" s="81"/>
      <c r="AH175" s="81"/>
      <c r="AI175" s="75">
        <f>IF(A175="",0,COUNTIF(tbl_Donateurs_Opportunites[ID Donateur],A175))</f>
        <v>0</v>
      </c>
      <c r="AJ175" s="75">
        <f>IF(A175="",0,COUNTIFS(tbl_Donateurs_Opportunites[ID Donateur],A175,tbl_Donateurs_Opportunites[Statut],"Ouverte"))</f>
        <v>0</v>
      </c>
      <c r="AK175" s="75">
        <f>IF(A175="",0,COUNTIF(tbl_Donateurs_Demandes[ID Donateur],A175))</f>
        <v>0</v>
      </c>
      <c r="AL175" s="75">
        <f>IF(A175="",0,COUNTIFS(tbl_Donateurs_Demandes[ID Donateur],A175,tbl_Donateurs_Demandes[Statut],"Approuvee")+COUNTIFS(tbl_Donateurs_Demandes[ID Donateur],A175,tbl_Donateurs_Demandes[Statut],"Financement recu"))</f>
        <v>0</v>
      </c>
      <c r="AM175" s="76">
        <f>IF(A175="",0,SUMIF(tbl_Donateurs_Demandes[ID Donateur],A175,tbl_Donateurs_Demandes[Montant demande]))</f>
        <v>0</v>
      </c>
      <c r="AN175" s="76">
        <f>IF(A175="",0,SUMIF(tbl_Donateurs_Demandes[ID Donateur],A175,tbl_Donateurs_Demandes[Montant accorde]))</f>
        <v>0</v>
      </c>
      <c r="AO175" s="76">
        <f>IF(A175="",0,SUMIF(tbl_Donateurs_Decaissements[ID Donateur],A175,tbl_Donateurs_Decaissements[Montant recu]))</f>
        <v>0</v>
      </c>
      <c r="AP175" s="77" t="str">
        <f t="shared" si="16"/>
        <v/>
      </c>
      <c r="AQ175" s="75">
        <f>IF(A175="",0,COUNTIF(tbl_Donateurs_Contacts[ID Donateur],A175))</f>
        <v>0</v>
      </c>
      <c r="AR175" s="75">
        <f>IF(A175="",0,COUNTIF(tbl_Donateurs_Documents[ID Donateur],A175))</f>
        <v>0</v>
      </c>
      <c r="AS175" s="75">
        <f>IF(A175="",0,COUNTIF(tbl_Donateurs_Conventions[ID Donateur],A175))</f>
        <v>0</v>
      </c>
      <c r="AT175" s="83" t="str">
        <f ca="1">IFERROR(_xlfn.MAXIFS(tbl_Donateurs_Decaissements[Date recue],tbl_Donateurs_Decaissements[ID Donateur],A175),"")</f>
        <v/>
      </c>
      <c r="AU175" s="76" t="str">
        <f t="shared" si="19"/>
        <v/>
      </c>
      <c r="AV175" s="75" t="str">
        <f t="shared" ca="1" si="17"/>
        <v/>
      </c>
      <c r="AW175" s="75" t="str">
        <f t="shared" si="18"/>
        <v/>
      </c>
      <c r="AX175" s="81"/>
    </row>
    <row r="176" spans="1:50" ht="15" customHeight="1">
      <c r="A176" s="75" t="str">
        <f t="shared" si="15"/>
        <v/>
      </c>
      <c r="B176" s="81"/>
      <c r="C176" s="81"/>
      <c r="D176" s="81"/>
      <c r="E176" s="81"/>
      <c r="F176" s="81"/>
      <c r="G176" s="81"/>
      <c r="H176" s="81"/>
      <c r="I176" s="81"/>
      <c r="J176" s="81"/>
      <c r="K176" s="81"/>
      <c r="L176" s="81"/>
      <c r="M176" s="81"/>
      <c r="N176" s="81"/>
      <c r="O176" s="81"/>
      <c r="P176" s="81"/>
      <c r="Q176" s="81"/>
      <c r="R176" s="81"/>
      <c r="S176" s="81"/>
      <c r="T176" s="81"/>
      <c r="U176" s="81"/>
      <c r="V176" s="81"/>
      <c r="W176" s="81"/>
      <c r="X176" s="81"/>
      <c r="Y176" s="75" t="str">
        <f>IFERROR(INDEX(PARAMETRES!$B$536:$B$586,MATCH(X176,PARAMETRES!$J$536:$J$586,0)),"")</f>
        <v/>
      </c>
      <c r="Z176" s="75" t="str">
        <f>IFERROR(INDEX(PARAMETRES!$D$536:$D$586,MATCH(X176,PARAMETRES!$J$536:$J$586,0)),"")</f>
        <v/>
      </c>
      <c r="AA176" s="75" t="str">
        <f>IFERROR(INDEX(PARAMETRES!$F$536:$F$586,MATCH(X176,PARAMETRES!$J$536:$J$586,0)),"")</f>
        <v/>
      </c>
      <c r="AB176" s="81"/>
      <c r="AC176" s="82"/>
      <c r="AD176" s="81"/>
      <c r="AE176" s="82"/>
      <c r="AF176" s="82"/>
      <c r="AG176" s="81"/>
      <c r="AH176" s="81"/>
      <c r="AI176" s="75">
        <f>IF(A176="",0,COUNTIF(tbl_Donateurs_Opportunites[ID Donateur],A176))</f>
        <v>0</v>
      </c>
      <c r="AJ176" s="75">
        <f>IF(A176="",0,COUNTIFS(tbl_Donateurs_Opportunites[ID Donateur],A176,tbl_Donateurs_Opportunites[Statut],"Ouverte"))</f>
        <v>0</v>
      </c>
      <c r="AK176" s="75">
        <f>IF(A176="",0,COUNTIF(tbl_Donateurs_Demandes[ID Donateur],A176))</f>
        <v>0</v>
      </c>
      <c r="AL176" s="75">
        <f>IF(A176="",0,COUNTIFS(tbl_Donateurs_Demandes[ID Donateur],A176,tbl_Donateurs_Demandes[Statut],"Approuvee")+COUNTIFS(tbl_Donateurs_Demandes[ID Donateur],A176,tbl_Donateurs_Demandes[Statut],"Financement recu"))</f>
        <v>0</v>
      </c>
      <c r="AM176" s="76">
        <f>IF(A176="",0,SUMIF(tbl_Donateurs_Demandes[ID Donateur],A176,tbl_Donateurs_Demandes[Montant demande]))</f>
        <v>0</v>
      </c>
      <c r="AN176" s="76">
        <f>IF(A176="",0,SUMIF(tbl_Donateurs_Demandes[ID Donateur],A176,tbl_Donateurs_Demandes[Montant accorde]))</f>
        <v>0</v>
      </c>
      <c r="AO176" s="76">
        <f>IF(A176="",0,SUMIF(tbl_Donateurs_Decaissements[ID Donateur],A176,tbl_Donateurs_Decaissements[Montant recu]))</f>
        <v>0</v>
      </c>
      <c r="AP176" s="77" t="str">
        <f t="shared" si="16"/>
        <v/>
      </c>
      <c r="AQ176" s="75">
        <f>IF(A176="",0,COUNTIF(tbl_Donateurs_Contacts[ID Donateur],A176))</f>
        <v>0</v>
      </c>
      <c r="AR176" s="75">
        <f>IF(A176="",0,COUNTIF(tbl_Donateurs_Documents[ID Donateur],A176))</f>
        <v>0</v>
      </c>
      <c r="AS176" s="75">
        <f>IF(A176="",0,COUNTIF(tbl_Donateurs_Conventions[ID Donateur],A176))</f>
        <v>0</v>
      </c>
      <c r="AT176" s="83" t="str">
        <f ca="1">IFERROR(_xlfn.MAXIFS(tbl_Donateurs_Decaissements[Date recue],tbl_Donateurs_Decaissements[ID Donateur],A176),"")</f>
        <v/>
      </c>
      <c r="AU176" s="76" t="str">
        <f t="shared" si="19"/>
        <v/>
      </c>
      <c r="AV176" s="75" t="str">
        <f t="shared" ca="1" si="17"/>
        <v/>
      </c>
      <c r="AW176" s="75" t="str">
        <f t="shared" si="18"/>
        <v/>
      </c>
      <c r="AX176" s="81"/>
    </row>
    <row r="177" spans="1:50" ht="15" customHeight="1">
      <c r="A177" s="75" t="str">
        <f t="shared" si="15"/>
        <v/>
      </c>
      <c r="B177" s="81"/>
      <c r="C177" s="81"/>
      <c r="D177" s="81"/>
      <c r="E177" s="81"/>
      <c r="F177" s="81"/>
      <c r="G177" s="81"/>
      <c r="H177" s="81"/>
      <c r="I177" s="81"/>
      <c r="J177" s="81"/>
      <c r="K177" s="81"/>
      <c r="L177" s="81"/>
      <c r="M177" s="81"/>
      <c r="N177" s="81"/>
      <c r="O177" s="81"/>
      <c r="P177" s="81"/>
      <c r="Q177" s="81"/>
      <c r="R177" s="81"/>
      <c r="S177" s="81"/>
      <c r="T177" s="81"/>
      <c r="U177" s="81"/>
      <c r="V177" s="81"/>
      <c r="W177" s="81"/>
      <c r="X177" s="81"/>
      <c r="Y177" s="75" t="str">
        <f>IFERROR(INDEX(PARAMETRES!$B$536:$B$586,MATCH(X177,PARAMETRES!$J$536:$J$586,0)),"")</f>
        <v/>
      </c>
      <c r="Z177" s="75" t="str">
        <f>IFERROR(INDEX(PARAMETRES!$D$536:$D$586,MATCH(X177,PARAMETRES!$J$536:$J$586,0)),"")</f>
        <v/>
      </c>
      <c r="AA177" s="75" t="str">
        <f>IFERROR(INDEX(PARAMETRES!$F$536:$F$586,MATCH(X177,PARAMETRES!$J$536:$J$586,0)),"")</f>
        <v/>
      </c>
      <c r="AB177" s="81"/>
      <c r="AC177" s="82"/>
      <c r="AD177" s="81"/>
      <c r="AE177" s="82"/>
      <c r="AF177" s="82"/>
      <c r="AG177" s="81"/>
      <c r="AH177" s="81"/>
      <c r="AI177" s="75">
        <f>IF(A177="",0,COUNTIF(tbl_Donateurs_Opportunites[ID Donateur],A177))</f>
        <v>0</v>
      </c>
      <c r="AJ177" s="75">
        <f>IF(A177="",0,COUNTIFS(tbl_Donateurs_Opportunites[ID Donateur],A177,tbl_Donateurs_Opportunites[Statut],"Ouverte"))</f>
        <v>0</v>
      </c>
      <c r="AK177" s="75">
        <f>IF(A177="",0,COUNTIF(tbl_Donateurs_Demandes[ID Donateur],A177))</f>
        <v>0</v>
      </c>
      <c r="AL177" s="75">
        <f>IF(A177="",0,COUNTIFS(tbl_Donateurs_Demandes[ID Donateur],A177,tbl_Donateurs_Demandes[Statut],"Approuvee")+COUNTIFS(tbl_Donateurs_Demandes[ID Donateur],A177,tbl_Donateurs_Demandes[Statut],"Financement recu"))</f>
        <v>0</v>
      </c>
      <c r="AM177" s="76">
        <f>IF(A177="",0,SUMIF(tbl_Donateurs_Demandes[ID Donateur],A177,tbl_Donateurs_Demandes[Montant demande]))</f>
        <v>0</v>
      </c>
      <c r="AN177" s="76">
        <f>IF(A177="",0,SUMIF(tbl_Donateurs_Demandes[ID Donateur],A177,tbl_Donateurs_Demandes[Montant accorde]))</f>
        <v>0</v>
      </c>
      <c r="AO177" s="76">
        <f>IF(A177="",0,SUMIF(tbl_Donateurs_Decaissements[ID Donateur],A177,tbl_Donateurs_Decaissements[Montant recu]))</f>
        <v>0</v>
      </c>
      <c r="AP177" s="77" t="str">
        <f t="shared" si="16"/>
        <v/>
      </c>
      <c r="AQ177" s="75">
        <f>IF(A177="",0,COUNTIF(tbl_Donateurs_Contacts[ID Donateur],A177))</f>
        <v>0</v>
      </c>
      <c r="AR177" s="75">
        <f>IF(A177="",0,COUNTIF(tbl_Donateurs_Documents[ID Donateur],A177))</f>
        <v>0</v>
      </c>
      <c r="AS177" s="75">
        <f>IF(A177="",0,COUNTIF(tbl_Donateurs_Conventions[ID Donateur],A177))</f>
        <v>0</v>
      </c>
      <c r="AT177" s="83" t="str">
        <f ca="1">IFERROR(_xlfn.MAXIFS(tbl_Donateurs_Decaissements[Date recue],tbl_Donateurs_Decaissements[ID Donateur],A177),"")</f>
        <v/>
      </c>
      <c r="AU177" s="76" t="str">
        <f t="shared" si="19"/>
        <v/>
      </c>
      <c r="AV177" s="75" t="str">
        <f t="shared" ca="1" si="17"/>
        <v/>
      </c>
      <c r="AW177" s="75" t="str">
        <f t="shared" si="18"/>
        <v/>
      </c>
      <c r="AX177" s="81"/>
    </row>
    <row r="178" spans="1:50" ht="15" customHeight="1">
      <c r="A178" s="75" t="str">
        <f t="shared" si="15"/>
        <v/>
      </c>
      <c r="B178" s="81"/>
      <c r="C178" s="81"/>
      <c r="D178" s="81"/>
      <c r="E178" s="81"/>
      <c r="F178" s="81"/>
      <c r="G178" s="81"/>
      <c r="H178" s="81"/>
      <c r="I178" s="81"/>
      <c r="J178" s="81"/>
      <c r="K178" s="81"/>
      <c r="L178" s="81"/>
      <c r="M178" s="81"/>
      <c r="N178" s="81"/>
      <c r="O178" s="81"/>
      <c r="P178" s="81"/>
      <c r="Q178" s="81"/>
      <c r="R178" s="81"/>
      <c r="S178" s="81"/>
      <c r="T178" s="81"/>
      <c r="U178" s="81"/>
      <c r="V178" s="81"/>
      <c r="W178" s="81"/>
      <c r="X178" s="81"/>
      <c r="Y178" s="75" t="str">
        <f>IFERROR(INDEX(PARAMETRES!$B$536:$B$586,MATCH(X178,PARAMETRES!$J$536:$J$586,0)),"")</f>
        <v/>
      </c>
      <c r="Z178" s="75" t="str">
        <f>IFERROR(INDEX(PARAMETRES!$D$536:$D$586,MATCH(X178,PARAMETRES!$J$536:$J$586,0)),"")</f>
        <v/>
      </c>
      <c r="AA178" s="75" t="str">
        <f>IFERROR(INDEX(PARAMETRES!$F$536:$F$586,MATCH(X178,PARAMETRES!$J$536:$J$586,0)),"")</f>
        <v/>
      </c>
      <c r="AB178" s="81"/>
      <c r="AC178" s="82"/>
      <c r="AD178" s="81"/>
      <c r="AE178" s="82"/>
      <c r="AF178" s="82"/>
      <c r="AG178" s="81"/>
      <c r="AH178" s="81"/>
      <c r="AI178" s="75">
        <f>IF(A178="",0,COUNTIF(tbl_Donateurs_Opportunites[ID Donateur],A178))</f>
        <v>0</v>
      </c>
      <c r="AJ178" s="75">
        <f>IF(A178="",0,COUNTIFS(tbl_Donateurs_Opportunites[ID Donateur],A178,tbl_Donateurs_Opportunites[Statut],"Ouverte"))</f>
        <v>0</v>
      </c>
      <c r="AK178" s="75">
        <f>IF(A178="",0,COUNTIF(tbl_Donateurs_Demandes[ID Donateur],A178))</f>
        <v>0</v>
      </c>
      <c r="AL178" s="75">
        <f>IF(A178="",0,COUNTIFS(tbl_Donateurs_Demandes[ID Donateur],A178,tbl_Donateurs_Demandes[Statut],"Approuvee")+COUNTIFS(tbl_Donateurs_Demandes[ID Donateur],A178,tbl_Donateurs_Demandes[Statut],"Financement recu"))</f>
        <v>0</v>
      </c>
      <c r="AM178" s="76">
        <f>IF(A178="",0,SUMIF(tbl_Donateurs_Demandes[ID Donateur],A178,tbl_Donateurs_Demandes[Montant demande]))</f>
        <v>0</v>
      </c>
      <c r="AN178" s="76">
        <f>IF(A178="",0,SUMIF(tbl_Donateurs_Demandes[ID Donateur],A178,tbl_Donateurs_Demandes[Montant accorde]))</f>
        <v>0</v>
      </c>
      <c r="AO178" s="76">
        <f>IF(A178="",0,SUMIF(tbl_Donateurs_Decaissements[ID Donateur],A178,tbl_Donateurs_Decaissements[Montant recu]))</f>
        <v>0</v>
      </c>
      <c r="AP178" s="77" t="str">
        <f t="shared" si="16"/>
        <v/>
      </c>
      <c r="AQ178" s="75">
        <f>IF(A178="",0,COUNTIF(tbl_Donateurs_Contacts[ID Donateur],A178))</f>
        <v>0</v>
      </c>
      <c r="AR178" s="75">
        <f>IF(A178="",0,COUNTIF(tbl_Donateurs_Documents[ID Donateur],A178))</f>
        <v>0</v>
      </c>
      <c r="AS178" s="75">
        <f>IF(A178="",0,COUNTIF(tbl_Donateurs_Conventions[ID Donateur],A178))</f>
        <v>0</v>
      </c>
      <c r="AT178" s="83" t="str">
        <f ca="1">IFERROR(_xlfn.MAXIFS(tbl_Donateurs_Decaissements[Date recue],tbl_Donateurs_Decaissements[ID Donateur],A178),"")</f>
        <v/>
      </c>
      <c r="AU178" s="76" t="str">
        <f t="shared" si="19"/>
        <v/>
      </c>
      <c r="AV178" s="75" t="str">
        <f t="shared" ca="1" si="17"/>
        <v/>
      </c>
      <c r="AW178" s="75" t="str">
        <f t="shared" si="18"/>
        <v/>
      </c>
      <c r="AX178" s="81"/>
    </row>
    <row r="179" spans="1:50" ht="15" customHeight="1">
      <c r="A179" s="75" t="str">
        <f t="shared" si="15"/>
        <v/>
      </c>
      <c r="B179" s="81"/>
      <c r="C179" s="81"/>
      <c r="D179" s="81"/>
      <c r="E179" s="81"/>
      <c r="F179" s="81"/>
      <c r="G179" s="81"/>
      <c r="H179" s="81"/>
      <c r="I179" s="81"/>
      <c r="J179" s="81"/>
      <c r="K179" s="81"/>
      <c r="L179" s="81"/>
      <c r="M179" s="81"/>
      <c r="N179" s="81"/>
      <c r="O179" s="81"/>
      <c r="P179" s="81"/>
      <c r="Q179" s="81"/>
      <c r="R179" s="81"/>
      <c r="S179" s="81"/>
      <c r="T179" s="81"/>
      <c r="U179" s="81"/>
      <c r="V179" s="81"/>
      <c r="W179" s="81"/>
      <c r="X179" s="81"/>
      <c r="Y179" s="75" t="str">
        <f>IFERROR(INDEX(PARAMETRES!$B$536:$B$586,MATCH(X179,PARAMETRES!$J$536:$J$586,0)),"")</f>
        <v/>
      </c>
      <c r="Z179" s="75" t="str">
        <f>IFERROR(INDEX(PARAMETRES!$D$536:$D$586,MATCH(X179,PARAMETRES!$J$536:$J$586,0)),"")</f>
        <v/>
      </c>
      <c r="AA179" s="75" t="str">
        <f>IFERROR(INDEX(PARAMETRES!$F$536:$F$586,MATCH(X179,PARAMETRES!$J$536:$J$586,0)),"")</f>
        <v/>
      </c>
      <c r="AB179" s="81"/>
      <c r="AC179" s="82"/>
      <c r="AD179" s="81"/>
      <c r="AE179" s="82"/>
      <c r="AF179" s="82"/>
      <c r="AG179" s="81"/>
      <c r="AH179" s="81"/>
      <c r="AI179" s="75">
        <f>IF(A179="",0,COUNTIF(tbl_Donateurs_Opportunites[ID Donateur],A179))</f>
        <v>0</v>
      </c>
      <c r="AJ179" s="75">
        <f>IF(A179="",0,COUNTIFS(tbl_Donateurs_Opportunites[ID Donateur],A179,tbl_Donateurs_Opportunites[Statut],"Ouverte"))</f>
        <v>0</v>
      </c>
      <c r="AK179" s="75">
        <f>IF(A179="",0,COUNTIF(tbl_Donateurs_Demandes[ID Donateur],A179))</f>
        <v>0</v>
      </c>
      <c r="AL179" s="75">
        <f>IF(A179="",0,COUNTIFS(tbl_Donateurs_Demandes[ID Donateur],A179,tbl_Donateurs_Demandes[Statut],"Approuvee")+COUNTIFS(tbl_Donateurs_Demandes[ID Donateur],A179,tbl_Donateurs_Demandes[Statut],"Financement recu"))</f>
        <v>0</v>
      </c>
      <c r="AM179" s="76">
        <f>IF(A179="",0,SUMIF(tbl_Donateurs_Demandes[ID Donateur],A179,tbl_Donateurs_Demandes[Montant demande]))</f>
        <v>0</v>
      </c>
      <c r="AN179" s="76">
        <f>IF(A179="",0,SUMIF(tbl_Donateurs_Demandes[ID Donateur],A179,tbl_Donateurs_Demandes[Montant accorde]))</f>
        <v>0</v>
      </c>
      <c r="AO179" s="76">
        <f>IF(A179="",0,SUMIF(tbl_Donateurs_Decaissements[ID Donateur],A179,tbl_Donateurs_Decaissements[Montant recu]))</f>
        <v>0</v>
      </c>
      <c r="AP179" s="77" t="str">
        <f t="shared" si="16"/>
        <v/>
      </c>
      <c r="AQ179" s="75">
        <f>IF(A179="",0,COUNTIF(tbl_Donateurs_Contacts[ID Donateur],A179))</f>
        <v>0</v>
      </c>
      <c r="AR179" s="75">
        <f>IF(A179="",0,COUNTIF(tbl_Donateurs_Documents[ID Donateur],A179))</f>
        <v>0</v>
      </c>
      <c r="AS179" s="75">
        <f>IF(A179="",0,COUNTIF(tbl_Donateurs_Conventions[ID Donateur],A179))</f>
        <v>0</v>
      </c>
      <c r="AT179" s="83" t="str">
        <f ca="1">IFERROR(_xlfn.MAXIFS(tbl_Donateurs_Decaissements[Date recue],tbl_Donateurs_Decaissements[ID Donateur],A179),"")</f>
        <v/>
      </c>
      <c r="AU179" s="76" t="str">
        <f t="shared" si="19"/>
        <v/>
      </c>
      <c r="AV179" s="75" t="str">
        <f t="shared" ca="1" si="17"/>
        <v/>
      </c>
      <c r="AW179" s="75" t="str">
        <f t="shared" si="18"/>
        <v/>
      </c>
      <c r="AX179" s="81"/>
    </row>
    <row r="180" spans="1:50" ht="15" customHeight="1">
      <c r="A180" s="75" t="str">
        <f t="shared" si="15"/>
        <v/>
      </c>
      <c r="B180" s="81"/>
      <c r="C180" s="81"/>
      <c r="D180" s="81"/>
      <c r="E180" s="81"/>
      <c r="F180" s="81"/>
      <c r="G180" s="81"/>
      <c r="H180" s="81"/>
      <c r="I180" s="81"/>
      <c r="J180" s="81"/>
      <c r="K180" s="81"/>
      <c r="L180" s="81"/>
      <c r="M180" s="81"/>
      <c r="N180" s="81"/>
      <c r="O180" s="81"/>
      <c r="P180" s="81"/>
      <c r="Q180" s="81"/>
      <c r="R180" s="81"/>
      <c r="S180" s="81"/>
      <c r="T180" s="81"/>
      <c r="U180" s="81"/>
      <c r="V180" s="81"/>
      <c r="W180" s="81"/>
      <c r="X180" s="81"/>
      <c r="Y180" s="75" t="str">
        <f>IFERROR(INDEX(PARAMETRES!$B$536:$B$586,MATCH(X180,PARAMETRES!$J$536:$J$586,0)),"")</f>
        <v/>
      </c>
      <c r="Z180" s="75" t="str">
        <f>IFERROR(INDEX(PARAMETRES!$D$536:$D$586,MATCH(X180,PARAMETRES!$J$536:$J$586,0)),"")</f>
        <v/>
      </c>
      <c r="AA180" s="75" t="str">
        <f>IFERROR(INDEX(PARAMETRES!$F$536:$F$586,MATCH(X180,PARAMETRES!$J$536:$J$586,0)),"")</f>
        <v/>
      </c>
      <c r="AB180" s="81"/>
      <c r="AC180" s="82"/>
      <c r="AD180" s="81"/>
      <c r="AE180" s="82"/>
      <c r="AF180" s="82"/>
      <c r="AG180" s="81"/>
      <c r="AH180" s="81"/>
      <c r="AI180" s="75">
        <f>IF(A180="",0,COUNTIF(tbl_Donateurs_Opportunites[ID Donateur],A180))</f>
        <v>0</v>
      </c>
      <c r="AJ180" s="75">
        <f>IF(A180="",0,COUNTIFS(tbl_Donateurs_Opportunites[ID Donateur],A180,tbl_Donateurs_Opportunites[Statut],"Ouverte"))</f>
        <v>0</v>
      </c>
      <c r="AK180" s="75">
        <f>IF(A180="",0,COUNTIF(tbl_Donateurs_Demandes[ID Donateur],A180))</f>
        <v>0</v>
      </c>
      <c r="AL180" s="75">
        <f>IF(A180="",0,COUNTIFS(tbl_Donateurs_Demandes[ID Donateur],A180,tbl_Donateurs_Demandes[Statut],"Approuvee")+COUNTIFS(tbl_Donateurs_Demandes[ID Donateur],A180,tbl_Donateurs_Demandes[Statut],"Financement recu"))</f>
        <v>0</v>
      </c>
      <c r="AM180" s="76">
        <f>IF(A180="",0,SUMIF(tbl_Donateurs_Demandes[ID Donateur],A180,tbl_Donateurs_Demandes[Montant demande]))</f>
        <v>0</v>
      </c>
      <c r="AN180" s="76">
        <f>IF(A180="",0,SUMIF(tbl_Donateurs_Demandes[ID Donateur],A180,tbl_Donateurs_Demandes[Montant accorde]))</f>
        <v>0</v>
      </c>
      <c r="AO180" s="76">
        <f>IF(A180="",0,SUMIF(tbl_Donateurs_Decaissements[ID Donateur],A180,tbl_Donateurs_Decaissements[Montant recu]))</f>
        <v>0</v>
      </c>
      <c r="AP180" s="77" t="str">
        <f t="shared" si="16"/>
        <v/>
      </c>
      <c r="AQ180" s="75">
        <f>IF(A180="",0,COUNTIF(tbl_Donateurs_Contacts[ID Donateur],A180))</f>
        <v>0</v>
      </c>
      <c r="AR180" s="75">
        <f>IF(A180="",0,COUNTIF(tbl_Donateurs_Documents[ID Donateur],A180))</f>
        <v>0</v>
      </c>
      <c r="AS180" s="75">
        <f>IF(A180="",0,COUNTIF(tbl_Donateurs_Conventions[ID Donateur],A180))</f>
        <v>0</v>
      </c>
      <c r="AT180" s="83" t="str">
        <f ca="1">IFERROR(_xlfn.MAXIFS(tbl_Donateurs_Decaissements[Date recue],tbl_Donateurs_Decaissements[ID Donateur],A180),"")</f>
        <v/>
      </c>
      <c r="AU180" s="76" t="str">
        <f t="shared" si="19"/>
        <v/>
      </c>
      <c r="AV180" s="75" t="str">
        <f t="shared" ca="1" si="17"/>
        <v/>
      </c>
      <c r="AW180" s="75" t="str">
        <f t="shared" si="18"/>
        <v/>
      </c>
      <c r="AX180" s="81"/>
    </row>
    <row r="181" spans="1:50" ht="15" customHeight="1">
      <c r="A181" s="75" t="str">
        <f t="shared" si="15"/>
        <v/>
      </c>
      <c r="B181" s="81"/>
      <c r="C181" s="81"/>
      <c r="D181" s="81"/>
      <c r="E181" s="81"/>
      <c r="F181" s="81"/>
      <c r="G181" s="81"/>
      <c r="H181" s="81"/>
      <c r="I181" s="81"/>
      <c r="J181" s="81"/>
      <c r="K181" s="81"/>
      <c r="L181" s="81"/>
      <c r="M181" s="81"/>
      <c r="N181" s="81"/>
      <c r="O181" s="81"/>
      <c r="P181" s="81"/>
      <c r="Q181" s="81"/>
      <c r="R181" s="81"/>
      <c r="S181" s="81"/>
      <c r="T181" s="81"/>
      <c r="U181" s="81"/>
      <c r="V181" s="81"/>
      <c r="W181" s="81"/>
      <c r="X181" s="81"/>
      <c r="Y181" s="75" t="str">
        <f>IFERROR(INDEX(PARAMETRES!$B$536:$B$586,MATCH(X181,PARAMETRES!$J$536:$J$586,0)),"")</f>
        <v/>
      </c>
      <c r="Z181" s="75" t="str">
        <f>IFERROR(INDEX(PARAMETRES!$D$536:$D$586,MATCH(X181,PARAMETRES!$J$536:$J$586,0)),"")</f>
        <v/>
      </c>
      <c r="AA181" s="75" t="str">
        <f>IFERROR(INDEX(PARAMETRES!$F$536:$F$586,MATCH(X181,PARAMETRES!$J$536:$J$586,0)),"")</f>
        <v/>
      </c>
      <c r="AB181" s="81"/>
      <c r="AC181" s="82"/>
      <c r="AD181" s="81"/>
      <c r="AE181" s="82"/>
      <c r="AF181" s="82"/>
      <c r="AG181" s="81"/>
      <c r="AH181" s="81"/>
      <c r="AI181" s="75">
        <f>IF(A181="",0,COUNTIF(tbl_Donateurs_Opportunites[ID Donateur],A181))</f>
        <v>0</v>
      </c>
      <c r="AJ181" s="75">
        <f>IF(A181="",0,COUNTIFS(tbl_Donateurs_Opportunites[ID Donateur],A181,tbl_Donateurs_Opportunites[Statut],"Ouverte"))</f>
        <v>0</v>
      </c>
      <c r="AK181" s="75">
        <f>IF(A181="",0,COUNTIF(tbl_Donateurs_Demandes[ID Donateur],A181))</f>
        <v>0</v>
      </c>
      <c r="AL181" s="75">
        <f>IF(A181="",0,COUNTIFS(tbl_Donateurs_Demandes[ID Donateur],A181,tbl_Donateurs_Demandes[Statut],"Approuvee")+COUNTIFS(tbl_Donateurs_Demandes[ID Donateur],A181,tbl_Donateurs_Demandes[Statut],"Financement recu"))</f>
        <v>0</v>
      </c>
      <c r="AM181" s="76">
        <f>IF(A181="",0,SUMIF(tbl_Donateurs_Demandes[ID Donateur],A181,tbl_Donateurs_Demandes[Montant demande]))</f>
        <v>0</v>
      </c>
      <c r="AN181" s="76">
        <f>IF(A181="",0,SUMIF(tbl_Donateurs_Demandes[ID Donateur],A181,tbl_Donateurs_Demandes[Montant accorde]))</f>
        <v>0</v>
      </c>
      <c r="AO181" s="76">
        <f>IF(A181="",0,SUMIF(tbl_Donateurs_Decaissements[ID Donateur],A181,tbl_Donateurs_Decaissements[Montant recu]))</f>
        <v>0</v>
      </c>
      <c r="AP181" s="77" t="str">
        <f t="shared" si="16"/>
        <v/>
      </c>
      <c r="AQ181" s="75">
        <f>IF(A181="",0,COUNTIF(tbl_Donateurs_Contacts[ID Donateur],A181))</f>
        <v>0</v>
      </c>
      <c r="AR181" s="75">
        <f>IF(A181="",0,COUNTIF(tbl_Donateurs_Documents[ID Donateur],A181))</f>
        <v>0</v>
      </c>
      <c r="AS181" s="75">
        <f>IF(A181="",0,COUNTIF(tbl_Donateurs_Conventions[ID Donateur],A181))</f>
        <v>0</v>
      </c>
      <c r="AT181" s="83" t="str">
        <f ca="1">IFERROR(_xlfn.MAXIFS(tbl_Donateurs_Decaissements[Date recue],tbl_Donateurs_Decaissements[ID Donateur],A181),"")</f>
        <v/>
      </c>
      <c r="AU181" s="76" t="str">
        <f t="shared" si="19"/>
        <v/>
      </c>
      <c r="AV181" s="75" t="str">
        <f t="shared" ca="1" si="17"/>
        <v/>
      </c>
      <c r="AW181" s="75" t="str">
        <f t="shared" si="18"/>
        <v/>
      </c>
      <c r="AX181" s="81"/>
    </row>
    <row r="182" spans="1:50" ht="15" customHeight="1">
      <c r="A182" s="75" t="str">
        <f t="shared" si="15"/>
        <v/>
      </c>
      <c r="B182" s="81"/>
      <c r="C182" s="81"/>
      <c r="D182" s="81"/>
      <c r="E182" s="81"/>
      <c r="F182" s="81"/>
      <c r="G182" s="81"/>
      <c r="H182" s="81"/>
      <c r="I182" s="81"/>
      <c r="J182" s="81"/>
      <c r="K182" s="81"/>
      <c r="L182" s="81"/>
      <c r="M182" s="81"/>
      <c r="N182" s="81"/>
      <c r="O182" s="81"/>
      <c r="P182" s="81"/>
      <c r="Q182" s="81"/>
      <c r="R182" s="81"/>
      <c r="S182" s="81"/>
      <c r="T182" s="81"/>
      <c r="U182" s="81"/>
      <c r="V182" s="81"/>
      <c r="W182" s="81"/>
      <c r="X182" s="81"/>
      <c r="Y182" s="75" t="str">
        <f>IFERROR(INDEX(PARAMETRES!$B$536:$B$586,MATCH(X182,PARAMETRES!$J$536:$J$586,0)),"")</f>
        <v/>
      </c>
      <c r="Z182" s="75" t="str">
        <f>IFERROR(INDEX(PARAMETRES!$D$536:$D$586,MATCH(X182,PARAMETRES!$J$536:$J$586,0)),"")</f>
        <v/>
      </c>
      <c r="AA182" s="75" t="str">
        <f>IFERROR(INDEX(PARAMETRES!$F$536:$F$586,MATCH(X182,PARAMETRES!$J$536:$J$586,0)),"")</f>
        <v/>
      </c>
      <c r="AB182" s="81"/>
      <c r="AC182" s="82"/>
      <c r="AD182" s="81"/>
      <c r="AE182" s="82"/>
      <c r="AF182" s="82"/>
      <c r="AG182" s="81"/>
      <c r="AH182" s="81"/>
      <c r="AI182" s="75">
        <f>IF(A182="",0,COUNTIF(tbl_Donateurs_Opportunites[ID Donateur],A182))</f>
        <v>0</v>
      </c>
      <c r="AJ182" s="75">
        <f>IF(A182="",0,COUNTIFS(tbl_Donateurs_Opportunites[ID Donateur],A182,tbl_Donateurs_Opportunites[Statut],"Ouverte"))</f>
        <v>0</v>
      </c>
      <c r="AK182" s="75">
        <f>IF(A182="",0,COUNTIF(tbl_Donateurs_Demandes[ID Donateur],A182))</f>
        <v>0</v>
      </c>
      <c r="AL182" s="75">
        <f>IF(A182="",0,COUNTIFS(tbl_Donateurs_Demandes[ID Donateur],A182,tbl_Donateurs_Demandes[Statut],"Approuvee")+COUNTIFS(tbl_Donateurs_Demandes[ID Donateur],A182,tbl_Donateurs_Demandes[Statut],"Financement recu"))</f>
        <v>0</v>
      </c>
      <c r="AM182" s="76">
        <f>IF(A182="",0,SUMIF(tbl_Donateurs_Demandes[ID Donateur],A182,tbl_Donateurs_Demandes[Montant demande]))</f>
        <v>0</v>
      </c>
      <c r="AN182" s="76">
        <f>IF(A182="",0,SUMIF(tbl_Donateurs_Demandes[ID Donateur],A182,tbl_Donateurs_Demandes[Montant accorde]))</f>
        <v>0</v>
      </c>
      <c r="AO182" s="76">
        <f>IF(A182="",0,SUMIF(tbl_Donateurs_Decaissements[ID Donateur],A182,tbl_Donateurs_Decaissements[Montant recu]))</f>
        <v>0</v>
      </c>
      <c r="AP182" s="77" t="str">
        <f t="shared" si="16"/>
        <v/>
      </c>
      <c r="AQ182" s="75">
        <f>IF(A182="",0,COUNTIF(tbl_Donateurs_Contacts[ID Donateur],A182))</f>
        <v>0</v>
      </c>
      <c r="AR182" s="75">
        <f>IF(A182="",0,COUNTIF(tbl_Donateurs_Documents[ID Donateur],A182))</f>
        <v>0</v>
      </c>
      <c r="AS182" s="75">
        <f>IF(A182="",0,COUNTIF(tbl_Donateurs_Conventions[ID Donateur],A182))</f>
        <v>0</v>
      </c>
      <c r="AT182" s="83" t="str">
        <f ca="1">IFERROR(_xlfn.MAXIFS(tbl_Donateurs_Decaissements[Date recue],tbl_Donateurs_Decaissements[ID Donateur],A182),"")</f>
        <v/>
      </c>
      <c r="AU182" s="76" t="str">
        <f t="shared" si="19"/>
        <v/>
      </c>
      <c r="AV182" s="75" t="str">
        <f t="shared" ca="1" si="17"/>
        <v/>
      </c>
      <c r="AW182" s="75" t="str">
        <f t="shared" si="18"/>
        <v/>
      </c>
      <c r="AX182" s="81"/>
    </row>
    <row r="183" spans="1:50" ht="15" customHeight="1">
      <c r="A183" s="75" t="str">
        <f t="shared" si="15"/>
        <v/>
      </c>
      <c r="B183" s="81"/>
      <c r="C183" s="81"/>
      <c r="D183" s="81"/>
      <c r="E183" s="81"/>
      <c r="F183" s="81"/>
      <c r="G183" s="81"/>
      <c r="H183" s="81"/>
      <c r="I183" s="81"/>
      <c r="J183" s="81"/>
      <c r="K183" s="81"/>
      <c r="L183" s="81"/>
      <c r="M183" s="81"/>
      <c r="N183" s="81"/>
      <c r="O183" s="81"/>
      <c r="P183" s="81"/>
      <c r="Q183" s="81"/>
      <c r="R183" s="81"/>
      <c r="S183" s="81"/>
      <c r="T183" s="81"/>
      <c r="U183" s="81"/>
      <c r="V183" s="81"/>
      <c r="W183" s="81"/>
      <c r="X183" s="81"/>
      <c r="Y183" s="75" t="str">
        <f>IFERROR(INDEX(PARAMETRES!$B$536:$B$586,MATCH(X183,PARAMETRES!$J$536:$J$586,0)),"")</f>
        <v/>
      </c>
      <c r="Z183" s="75" t="str">
        <f>IFERROR(INDEX(PARAMETRES!$D$536:$D$586,MATCH(X183,PARAMETRES!$J$536:$J$586,0)),"")</f>
        <v/>
      </c>
      <c r="AA183" s="75" t="str">
        <f>IFERROR(INDEX(PARAMETRES!$F$536:$F$586,MATCH(X183,PARAMETRES!$J$536:$J$586,0)),"")</f>
        <v/>
      </c>
      <c r="AB183" s="81"/>
      <c r="AC183" s="82"/>
      <c r="AD183" s="81"/>
      <c r="AE183" s="82"/>
      <c r="AF183" s="82"/>
      <c r="AG183" s="81"/>
      <c r="AH183" s="81"/>
      <c r="AI183" s="75">
        <f>IF(A183="",0,COUNTIF(tbl_Donateurs_Opportunites[ID Donateur],A183))</f>
        <v>0</v>
      </c>
      <c r="AJ183" s="75">
        <f>IF(A183="",0,COUNTIFS(tbl_Donateurs_Opportunites[ID Donateur],A183,tbl_Donateurs_Opportunites[Statut],"Ouverte"))</f>
        <v>0</v>
      </c>
      <c r="AK183" s="75">
        <f>IF(A183="",0,COUNTIF(tbl_Donateurs_Demandes[ID Donateur],A183))</f>
        <v>0</v>
      </c>
      <c r="AL183" s="75">
        <f>IF(A183="",0,COUNTIFS(tbl_Donateurs_Demandes[ID Donateur],A183,tbl_Donateurs_Demandes[Statut],"Approuvee")+COUNTIFS(tbl_Donateurs_Demandes[ID Donateur],A183,tbl_Donateurs_Demandes[Statut],"Financement recu"))</f>
        <v>0</v>
      </c>
      <c r="AM183" s="76">
        <f>IF(A183="",0,SUMIF(tbl_Donateurs_Demandes[ID Donateur],A183,tbl_Donateurs_Demandes[Montant demande]))</f>
        <v>0</v>
      </c>
      <c r="AN183" s="76">
        <f>IF(A183="",0,SUMIF(tbl_Donateurs_Demandes[ID Donateur],A183,tbl_Donateurs_Demandes[Montant accorde]))</f>
        <v>0</v>
      </c>
      <c r="AO183" s="76">
        <f>IF(A183="",0,SUMIF(tbl_Donateurs_Decaissements[ID Donateur],A183,tbl_Donateurs_Decaissements[Montant recu]))</f>
        <v>0</v>
      </c>
      <c r="AP183" s="77" t="str">
        <f t="shared" si="16"/>
        <v/>
      </c>
      <c r="AQ183" s="75">
        <f>IF(A183="",0,COUNTIF(tbl_Donateurs_Contacts[ID Donateur],A183))</f>
        <v>0</v>
      </c>
      <c r="AR183" s="75">
        <f>IF(A183="",0,COUNTIF(tbl_Donateurs_Documents[ID Donateur],A183))</f>
        <v>0</v>
      </c>
      <c r="AS183" s="75">
        <f>IF(A183="",0,COUNTIF(tbl_Donateurs_Conventions[ID Donateur],A183))</f>
        <v>0</v>
      </c>
      <c r="AT183" s="83" t="str">
        <f ca="1">IFERROR(_xlfn.MAXIFS(tbl_Donateurs_Decaissements[Date recue],tbl_Donateurs_Decaissements[ID Donateur],A183),"")</f>
        <v/>
      </c>
      <c r="AU183" s="76" t="str">
        <f t="shared" si="19"/>
        <v/>
      </c>
      <c r="AV183" s="75" t="str">
        <f t="shared" ca="1" si="17"/>
        <v/>
      </c>
      <c r="AW183" s="75" t="str">
        <f t="shared" si="18"/>
        <v/>
      </c>
      <c r="AX183" s="81"/>
    </row>
    <row r="184" spans="1:50" ht="15" customHeight="1">
      <c r="A184" s="75" t="str">
        <f t="shared" ref="A184:A205" si="20">IF(B184="","","DON"&amp;TEXT(ROW()-55,"00000"))</f>
        <v/>
      </c>
      <c r="B184" s="81"/>
      <c r="C184" s="81"/>
      <c r="D184" s="81"/>
      <c r="E184" s="81"/>
      <c r="F184" s="81"/>
      <c r="G184" s="81"/>
      <c r="H184" s="81"/>
      <c r="I184" s="81"/>
      <c r="J184" s="81"/>
      <c r="K184" s="81"/>
      <c r="L184" s="81"/>
      <c r="M184" s="81"/>
      <c r="N184" s="81"/>
      <c r="O184" s="81"/>
      <c r="P184" s="81"/>
      <c r="Q184" s="81"/>
      <c r="R184" s="81"/>
      <c r="S184" s="81"/>
      <c r="T184" s="81"/>
      <c r="U184" s="81"/>
      <c r="V184" s="81"/>
      <c r="W184" s="81"/>
      <c r="X184" s="81"/>
      <c r="Y184" s="75" t="str">
        <f>IFERROR(INDEX(PARAMETRES!$B$536:$B$586,MATCH(X184,PARAMETRES!$J$536:$J$586,0)),"")</f>
        <v/>
      </c>
      <c r="Z184" s="75" t="str">
        <f>IFERROR(INDEX(PARAMETRES!$D$536:$D$586,MATCH(X184,PARAMETRES!$J$536:$J$586,0)),"")</f>
        <v/>
      </c>
      <c r="AA184" s="75" t="str">
        <f>IFERROR(INDEX(PARAMETRES!$F$536:$F$586,MATCH(X184,PARAMETRES!$J$536:$J$586,0)),"")</f>
        <v/>
      </c>
      <c r="AB184" s="81"/>
      <c r="AC184" s="82"/>
      <c r="AD184" s="81"/>
      <c r="AE184" s="82"/>
      <c r="AF184" s="82"/>
      <c r="AG184" s="81"/>
      <c r="AH184" s="81"/>
      <c r="AI184" s="75">
        <f>IF(A184="",0,COUNTIF(tbl_Donateurs_Opportunites[ID Donateur],A184))</f>
        <v>0</v>
      </c>
      <c r="AJ184" s="75">
        <f>IF(A184="",0,COUNTIFS(tbl_Donateurs_Opportunites[ID Donateur],A184,tbl_Donateurs_Opportunites[Statut],"Ouverte"))</f>
        <v>0</v>
      </c>
      <c r="AK184" s="75">
        <f>IF(A184="",0,COUNTIF(tbl_Donateurs_Demandes[ID Donateur],A184))</f>
        <v>0</v>
      </c>
      <c r="AL184" s="75">
        <f>IF(A184="",0,COUNTIFS(tbl_Donateurs_Demandes[ID Donateur],A184,tbl_Donateurs_Demandes[Statut],"Approuvee")+COUNTIFS(tbl_Donateurs_Demandes[ID Donateur],A184,tbl_Donateurs_Demandes[Statut],"Financement recu"))</f>
        <v>0</v>
      </c>
      <c r="AM184" s="76">
        <f>IF(A184="",0,SUMIF(tbl_Donateurs_Demandes[ID Donateur],A184,tbl_Donateurs_Demandes[Montant demande]))</f>
        <v>0</v>
      </c>
      <c r="AN184" s="76">
        <f>IF(A184="",0,SUMIF(tbl_Donateurs_Demandes[ID Donateur],A184,tbl_Donateurs_Demandes[Montant accorde]))</f>
        <v>0</v>
      </c>
      <c r="AO184" s="76">
        <f>IF(A184="",0,SUMIF(tbl_Donateurs_Decaissements[ID Donateur],A184,tbl_Donateurs_Decaissements[Montant recu]))</f>
        <v>0</v>
      </c>
      <c r="AP184" s="77" t="str">
        <f t="shared" ref="AP184:AP205" si="21">IFERROR(AL184/AK184,"")</f>
        <v/>
      </c>
      <c r="AQ184" s="75">
        <f>IF(A184="",0,COUNTIF(tbl_Donateurs_Contacts[ID Donateur],A184))</f>
        <v>0</v>
      </c>
      <c r="AR184" s="75">
        <f>IF(A184="",0,COUNTIF(tbl_Donateurs_Documents[ID Donateur],A184))</f>
        <v>0</v>
      </c>
      <c r="AS184" s="75">
        <f>IF(A184="",0,COUNTIF(tbl_Donateurs_Conventions[ID Donateur],A184))</f>
        <v>0</v>
      </c>
      <c r="AT184" s="83" t="str">
        <f ca="1">IFERROR(_xlfn.MAXIFS(tbl_Donateurs_Decaissements[Date recue],tbl_Donateurs_Decaissements[ID Donateur],A184),"")</f>
        <v/>
      </c>
      <c r="AU184" s="76" t="str">
        <f t="shared" si="19"/>
        <v/>
      </c>
      <c r="AV184" s="75" t="str">
        <f t="shared" ref="AV184:AV205" ca="1" si="22">IF(A184="","",IF(OR(AB184="A relancer",AND(AF184&lt;&gt;"",AF184&lt;=TODAY())),"OUI","NON"))</f>
        <v/>
      </c>
      <c r="AW184" s="75" t="str">
        <f t="shared" ref="AW184:AW205" si="23">IF(B184="","",IF(OR(COUNTIF($B$56:$B$205,B184)&gt;1,AND(D184&lt;&gt;"",COUNTIF($D$56:$D$205,D184)&gt;1),AND(K184&lt;&gt;"",COUNTIF($K$56:$K$205,K184)&gt;1),AND(L184&lt;&gt;"",COUNTIF($L$56:$L$205,L184)&gt;1)),"OUI","NON"))</f>
        <v/>
      </c>
      <c r="AX184" s="81"/>
    </row>
    <row r="185" spans="1:50" ht="15" customHeight="1">
      <c r="A185" s="75" t="str">
        <f t="shared" si="20"/>
        <v/>
      </c>
      <c r="B185" s="81"/>
      <c r="C185" s="81"/>
      <c r="D185" s="81"/>
      <c r="E185" s="81"/>
      <c r="F185" s="81"/>
      <c r="G185" s="81"/>
      <c r="H185" s="81"/>
      <c r="I185" s="81"/>
      <c r="J185" s="81"/>
      <c r="K185" s="81"/>
      <c r="L185" s="81"/>
      <c r="M185" s="81"/>
      <c r="N185" s="81"/>
      <c r="O185" s="81"/>
      <c r="P185" s="81"/>
      <c r="Q185" s="81"/>
      <c r="R185" s="81"/>
      <c r="S185" s="81"/>
      <c r="T185" s="81"/>
      <c r="U185" s="81"/>
      <c r="V185" s="81"/>
      <c r="W185" s="81"/>
      <c r="X185" s="81"/>
      <c r="Y185" s="75" t="str">
        <f>IFERROR(INDEX(PARAMETRES!$B$536:$B$586,MATCH(X185,PARAMETRES!$J$536:$J$586,0)),"")</f>
        <v/>
      </c>
      <c r="Z185" s="75" t="str">
        <f>IFERROR(INDEX(PARAMETRES!$D$536:$D$586,MATCH(X185,PARAMETRES!$J$536:$J$586,0)),"")</f>
        <v/>
      </c>
      <c r="AA185" s="75" t="str">
        <f>IFERROR(INDEX(PARAMETRES!$F$536:$F$586,MATCH(X185,PARAMETRES!$J$536:$J$586,0)),"")</f>
        <v/>
      </c>
      <c r="AB185" s="81"/>
      <c r="AC185" s="82"/>
      <c r="AD185" s="81"/>
      <c r="AE185" s="82"/>
      <c r="AF185" s="82"/>
      <c r="AG185" s="81"/>
      <c r="AH185" s="81"/>
      <c r="AI185" s="75">
        <f>IF(A185="",0,COUNTIF(tbl_Donateurs_Opportunites[ID Donateur],A185))</f>
        <v>0</v>
      </c>
      <c r="AJ185" s="75">
        <f>IF(A185="",0,COUNTIFS(tbl_Donateurs_Opportunites[ID Donateur],A185,tbl_Donateurs_Opportunites[Statut],"Ouverte"))</f>
        <v>0</v>
      </c>
      <c r="AK185" s="75">
        <f>IF(A185="",0,COUNTIF(tbl_Donateurs_Demandes[ID Donateur],A185))</f>
        <v>0</v>
      </c>
      <c r="AL185" s="75">
        <f>IF(A185="",0,COUNTIFS(tbl_Donateurs_Demandes[ID Donateur],A185,tbl_Donateurs_Demandes[Statut],"Approuvee")+COUNTIFS(tbl_Donateurs_Demandes[ID Donateur],A185,tbl_Donateurs_Demandes[Statut],"Financement recu"))</f>
        <v>0</v>
      </c>
      <c r="AM185" s="76">
        <f>IF(A185="",0,SUMIF(tbl_Donateurs_Demandes[ID Donateur],A185,tbl_Donateurs_Demandes[Montant demande]))</f>
        <v>0</v>
      </c>
      <c r="AN185" s="76">
        <f>IF(A185="",0,SUMIF(tbl_Donateurs_Demandes[ID Donateur],A185,tbl_Donateurs_Demandes[Montant accorde]))</f>
        <v>0</v>
      </c>
      <c r="AO185" s="76">
        <f>IF(A185="",0,SUMIF(tbl_Donateurs_Decaissements[ID Donateur],A185,tbl_Donateurs_Decaissements[Montant recu]))</f>
        <v>0</v>
      </c>
      <c r="AP185" s="77" t="str">
        <f t="shared" si="21"/>
        <v/>
      </c>
      <c r="AQ185" s="75">
        <f>IF(A185="",0,COUNTIF(tbl_Donateurs_Contacts[ID Donateur],A185))</f>
        <v>0</v>
      </c>
      <c r="AR185" s="75">
        <f>IF(A185="",0,COUNTIF(tbl_Donateurs_Documents[ID Donateur],A185))</f>
        <v>0</v>
      </c>
      <c r="AS185" s="75">
        <f>IF(A185="",0,COUNTIF(tbl_Donateurs_Conventions[ID Donateur],A185))</f>
        <v>0</v>
      </c>
      <c r="AT185" s="83" t="str">
        <f ca="1">IFERROR(_xlfn.MAXIFS(tbl_Donateurs_Decaissements[Date recue],tbl_Donateurs_Decaissements[ID Donateur],A185),"")</f>
        <v/>
      </c>
      <c r="AU185" s="76" t="str">
        <f t="shared" ref="AU185:AU205" si="24">IFERROR(AN185/AL185,"")</f>
        <v/>
      </c>
      <c r="AV185" s="75" t="str">
        <f t="shared" ca="1" si="22"/>
        <v/>
      </c>
      <c r="AW185" s="75" t="str">
        <f t="shared" si="23"/>
        <v/>
      </c>
      <c r="AX185" s="81"/>
    </row>
    <row r="186" spans="1:50" ht="15" customHeight="1">
      <c r="A186" s="75" t="str">
        <f t="shared" si="20"/>
        <v/>
      </c>
      <c r="B186" s="81"/>
      <c r="C186" s="81"/>
      <c r="D186" s="81"/>
      <c r="E186" s="81"/>
      <c r="F186" s="81"/>
      <c r="G186" s="81"/>
      <c r="H186" s="81"/>
      <c r="I186" s="81"/>
      <c r="J186" s="81"/>
      <c r="K186" s="81"/>
      <c r="L186" s="81"/>
      <c r="M186" s="81"/>
      <c r="N186" s="81"/>
      <c r="O186" s="81"/>
      <c r="P186" s="81"/>
      <c r="Q186" s="81"/>
      <c r="R186" s="81"/>
      <c r="S186" s="81"/>
      <c r="T186" s="81"/>
      <c r="U186" s="81"/>
      <c r="V186" s="81"/>
      <c r="W186" s="81"/>
      <c r="X186" s="81"/>
      <c r="Y186" s="75" t="str">
        <f>IFERROR(INDEX(PARAMETRES!$B$536:$B$586,MATCH(X186,PARAMETRES!$J$536:$J$586,0)),"")</f>
        <v/>
      </c>
      <c r="Z186" s="75" t="str">
        <f>IFERROR(INDEX(PARAMETRES!$D$536:$D$586,MATCH(X186,PARAMETRES!$J$536:$J$586,0)),"")</f>
        <v/>
      </c>
      <c r="AA186" s="75" t="str">
        <f>IFERROR(INDEX(PARAMETRES!$F$536:$F$586,MATCH(X186,PARAMETRES!$J$536:$J$586,0)),"")</f>
        <v/>
      </c>
      <c r="AB186" s="81"/>
      <c r="AC186" s="82"/>
      <c r="AD186" s="81"/>
      <c r="AE186" s="82"/>
      <c r="AF186" s="82"/>
      <c r="AG186" s="81"/>
      <c r="AH186" s="81"/>
      <c r="AI186" s="75">
        <f>IF(A186="",0,COUNTIF(tbl_Donateurs_Opportunites[ID Donateur],A186))</f>
        <v>0</v>
      </c>
      <c r="AJ186" s="75">
        <f>IF(A186="",0,COUNTIFS(tbl_Donateurs_Opportunites[ID Donateur],A186,tbl_Donateurs_Opportunites[Statut],"Ouverte"))</f>
        <v>0</v>
      </c>
      <c r="AK186" s="75">
        <f>IF(A186="",0,COUNTIF(tbl_Donateurs_Demandes[ID Donateur],A186))</f>
        <v>0</v>
      </c>
      <c r="AL186" s="75">
        <f>IF(A186="",0,COUNTIFS(tbl_Donateurs_Demandes[ID Donateur],A186,tbl_Donateurs_Demandes[Statut],"Approuvee")+COUNTIFS(tbl_Donateurs_Demandes[ID Donateur],A186,tbl_Donateurs_Demandes[Statut],"Financement recu"))</f>
        <v>0</v>
      </c>
      <c r="AM186" s="76">
        <f>IF(A186="",0,SUMIF(tbl_Donateurs_Demandes[ID Donateur],A186,tbl_Donateurs_Demandes[Montant demande]))</f>
        <v>0</v>
      </c>
      <c r="AN186" s="76">
        <f>IF(A186="",0,SUMIF(tbl_Donateurs_Demandes[ID Donateur],A186,tbl_Donateurs_Demandes[Montant accorde]))</f>
        <v>0</v>
      </c>
      <c r="AO186" s="76">
        <f>IF(A186="",0,SUMIF(tbl_Donateurs_Decaissements[ID Donateur],A186,tbl_Donateurs_Decaissements[Montant recu]))</f>
        <v>0</v>
      </c>
      <c r="AP186" s="77" t="str">
        <f t="shared" si="21"/>
        <v/>
      </c>
      <c r="AQ186" s="75">
        <f>IF(A186="",0,COUNTIF(tbl_Donateurs_Contacts[ID Donateur],A186))</f>
        <v>0</v>
      </c>
      <c r="AR186" s="75">
        <f>IF(A186="",0,COUNTIF(tbl_Donateurs_Documents[ID Donateur],A186))</f>
        <v>0</v>
      </c>
      <c r="AS186" s="75">
        <f>IF(A186="",0,COUNTIF(tbl_Donateurs_Conventions[ID Donateur],A186))</f>
        <v>0</v>
      </c>
      <c r="AT186" s="83" t="str">
        <f ca="1">IFERROR(_xlfn.MAXIFS(tbl_Donateurs_Decaissements[Date recue],tbl_Donateurs_Decaissements[ID Donateur],A186),"")</f>
        <v/>
      </c>
      <c r="AU186" s="76" t="str">
        <f t="shared" si="24"/>
        <v/>
      </c>
      <c r="AV186" s="75" t="str">
        <f t="shared" ca="1" si="22"/>
        <v/>
      </c>
      <c r="AW186" s="75" t="str">
        <f t="shared" si="23"/>
        <v/>
      </c>
      <c r="AX186" s="81"/>
    </row>
    <row r="187" spans="1:50" ht="15" customHeight="1">
      <c r="A187" s="75" t="str">
        <f t="shared" si="20"/>
        <v/>
      </c>
      <c r="B187" s="81"/>
      <c r="C187" s="81"/>
      <c r="D187" s="81"/>
      <c r="E187" s="81"/>
      <c r="F187" s="81"/>
      <c r="G187" s="81"/>
      <c r="H187" s="81"/>
      <c r="I187" s="81"/>
      <c r="J187" s="81"/>
      <c r="K187" s="81"/>
      <c r="L187" s="81"/>
      <c r="M187" s="81"/>
      <c r="N187" s="81"/>
      <c r="O187" s="81"/>
      <c r="P187" s="81"/>
      <c r="Q187" s="81"/>
      <c r="R187" s="81"/>
      <c r="S187" s="81"/>
      <c r="T187" s="81"/>
      <c r="U187" s="81"/>
      <c r="V187" s="81"/>
      <c r="W187" s="81"/>
      <c r="X187" s="81"/>
      <c r="Y187" s="75" t="str">
        <f>IFERROR(INDEX(PARAMETRES!$B$536:$B$586,MATCH(X187,PARAMETRES!$J$536:$J$586,0)),"")</f>
        <v/>
      </c>
      <c r="Z187" s="75" t="str">
        <f>IFERROR(INDEX(PARAMETRES!$D$536:$D$586,MATCH(X187,PARAMETRES!$J$536:$J$586,0)),"")</f>
        <v/>
      </c>
      <c r="AA187" s="75" t="str">
        <f>IFERROR(INDEX(PARAMETRES!$F$536:$F$586,MATCH(X187,PARAMETRES!$J$536:$J$586,0)),"")</f>
        <v/>
      </c>
      <c r="AB187" s="81"/>
      <c r="AC187" s="82"/>
      <c r="AD187" s="81"/>
      <c r="AE187" s="82"/>
      <c r="AF187" s="82"/>
      <c r="AG187" s="81"/>
      <c r="AH187" s="81"/>
      <c r="AI187" s="75">
        <f>IF(A187="",0,COUNTIF(tbl_Donateurs_Opportunites[ID Donateur],A187))</f>
        <v>0</v>
      </c>
      <c r="AJ187" s="75">
        <f>IF(A187="",0,COUNTIFS(tbl_Donateurs_Opportunites[ID Donateur],A187,tbl_Donateurs_Opportunites[Statut],"Ouverte"))</f>
        <v>0</v>
      </c>
      <c r="AK187" s="75">
        <f>IF(A187="",0,COUNTIF(tbl_Donateurs_Demandes[ID Donateur],A187))</f>
        <v>0</v>
      </c>
      <c r="AL187" s="75">
        <f>IF(A187="",0,COUNTIFS(tbl_Donateurs_Demandes[ID Donateur],A187,tbl_Donateurs_Demandes[Statut],"Approuvee")+COUNTIFS(tbl_Donateurs_Demandes[ID Donateur],A187,tbl_Donateurs_Demandes[Statut],"Financement recu"))</f>
        <v>0</v>
      </c>
      <c r="AM187" s="76">
        <f>IF(A187="",0,SUMIF(tbl_Donateurs_Demandes[ID Donateur],A187,tbl_Donateurs_Demandes[Montant demande]))</f>
        <v>0</v>
      </c>
      <c r="AN187" s="76">
        <f>IF(A187="",0,SUMIF(tbl_Donateurs_Demandes[ID Donateur],A187,tbl_Donateurs_Demandes[Montant accorde]))</f>
        <v>0</v>
      </c>
      <c r="AO187" s="76">
        <f>IF(A187="",0,SUMIF(tbl_Donateurs_Decaissements[ID Donateur],A187,tbl_Donateurs_Decaissements[Montant recu]))</f>
        <v>0</v>
      </c>
      <c r="AP187" s="77" t="str">
        <f t="shared" si="21"/>
        <v/>
      </c>
      <c r="AQ187" s="75">
        <f>IF(A187="",0,COUNTIF(tbl_Donateurs_Contacts[ID Donateur],A187))</f>
        <v>0</v>
      </c>
      <c r="AR187" s="75">
        <f>IF(A187="",0,COUNTIF(tbl_Donateurs_Documents[ID Donateur],A187))</f>
        <v>0</v>
      </c>
      <c r="AS187" s="75">
        <f>IF(A187="",0,COUNTIF(tbl_Donateurs_Conventions[ID Donateur],A187))</f>
        <v>0</v>
      </c>
      <c r="AT187" s="83" t="str">
        <f ca="1">IFERROR(_xlfn.MAXIFS(tbl_Donateurs_Decaissements[Date recue],tbl_Donateurs_Decaissements[ID Donateur],A187),"")</f>
        <v/>
      </c>
      <c r="AU187" s="76" t="str">
        <f t="shared" si="24"/>
        <v/>
      </c>
      <c r="AV187" s="75" t="str">
        <f t="shared" ca="1" si="22"/>
        <v/>
      </c>
      <c r="AW187" s="75" t="str">
        <f t="shared" si="23"/>
        <v/>
      </c>
      <c r="AX187" s="81"/>
    </row>
    <row r="188" spans="1:50" ht="15" customHeight="1">
      <c r="A188" s="75" t="str">
        <f t="shared" si="20"/>
        <v/>
      </c>
      <c r="B188" s="81"/>
      <c r="C188" s="81"/>
      <c r="D188" s="81"/>
      <c r="E188" s="81"/>
      <c r="F188" s="81"/>
      <c r="G188" s="81"/>
      <c r="H188" s="81"/>
      <c r="I188" s="81"/>
      <c r="J188" s="81"/>
      <c r="K188" s="81"/>
      <c r="L188" s="81"/>
      <c r="M188" s="81"/>
      <c r="N188" s="81"/>
      <c r="O188" s="81"/>
      <c r="P188" s="81"/>
      <c r="Q188" s="81"/>
      <c r="R188" s="81"/>
      <c r="S188" s="81"/>
      <c r="T188" s="81"/>
      <c r="U188" s="81"/>
      <c r="V188" s="81"/>
      <c r="W188" s="81"/>
      <c r="X188" s="81"/>
      <c r="Y188" s="75" t="str">
        <f>IFERROR(INDEX(PARAMETRES!$B$536:$B$586,MATCH(X188,PARAMETRES!$J$536:$J$586,0)),"")</f>
        <v/>
      </c>
      <c r="Z188" s="75" t="str">
        <f>IFERROR(INDEX(PARAMETRES!$D$536:$D$586,MATCH(X188,PARAMETRES!$J$536:$J$586,0)),"")</f>
        <v/>
      </c>
      <c r="AA188" s="75" t="str">
        <f>IFERROR(INDEX(PARAMETRES!$F$536:$F$586,MATCH(X188,PARAMETRES!$J$536:$J$586,0)),"")</f>
        <v/>
      </c>
      <c r="AB188" s="81"/>
      <c r="AC188" s="82"/>
      <c r="AD188" s="81"/>
      <c r="AE188" s="82"/>
      <c r="AF188" s="82"/>
      <c r="AG188" s="81"/>
      <c r="AH188" s="81"/>
      <c r="AI188" s="75">
        <f>IF(A188="",0,COUNTIF(tbl_Donateurs_Opportunites[ID Donateur],A188))</f>
        <v>0</v>
      </c>
      <c r="AJ188" s="75">
        <f>IF(A188="",0,COUNTIFS(tbl_Donateurs_Opportunites[ID Donateur],A188,tbl_Donateurs_Opportunites[Statut],"Ouverte"))</f>
        <v>0</v>
      </c>
      <c r="AK188" s="75">
        <f>IF(A188="",0,COUNTIF(tbl_Donateurs_Demandes[ID Donateur],A188))</f>
        <v>0</v>
      </c>
      <c r="AL188" s="75">
        <f>IF(A188="",0,COUNTIFS(tbl_Donateurs_Demandes[ID Donateur],A188,tbl_Donateurs_Demandes[Statut],"Approuvee")+COUNTIFS(tbl_Donateurs_Demandes[ID Donateur],A188,tbl_Donateurs_Demandes[Statut],"Financement recu"))</f>
        <v>0</v>
      </c>
      <c r="AM188" s="76">
        <f>IF(A188="",0,SUMIF(tbl_Donateurs_Demandes[ID Donateur],A188,tbl_Donateurs_Demandes[Montant demande]))</f>
        <v>0</v>
      </c>
      <c r="AN188" s="76">
        <f>IF(A188="",0,SUMIF(tbl_Donateurs_Demandes[ID Donateur],A188,tbl_Donateurs_Demandes[Montant accorde]))</f>
        <v>0</v>
      </c>
      <c r="AO188" s="76">
        <f>IF(A188="",0,SUMIF(tbl_Donateurs_Decaissements[ID Donateur],A188,tbl_Donateurs_Decaissements[Montant recu]))</f>
        <v>0</v>
      </c>
      <c r="AP188" s="77" t="str">
        <f t="shared" si="21"/>
        <v/>
      </c>
      <c r="AQ188" s="75">
        <f>IF(A188="",0,COUNTIF(tbl_Donateurs_Contacts[ID Donateur],A188))</f>
        <v>0</v>
      </c>
      <c r="AR188" s="75">
        <f>IF(A188="",0,COUNTIF(tbl_Donateurs_Documents[ID Donateur],A188))</f>
        <v>0</v>
      </c>
      <c r="AS188" s="75">
        <f>IF(A188="",0,COUNTIF(tbl_Donateurs_Conventions[ID Donateur],A188))</f>
        <v>0</v>
      </c>
      <c r="AT188" s="83" t="str">
        <f ca="1">IFERROR(_xlfn.MAXIFS(tbl_Donateurs_Decaissements[Date recue],tbl_Donateurs_Decaissements[ID Donateur],A188),"")</f>
        <v/>
      </c>
      <c r="AU188" s="76" t="str">
        <f t="shared" si="24"/>
        <v/>
      </c>
      <c r="AV188" s="75" t="str">
        <f t="shared" ca="1" si="22"/>
        <v/>
      </c>
      <c r="AW188" s="75" t="str">
        <f t="shared" si="23"/>
        <v/>
      </c>
      <c r="AX188" s="81"/>
    </row>
    <row r="189" spans="1:50" ht="15" customHeight="1">
      <c r="A189" s="75" t="str">
        <f t="shared" si="20"/>
        <v/>
      </c>
      <c r="B189" s="81"/>
      <c r="C189" s="81"/>
      <c r="D189" s="81"/>
      <c r="E189" s="81"/>
      <c r="F189" s="81"/>
      <c r="G189" s="81"/>
      <c r="H189" s="81"/>
      <c r="I189" s="81"/>
      <c r="J189" s="81"/>
      <c r="K189" s="81"/>
      <c r="L189" s="81"/>
      <c r="M189" s="81"/>
      <c r="N189" s="81"/>
      <c r="O189" s="81"/>
      <c r="P189" s="81"/>
      <c r="Q189" s="81"/>
      <c r="R189" s="81"/>
      <c r="S189" s="81"/>
      <c r="T189" s="81"/>
      <c r="U189" s="81"/>
      <c r="V189" s="81"/>
      <c r="W189" s="81"/>
      <c r="X189" s="81"/>
      <c r="Y189" s="75" t="str">
        <f>IFERROR(INDEX(PARAMETRES!$B$536:$B$586,MATCH(X189,PARAMETRES!$J$536:$J$586,0)),"")</f>
        <v/>
      </c>
      <c r="Z189" s="75" t="str">
        <f>IFERROR(INDEX(PARAMETRES!$D$536:$D$586,MATCH(X189,PARAMETRES!$J$536:$J$586,0)),"")</f>
        <v/>
      </c>
      <c r="AA189" s="75" t="str">
        <f>IFERROR(INDEX(PARAMETRES!$F$536:$F$586,MATCH(X189,PARAMETRES!$J$536:$J$586,0)),"")</f>
        <v/>
      </c>
      <c r="AB189" s="81"/>
      <c r="AC189" s="82"/>
      <c r="AD189" s="81"/>
      <c r="AE189" s="82"/>
      <c r="AF189" s="82"/>
      <c r="AG189" s="81"/>
      <c r="AH189" s="81"/>
      <c r="AI189" s="75">
        <f>IF(A189="",0,COUNTIF(tbl_Donateurs_Opportunites[ID Donateur],A189))</f>
        <v>0</v>
      </c>
      <c r="AJ189" s="75">
        <f>IF(A189="",0,COUNTIFS(tbl_Donateurs_Opportunites[ID Donateur],A189,tbl_Donateurs_Opportunites[Statut],"Ouverte"))</f>
        <v>0</v>
      </c>
      <c r="AK189" s="75">
        <f>IF(A189="",0,COUNTIF(tbl_Donateurs_Demandes[ID Donateur],A189))</f>
        <v>0</v>
      </c>
      <c r="AL189" s="75">
        <f>IF(A189="",0,COUNTIFS(tbl_Donateurs_Demandes[ID Donateur],A189,tbl_Donateurs_Demandes[Statut],"Approuvee")+COUNTIFS(tbl_Donateurs_Demandes[ID Donateur],A189,tbl_Donateurs_Demandes[Statut],"Financement recu"))</f>
        <v>0</v>
      </c>
      <c r="AM189" s="76">
        <f>IF(A189="",0,SUMIF(tbl_Donateurs_Demandes[ID Donateur],A189,tbl_Donateurs_Demandes[Montant demande]))</f>
        <v>0</v>
      </c>
      <c r="AN189" s="76">
        <f>IF(A189="",0,SUMIF(tbl_Donateurs_Demandes[ID Donateur],A189,tbl_Donateurs_Demandes[Montant accorde]))</f>
        <v>0</v>
      </c>
      <c r="AO189" s="76">
        <f>IF(A189="",0,SUMIF(tbl_Donateurs_Decaissements[ID Donateur],A189,tbl_Donateurs_Decaissements[Montant recu]))</f>
        <v>0</v>
      </c>
      <c r="AP189" s="77" t="str">
        <f t="shared" si="21"/>
        <v/>
      </c>
      <c r="AQ189" s="75">
        <f>IF(A189="",0,COUNTIF(tbl_Donateurs_Contacts[ID Donateur],A189))</f>
        <v>0</v>
      </c>
      <c r="AR189" s="75">
        <f>IF(A189="",0,COUNTIF(tbl_Donateurs_Documents[ID Donateur],A189))</f>
        <v>0</v>
      </c>
      <c r="AS189" s="75">
        <f>IF(A189="",0,COUNTIF(tbl_Donateurs_Conventions[ID Donateur],A189))</f>
        <v>0</v>
      </c>
      <c r="AT189" s="83" t="str">
        <f ca="1">IFERROR(_xlfn.MAXIFS(tbl_Donateurs_Decaissements[Date recue],tbl_Donateurs_Decaissements[ID Donateur],A189),"")</f>
        <v/>
      </c>
      <c r="AU189" s="76" t="str">
        <f t="shared" si="24"/>
        <v/>
      </c>
      <c r="AV189" s="75" t="str">
        <f t="shared" ca="1" si="22"/>
        <v/>
      </c>
      <c r="AW189" s="75" t="str">
        <f t="shared" si="23"/>
        <v/>
      </c>
      <c r="AX189" s="81"/>
    </row>
    <row r="190" spans="1:50" ht="15" customHeight="1">
      <c r="A190" s="75" t="str">
        <f t="shared" si="20"/>
        <v/>
      </c>
      <c r="B190" s="81"/>
      <c r="C190" s="81"/>
      <c r="D190" s="81"/>
      <c r="E190" s="81"/>
      <c r="F190" s="81"/>
      <c r="G190" s="81"/>
      <c r="H190" s="81"/>
      <c r="I190" s="81"/>
      <c r="J190" s="81"/>
      <c r="K190" s="81"/>
      <c r="L190" s="81"/>
      <c r="M190" s="81"/>
      <c r="N190" s="81"/>
      <c r="O190" s="81"/>
      <c r="P190" s="81"/>
      <c r="Q190" s="81"/>
      <c r="R190" s="81"/>
      <c r="S190" s="81"/>
      <c r="T190" s="81"/>
      <c r="U190" s="81"/>
      <c r="V190" s="81"/>
      <c r="W190" s="81"/>
      <c r="X190" s="81"/>
      <c r="Y190" s="75" t="str">
        <f>IFERROR(INDEX(PARAMETRES!$B$536:$B$586,MATCH(X190,PARAMETRES!$J$536:$J$586,0)),"")</f>
        <v/>
      </c>
      <c r="Z190" s="75" t="str">
        <f>IFERROR(INDEX(PARAMETRES!$D$536:$D$586,MATCH(X190,PARAMETRES!$J$536:$J$586,0)),"")</f>
        <v/>
      </c>
      <c r="AA190" s="75" t="str">
        <f>IFERROR(INDEX(PARAMETRES!$F$536:$F$586,MATCH(X190,PARAMETRES!$J$536:$J$586,0)),"")</f>
        <v/>
      </c>
      <c r="AB190" s="81"/>
      <c r="AC190" s="82"/>
      <c r="AD190" s="81"/>
      <c r="AE190" s="82"/>
      <c r="AF190" s="82"/>
      <c r="AG190" s="81"/>
      <c r="AH190" s="81"/>
      <c r="AI190" s="75">
        <f>IF(A190="",0,COUNTIF(tbl_Donateurs_Opportunites[ID Donateur],A190))</f>
        <v>0</v>
      </c>
      <c r="AJ190" s="75">
        <f>IF(A190="",0,COUNTIFS(tbl_Donateurs_Opportunites[ID Donateur],A190,tbl_Donateurs_Opportunites[Statut],"Ouverte"))</f>
        <v>0</v>
      </c>
      <c r="AK190" s="75">
        <f>IF(A190="",0,COUNTIF(tbl_Donateurs_Demandes[ID Donateur],A190))</f>
        <v>0</v>
      </c>
      <c r="AL190" s="75">
        <f>IF(A190="",0,COUNTIFS(tbl_Donateurs_Demandes[ID Donateur],A190,tbl_Donateurs_Demandes[Statut],"Approuvee")+COUNTIFS(tbl_Donateurs_Demandes[ID Donateur],A190,tbl_Donateurs_Demandes[Statut],"Financement recu"))</f>
        <v>0</v>
      </c>
      <c r="AM190" s="76">
        <f>IF(A190="",0,SUMIF(tbl_Donateurs_Demandes[ID Donateur],A190,tbl_Donateurs_Demandes[Montant demande]))</f>
        <v>0</v>
      </c>
      <c r="AN190" s="76">
        <f>IF(A190="",0,SUMIF(tbl_Donateurs_Demandes[ID Donateur],A190,tbl_Donateurs_Demandes[Montant accorde]))</f>
        <v>0</v>
      </c>
      <c r="AO190" s="76">
        <f>IF(A190="",0,SUMIF(tbl_Donateurs_Decaissements[ID Donateur],A190,tbl_Donateurs_Decaissements[Montant recu]))</f>
        <v>0</v>
      </c>
      <c r="AP190" s="77" t="str">
        <f t="shared" si="21"/>
        <v/>
      </c>
      <c r="AQ190" s="75">
        <f>IF(A190="",0,COUNTIF(tbl_Donateurs_Contacts[ID Donateur],A190))</f>
        <v>0</v>
      </c>
      <c r="AR190" s="75">
        <f>IF(A190="",0,COUNTIF(tbl_Donateurs_Documents[ID Donateur],A190))</f>
        <v>0</v>
      </c>
      <c r="AS190" s="75">
        <f>IF(A190="",0,COUNTIF(tbl_Donateurs_Conventions[ID Donateur],A190))</f>
        <v>0</v>
      </c>
      <c r="AT190" s="83" t="str">
        <f ca="1">IFERROR(_xlfn.MAXIFS(tbl_Donateurs_Decaissements[Date recue],tbl_Donateurs_Decaissements[ID Donateur],A190),"")</f>
        <v/>
      </c>
      <c r="AU190" s="76" t="str">
        <f t="shared" si="24"/>
        <v/>
      </c>
      <c r="AV190" s="75" t="str">
        <f t="shared" ca="1" si="22"/>
        <v/>
      </c>
      <c r="AW190" s="75" t="str">
        <f t="shared" si="23"/>
        <v/>
      </c>
      <c r="AX190" s="81"/>
    </row>
    <row r="191" spans="1:50" ht="15" customHeight="1">
      <c r="A191" s="75" t="str">
        <f t="shared" si="20"/>
        <v/>
      </c>
      <c r="B191" s="81"/>
      <c r="C191" s="81"/>
      <c r="D191" s="81"/>
      <c r="E191" s="81"/>
      <c r="F191" s="81"/>
      <c r="G191" s="81"/>
      <c r="H191" s="81"/>
      <c r="I191" s="81"/>
      <c r="J191" s="81"/>
      <c r="K191" s="81"/>
      <c r="L191" s="81"/>
      <c r="M191" s="81"/>
      <c r="N191" s="81"/>
      <c r="O191" s="81"/>
      <c r="P191" s="81"/>
      <c r="Q191" s="81"/>
      <c r="R191" s="81"/>
      <c r="S191" s="81"/>
      <c r="T191" s="81"/>
      <c r="U191" s="81"/>
      <c r="V191" s="81"/>
      <c r="W191" s="81"/>
      <c r="X191" s="81"/>
      <c r="Y191" s="75" t="str">
        <f>IFERROR(INDEX(PARAMETRES!$B$536:$B$586,MATCH(X191,PARAMETRES!$J$536:$J$586,0)),"")</f>
        <v/>
      </c>
      <c r="Z191" s="75" t="str">
        <f>IFERROR(INDEX(PARAMETRES!$D$536:$D$586,MATCH(X191,PARAMETRES!$J$536:$J$586,0)),"")</f>
        <v/>
      </c>
      <c r="AA191" s="75" t="str">
        <f>IFERROR(INDEX(PARAMETRES!$F$536:$F$586,MATCH(X191,PARAMETRES!$J$536:$J$586,0)),"")</f>
        <v/>
      </c>
      <c r="AB191" s="81"/>
      <c r="AC191" s="82"/>
      <c r="AD191" s="81"/>
      <c r="AE191" s="82"/>
      <c r="AF191" s="82"/>
      <c r="AG191" s="81"/>
      <c r="AH191" s="81"/>
      <c r="AI191" s="75">
        <f>IF(A191="",0,COUNTIF(tbl_Donateurs_Opportunites[ID Donateur],A191))</f>
        <v>0</v>
      </c>
      <c r="AJ191" s="75">
        <f>IF(A191="",0,COUNTIFS(tbl_Donateurs_Opportunites[ID Donateur],A191,tbl_Donateurs_Opportunites[Statut],"Ouverte"))</f>
        <v>0</v>
      </c>
      <c r="AK191" s="75">
        <f>IF(A191="",0,COUNTIF(tbl_Donateurs_Demandes[ID Donateur],A191))</f>
        <v>0</v>
      </c>
      <c r="AL191" s="75">
        <f>IF(A191="",0,COUNTIFS(tbl_Donateurs_Demandes[ID Donateur],A191,tbl_Donateurs_Demandes[Statut],"Approuvee")+COUNTIFS(tbl_Donateurs_Demandes[ID Donateur],A191,tbl_Donateurs_Demandes[Statut],"Financement recu"))</f>
        <v>0</v>
      </c>
      <c r="AM191" s="76">
        <f>IF(A191="",0,SUMIF(tbl_Donateurs_Demandes[ID Donateur],A191,tbl_Donateurs_Demandes[Montant demande]))</f>
        <v>0</v>
      </c>
      <c r="AN191" s="76">
        <f>IF(A191="",0,SUMIF(tbl_Donateurs_Demandes[ID Donateur],A191,tbl_Donateurs_Demandes[Montant accorde]))</f>
        <v>0</v>
      </c>
      <c r="AO191" s="76">
        <f>IF(A191="",0,SUMIF(tbl_Donateurs_Decaissements[ID Donateur],A191,tbl_Donateurs_Decaissements[Montant recu]))</f>
        <v>0</v>
      </c>
      <c r="AP191" s="77" t="str">
        <f t="shared" si="21"/>
        <v/>
      </c>
      <c r="AQ191" s="75">
        <f>IF(A191="",0,COUNTIF(tbl_Donateurs_Contacts[ID Donateur],A191))</f>
        <v>0</v>
      </c>
      <c r="AR191" s="75">
        <f>IF(A191="",0,COUNTIF(tbl_Donateurs_Documents[ID Donateur],A191))</f>
        <v>0</v>
      </c>
      <c r="AS191" s="75">
        <f>IF(A191="",0,COUNTIF(tbl_Donateurs_Conventions[ID Donateur],A191))</f>
        <v>0</v>
      </c>
      <c r="AT191" s="83" t="str">
        <f ca="1">IFERROR(_xlfn.MAXIFS(tbl_Donateurs_Decaissements[Date recue],tbl_Donateurs_Decaissements[ID Donateur],A191),"")</f>
        <v/>
      </c>
      <c r="AU191" s="76" t="str">
        <f t="shared" si="24"/>
        <v/>
      </c>
      <c r="AV191" s="75" t="str">
        <f t="shared" ca="1" si="22"/>
        <v/>
      </c>
      <c r="AW191" s="75" t="str">
        <f t="shared" si="23"/>
        <v/>
      </c>
      <c r="AX191" s="81"/>
    </row>
    <row r="192" spans="1:50" ht="15" customHeight="1">
      <c r="A192" s="75" t="str">
        <f t="shared" si="20"/>
        <v/>
      </c>
      <c r="B192" s="81"/>
      <c r="C192" s="81"/>
      <c r="D192" s="81"/>
      <c r="E192" s="81"/>
      <c r="F192" s="81"/>
      <c r="G192" s="81"/>
      <c r="H192" s="81"/>
      <c r="I192" s="81"/>
      <c r="J192" s="81"/>
      <c r="K192" s="81"/>
      <c r="L192" s="81"/>
      <c r="M192" s="81"/>
      <c r="N192" s="81"/>
      <c r="O192" s="81"/>
      <c r="P192" s="81"/>
      <c r="Q192" s="81"/>
      <c r="R192" s="81"/>
      <c r="S192" s="81"/>
      <c r="T192" s="81"/>
      <c r="U192" s="81"/>
      <c r="V192" s="81"/>
      <c r="W192" s="81"/>
      <c r="X192" s="81"/>
      <c r="Y192" s="75" t="str">
        <f>IFERROR(INDEX(PARAMETRES!$B$536:$B$586,MATCH(X192,PARAMETRES!$J$536:$J$586,0)),"")</f>
        <v/>
      </c>
      <c r="Z192" s="75" t="str">
        <f>IFERROR(INDEX(PARAMETRES!$D$536:$D$586,MATCH(X192,PARAMETRES!$J$536:$J$586,0)),"")</f>
        <v/>
      </c>
      <c r="AA192" s="75" t="str">
        <f>IFERROR(INDEX(PARAMETRES!$F$536:$F$586,MATCH(X192,PARAMETRES!$J$536:$J$586,0)),"")</f>
        <v/>
      </c>
      <c r="AB192" s="81"/>
      <c r="AC192" s="82"/>
      <c r="AD192" s="81"/>
      <c r="AE192" s="82"/>
      <c r="AF192" s="82"/>
      <c r="AG192" s="81"/>
      <c r="AH192" s="81"/>
      <c r="AI192" s="75">
        <f>IF(A192="",0,COUNTIF(tbl_Donateurs_Opportunites[ID Donateur],A192))</f>
        <v>0</v>
      </c>
      <c r="AJ192" s="75">
        <f>IF(A192="",0,COUNTIFS(tbl_Donateurs_Opportunites[ID Donateur],A192,tbl_Donateurs_Opportunites[Statut],"Ouverte"))</f>
        <v>0</v>
      </c>
      <c r="AK192" s="75">
        <f>IF(A192="",0,COUNTIF(tbl_Donateurs_Demandes[ID Donateur],A192))</f>
        <v>0</v>
      </c>
      <c r="AL192" s="75">
        <f>IF(A192="",0,COUNTIFS(tbl_Donateurs_Demandes[ID Donateur],A192,tbl_Donateurs_Demandes[Statut],"Approuvee")+COUNTIFS(tbl_Donateurs_Demandes[ID Donateur],A192,tbl_Donateurs_Demandes[Statut],"Financement recu"))</f>
        <v>0</v>
      </c>
      <c r="AM192" s="76">
        <f>IF(A192="",0,SUMIF(tbl_Donateurs_Demandes[ID Donateur],A192,tbl_Donateurs_Demandes[Montant demande]))</f>
        <v>0</v>
      </c>
      <c r="AN192" s="76">
        <f>IF(A192="",0,SUMIF(tbl_Donateurs_Demandes[ID Donateur],A192,tbl_Donateurs_Demandes[Montant accorde]))</f>
        <v>0</v>
      </c>
      <c r="AO192" s="76">
        <f>IF(A192="",0,SUMIF(tbl_Donateurs_Decaissements[ID Donateur],A192,tbl_Donateurs_Decaissements[Montant recu]))</f>
        <v>0</v>
      </c>
      <c r="AP192" s="77" t="str">
        <f t="shared" si="21"/>
        <v/>
      </c>
      <c r="AQ192" s="75">
        <f>IF(A192="",0,COUNTIF(tbl_Donateurs_Contacts[ID Donateur],A192))</f>
        <v>0</v>
      </c>
      <c r="AR192" s="75">
        <f>IF(A192="",0,COUNTIF(tbl_Donateurs_Documents[ID Donateur],A192))</f>
        <v>0</v>
      </c>
      <c r="AS192" s="75">
        <f>IF(A192="",0,COUNTIF(tbl_Donateurs_Conventions[ID Donateur],A192))</f>
        <v>0</v>
      </c>
      <c r="AT192" s="83" t="str">
        <f ca="1">IFERROR(_xlfn.MAXIFS(tbl_Donateurs_Decaissements[Date recue],tbl_Donateurs_Decaissements[ID Donateur],A192),"")</f>
        <v/>
      </c>
      <c r="AU192" s="76" t="str">
        <f t="shared" si="24"/>
        <v/>
      </c>
      <c r="AV192" s="75" t="str">
        <f t="shared" ca="1" si="22"/>
        <v/>
      </c>
      <c r="AW192" s="75" t="str">
        <f t="shared" si="23"/>
        <v/>
      </c>
      <c r="AX192" s="81"/>
    </row>
    <row r="193" spans="1:50" ht="15" customHeight="1">
      <c r="A193" s="75" t="str">
        <f t="shared" si="20"/>
        <v/>
      </c>
      <c r="B193" s="81"/>
      <c r="C193" s="81"/>
      <c r="D193" s="81"/>
      <c r="E193" s="81"/>
      <c r="F193" s="81"/>
      <c r="G193" s="81"/>
      <c r="H193" s="81"/>
      <c r="I193" s="81"/>
      <c r="J193" s="81"/>
      <c r="K193" s="81"/>
      <c r="L193" s="81"/>
      <c r="M193" s="81"/>
      <c r="N193" s="81"/>
      <c r="O193" s="81"/>
      <c r="P193" s="81"/>
      <c r="Q193" s="81"/>
      <c r="R193" s="81"/>
      <c r="S193" s="81"/>
      <c r="T193" s="81"/>
      <c r="U193" s="81"/>
      <c r="V193" s="81"/>
      <c r="W193" s="81"/>
      <c r="X193" s="81"/>
      <c r="Y193" s="75" t="str">
        <f>IFERROR(INDEX(PARAMETRES!$B$536:$B$586,MATCH(X193,PARAMETRES!$J$536:$J$586,0)),"")</f>
        <v/>
      </c>
      <c r="Z193" s="75" t="str">
        <f>IFERROR(INDEX(PARAMETRES!$D$536:$D$586,MATCH(X193,PARAMETRES!$J$536:$J$586,0)),"")</f>
        <v/>
      </c>
      <c r="AA193" s="75" t="str">
        <f>IFERROR(INDEX(PARAMETRES!$F$536:$F$586,MATCH(X193,PARAMETRES!$J$536:$J$586,0)),"")</f>
        <v/>
      </c>
      <c r="AB193" s="81"/>
      <c r="AC193" s="82"/>
      <c r="AD193" s="81"/>
      <c r="AE193" s="82"/>
      <c r="AF193" s="82"/>
      <c r="AG193" s="81"/>
      <c r="AH193" s="81"/>
      <c r="AI193" s="75">
        <f>IF(A193="",0,COUNTIF(tbl_Donateurs_Opportunites[ID Donateur],A193))</f>
        <v>0</v>
      </c>
      <c r="AJ193" s="75">
        <f>IF(A193="",0,COUNTIFS(tbl_Donateurs_Opportunites[ID Donateur],A193,tbl_Donateurs_Opportunites[Statut],"Ouverte"))</f>
        <v>0</v>
      </c>
      <c r="AK193" s="75">
        <f>IF(A193="",0,COUNTIF(tbl_Donateurs_Demandes[ID Donateur],A193))</f>
        <v>0</v>
      </c>
      <c r="AL193" s="75">
        <f>IF(A193="",0,COUNTIFS(tbl_Donateurs_Demandes[ID Donateur],A193,tbl_Donateurs_Demandes[Statut],"Approuvee")+COUNTIFS(tbl_Donateurs_Demandes[ID Donateur],A193,tbl_Donateurs_Demandes[Statut],"Financement recu"))</f>
        <v>0</v>
      </c>
      <c r="AM193" s="76">
        <f>IF(A193="",0,SUMIF(tbl_Donateurs_Demandes[ID Donateur],A193,tbl_Donateurs_Demandes[Montant demande]))</f>
        <v>0</v>
      </c>
      <c r="AN193" s="76">
        <f>IF(A193="",0,SUMIF(tbl_Donateurs_Demandes[ID Donateur],A193,tbl_Donateurs_Demandes[Montant accorde]))</f>
        <v>0</v>
      </c>
      <c r="AO193" s="76">
        <f>IF(A193="",0,SUMIF(tbl_Donateurs_Decaissements[ID Donateur],A193,tbl_Donateurs_Decaissements[Montant recu]))</f>
        <v>0</v>
      </c>
      <c r="AP193" s="77" t="str">
        <f t="shared" si="21"/>
        <v/>
      </c>
      <c r="AQ193" s="75">
        <f>IF(A193="",0,COUNTIF(tbl_Donateurs_Contacts[ID Donateur],A193))</f>
        <v>0</v>
      </c>
      <c r="AR193" s="75">
        <f>IF(A193="",0,COUNTIF(tbl_Donateurs_Documents[ID Donateur],A193))</f>
        <v>0</v>
      </c>
      <c r="AS193" s="75">
        <f>IF(A193="",0,COUNTIF(tbl_Donateurs_Conventions[ID Donateur],A193))</f>
        <v>0</v>
      </c>
      <c r="AT193" s="83" t="str">
        <f ca="1">IFERROR(_xlfn.MAXIFS(tbl_Donateurs_Decaissements[Date recue],tbl_Donateurs_Decaissements[ID Donateur],A193),"")</f>
        <v/>
      </c>
      <c r="AU193" s="76" t="str">
        <f t="shared" si="24"/>
        <v/>
      </c>
      <c r="AV193" s="75" t="str">
        <f t="shared" ca="1" si="22"/>
        <v/>
      </c>
      <c r="AW193" s="75" t="str">
        <f t="shared" si="23"/>
        <v/>
      </c>
      <c r="AX193" s="81"/>
    </row>
    <row r="194" spans="1:50" ht="15" customHeight="1">
      <c r="A194" s="75" t="str">
        <f t="shared" si="20"/>
        <v/>
      </c>
      <c r="B194" s="81"/>
      <c r="C194" s="81"/>
      <c r="D194" s="81"/>
      <c r="E194" s="81"/>
      <c r="F194" s="81"/>
      <c r="G194" s="81"/>
      <c r="H194" s="81"/>
      <c r="I194" s="81"/>
      <c r="J194" s="81"/>
      <c r="K194" s="81"/>
      <c r="L194" s="81"/>
      <c r="M194" s="81"/>
      <c r="N194" s="81"/>
      <c r="O194" s="81"/>
      <c r="P194" s="81"/>
      <c r="Q194" s="81"/>
      <c r="R194" s="81"/>
      <c r="S194" s="81"/>
      <c r="T194" s="81"/>
      <c r="U194" s="81"/>
      <c r="V194" s="81"/>
      <c r="W194" s="81"/>
      <c r="X194" s="81"/>
      <c r="Y194" s="75" t="str">
        <f>IFERROR(INDEX(PARAMETRES!$B$536:$B$586,MATCH(X194,PARAMETRES!$J$536:$J$586,0)),"")</f>
        <v/>
      </c>
      <c r="Z194" s="75" t="str">
        <f>IFERROR(INDEX(PARAMETRES!$D$536:$D$586,MATCH(X194,PARAMETRES!$J$536:$J$586,0)),"")</f>
        <v/>
      </c>
      <c r="AA194" s="75" t="str">
        <f>IFERROR(INDEX(PARAMETRES!$F$536:$F$586,MATCH(X194,PARAMETRES!$J$536:$J$586,0)),"")</f>
        <v/>
      </c>
      <c r="AB194" s="81"/>
      <c r="AC194" s="82"/>
      <c r="AD194" s="81"/>
      <c r="AE194" s="82"/>
      <c r="AF194" s="82"/>
      <c r="AG194" s="81"/>
      <c r="AH194" s="81"/>
      <c r="AI194" s="75">
        <f>IF(A194="",0,COUNTIF(tbl_Donateurs_Opportunites[ID Donateur],A194))</f>
        <v>0</v>
      </c>
      <c r="AJ194" s="75">
        <f>IF(A194="",0,COUNTIFS(tbl_Donateurs_Opportunites[ID Donateur],A194,tbl_Donateurs_Opportunites[Statut],"Ouverte"))</f>
        <v>0</v>
      </c>
      <c r="AK194" s="75">
        <f>IF(A194="",0,COUNTIF(tbl_Donateurs_Demandes[ID Donateur],A194))</f>
        <v>0</v>
      </c>
      <c r="AL194" s="75">
        <f>IF(A194="",0,COUNTIFS(tbl_Donateurs_Demandes[ID Donateur],A194,tbl_Donateurs_Demandes[Statut],"Approuvee")+COUNTIFS(tbl_Donateurs_Demandes[ID Donateur],A194,tbl_Donateurs_Demandes[Statut],"Financement recu"))</f>
        <v>0</v>
      </c>
      <c r="AM194" s="76">
        <f>IF(A194="",0,SUMIF(tbl_Donateurs_Demandes[ID Donateur],A194,tbl_Donateurs_Demandes[Montant demande]))</f>
        <v>0</v>
      </c>
      <c r="AN194" s="76">
        <f>IF(A194="",0,SUMIF(tbl_Donateurs_Demandes[ID Donateur],A194,tbl_Donateurs_Demandes[Montant accorde]))</f>
        <v>0</v>
      </c>
      <c r="AO194" s="76">
        <f>IF(A194="",0,SUMIF(tbl_Donateurs_Decaissements[ID Donateur],A194,tbl_Donateurs_Decaissements[Montant recu]))</f>
        <v>0</v>
      </c>
      <c r="AP194" s="77" t="str">
        <f t="shared" si="21"/>
        <v/>
      </c>
      <c r="AQ194" s="75">
        <f>IF(A194="",0,COUNTIF(tbl_Donateurs_Contacts[ID Donateur],A194))</f>
        <v>0</v>
      </c>
      <c r="AR194" s="75">
        <f>IF(A194="",0,COUNTIF(tbl_Donateurs_Documents[ID Donateur],A194))</f>
        <v>0</v>
      </c>
      <c r="AS194" s="75">
        <f>IF(A194="",0,COUNTIF(tbl_Donateurs_Conventions[ID Donateur],A194))</f>
        <v>0</v>
      </c>
      <c r="AT194" s="83" t="str">
        <f ca="1">IFERROR(_xlfn.MAXIFS(tbl_Donateurs_Decaissements[Date recue],tbl_Donateurs_Decaissements[ID Donateur],A194),"")</f>
        <v/>
      </c>
      <c r="AU194" s="76" t="str">
        <f t="shared" si="24"/>
        <v/>
      </c>
      <c r="AV194" s="75" t="str">
        <f t="shared" ca="1" si="22"/>
        <v/>
      </c>
      <c r="AW194" s="75" t="str">
        <f t="shared" si="23"/>
        <v/>
      </c>
      <c r="AX194" s="81"/>
    </row>
    <row r="195" spans="1:50" ht="15" customHeight="1">
      <c r="A195" s="75" t="str">
        <f t="shared" si="20"/>
        <v/>
      </c>
      <c r="B195" s="81"/>
      <c r="C195" s="81"/>
      <c r="D195" s="81"/>
      <c r="E195" s="81"/>
      <c r="F195" s="81"/>
      <c r="G195" s="81"/>
      <c r="H195" s="81"/>
      <c r="I195" s="81"/>
      <c r="J195" s="81"/>
      <c r="K195" s="81"/>
      <c r="L195" s="81"/>
      <c r="M195" s="81"/>
      <c r="N195" s="81"/>
      <c r="O195" s="81"/>
      <c r="P195" s="81"/>
      <c r="Q195" s="81"/>
      <c r="R195" s="81"/>
      <c r="S195" s="81"/>
      <c r="T195" s="81"/>
      <c r="U195" s="81"/>
      <c r="V195" s="81"/>
      <c r="W195" s="81"/>
      <c r="X195" s="81"/>
      <c r="Y195" s="75" t="str">
        <f>IFERROR(INDEX(PARAMETRES!$B$536:$B$586,MATCH(X195,PARAMETRES!$J$536:$J$586,0)),"")</f>
        <v/>
      </c>
      <c r="Z195" s="75" t="str">
        <f>IFERROR(INDEX(PARAMETRES!$D$536:$D$586,MATCH(X195,PARAMETRES!$J$536:$J$586,0)),"")</f>
        <v/>
      </c>
      <c r="AA195" s="75" t="str">
        <f>IFERROR(INDEX(PARAMETRES!$F$536:$F$586,MATCH(X195,PARAMETRES!$J$536:$J$586,0)),"")</f>
        <v/>
      </c>
      <c r="AB195" s="81"/>
      <c r="AC195" s="82"/>
      <c r="AD195" s="81"/>
      <c r="AE195" s="82"/>
      <c r="AF195" s="82"/>
      <c r="AG195" s="81"/>
      <c r="AH195" s="81"/>
      <c r="AI195" s="75">
        <f>IF(A195="",0,COUNTIF(tbl_Donateurs_Opportunites[ID Donateur],A195))</f>
        <v>0</v>
      </c>
      <c r="AJ195" s="75">
        <f>IF(A195="",0,COUNTIFS(tbl_Donateurs_Opportunites[ID Donateur],A195,tbl_Donateurs_Opportunites[Statut],"Ouverte"))</f>
        <v>0</v>
      </c>
      <c r="AK195" s="75">
        <f>IF(A195="",0,COUNTIF(tbl_Donateurs_Demandes[ID Donateur],A195))</f>
        <v>0</v>
      </c>
      <c r="AL195" s="75">
        <f>IF(A195="",0,COUNTIFS(tbl_Donateurs_Demandes[ID Donateur],A195,tbl_Donateurs_Demandes[Statut],"Approuvee")+COUNTIFS(tbl_Donateurs_Demandes[ID Donateur],A195,tbl_Donateurs_Demandes[Statut],"Financement recu"))</f>
        <v>0</v>
      </c>
      <c r="AM195" s="76">
        <f>IF(A195="",0,SUMIF(tbl_Donateurs_Demandes[ID Donateur],A195,tbl_Donateurs_Demandes[Montant demande]))</f>
        <v>0</v>
      </c>
      <c r="AN195" s="76">
        <f>IF(A195="",0,SUMIF(tbl_Donateurs_Demandes[ID Donateur],A195,tbl_Donateurs_Demandes[Montant accorde]))</f>
        <v>0</v>
      </c>
      <c r="AO195" s="76">
        <f>IF(A195="",0,SUMIF(tbl_Donateurs_Decaissements[ID Donateur],A195,tbl_Donateurs_Decaissements[Montant recu]))</f>
        <v>0</v>
      </c>
      <c r="AP195" s="77" t="str">
        <f t="shared" si="21"/>
        <v/>
      </c>
      <c r="AQ195" s="75">
        <f>IF(A195="",0,COUNTIF(tbl_Donateurs_Contacts[ID Donateur],A195))</f>
        <v>0</v>
      </c>
      <c r="AR195" s="75">
        <f>IF(A195="",0,COUNTIF(tbl_Donateurs_Documents[ID Donateur],A195))</f>
        <v>0</v>
      </c>
      <c r="AS195" s="75">
        <f>IF(A195="",0,COUNTIF(tbl_Donateurs_Conventions[ID Donateur],A195))</f>
        <v>0</v>
      </c>
      <c r="AT195" s="83" t="str">
        <f ca="1">IFERROR(_xlfn.MAXIFS(tbl_Donateurs_Decaissements[Date recue],tbl_Donateurs_Decaissements[ID Donateur],A195),"")</f>
        <v/>
      </c>
      <c r="AU195" s="76" t="str">
        <f t="shared" si="24"/>
        <v/>
      </c>
      <c r="AV195" s="75" t="str">
        <f t="shared" ca="1" si="22"/>
        <v/>
      </c>
      <c r="AW195" s="75" t="str">
        <f t="shared" si="23"/>
        <v/>
      </c>
      <c r="AX195" s="81"/>
    </row>
    <row r="196" spans="1:50" ht="15" customHeight="1">
      <c r="A196" s="75" t="str">
        <f t="shared" si="20"/>
        <v/>
      </c>
      <c r="B196" s="81"/>
      <c r="C196" s="81"/>
      <c r="D196" s="81"/>
      <c r="E196" s="81"/>
      <c r="F196" s="81"/>
      <c r="G196" s="81"/>
      <c r="H196" s="81"/>
      <c r="I196" s="81"/>
      <c r="J196" s="81"/>
      <c r="K196" s="81"/>
      <c r="L196" s="81"/>
      <c r="M196" s="81"/>
      <c r="N196" s="81"/>
      <c r="O196" s="81"/>
      <c r="P196" s="81"/>
      <c r="Q196" s="81"/>
      <c r="R196" s="81"/>
      <c r="S196" s="81"/>
      <c r="T196" s="81"/>
      <c r="U196" s="81"/>
      <c r="V196" s="81"/>
      <c r="W196" s="81"/>
      <c r="X196" s="81"/>
      <c r="Y196" s="75" t="str">
        <f>IFERROR(INDEX(PARAMETRES!$B$536:$B$586,MATCH(X196,PARAMETRES!$J$536:$J$586,0)),"")</f>
        <v/>
      </c>
      <c r="Z196" s="75" t="str">
        <f>IFERROR(INDEX(PARAMETRES!$D$536:$D$586,MATCH(X196,PARAMETRES!$J$536:$J$586,0)),"")</f>
        <v/>
      </c>
      <c r="AA196" s="75" t="str">
        <f>IFERROR(INDEX(PARAMETRES!$F$536:$F$586,MATCH(X196,PARAMETRES!$J$536:$J$586,0)),"")</f>
        <v/>
      </c>
      <c r="AB196" s="81"/>
      <c r="AC196" s="82"/>
      <c r="AD196" s="81"/>
      <c r="AE196" s="82"/>
      <c r="AF196" s="82"/>
      <c r="AG196" s="81"/>
      <c r="AH196" s="81"/>
      <c r="AI196" s="75">
        <f>IF(A196="",0,COUNTIF(tbl_Donateurs_Opportunites[ID Donateur],A196))</f>
        <v>0</v>
      </c>
      <c r="AJ196" s="75">
        <f>IF(A196="",0,COUNTIFS(tbl_Donateurs_Opportunites[ID Donateur],A196,tbl_Donateurs_Opportunites[Statut],"Ouverte"))</f>
        <v>0</v>
      </c>
      <c r="AK196" s="75">
        <f>IF(A196="",0,COUNTIF(tbl_Donateurs_Demandes[ID Donateur],A196))</f>
        <v>0</v>
      </c>
      <c r="AL196" s="75">
        <f>IF(A196="",0,COUNTIFS(tbl_Donateurs_Demandes[ID Donateur],A196,tbl_Donateurs_Demandes[Statut],"Approuvee")+COUNTIFS(tbl_Donateurs_Demandes[ID Donateur],A196,tbl_Donateurs_Demandes[Statut],"Financement recu"))</f>
        <v>0</v>
      </c>
      <c r="AM196" s="76">
        <f>IF(A196="",0,SUMIF(tbl_Donateurs_Demandes[ID Donateur],A196,tbl_Donateurs_Demandes[Montant demande]))</f>
        <v>0</v>
      </c>
      <c r="AN196" s="76">
        <f>IF(A196="",0,SUMIF(tbl_Donateurs_Demandes[ID Donateur],A196,tbl_Donateurs_Demandes[Montant accorde]))</f>
        <v>0</v>
      </c>
      <c r="AO196" s="76">
        <f>IF(A196="",0,SUMIF(tbl_Donateurs_Decaissements[ID Donateur],A196,tbl_Donateurs_Decaissements[Montant recu]))</f>
        <v>0</v>
      </c>
      <c r="AP196" s="77" t="str">
        <f t="shared" si="21"/>
        <v/>
      </c>
      <c r="AQ196" s="75">
        <f>IF(A196="",0,COUNTIF(tbl_Donateurs_Contacts[ID Donateur],A196))</f>
        <v>0</v>
      </c>
      <c r="AR196" s="75">
        <f>IF(A196="",0,COUNTIF(tbl_Donateurs_Documents[ID Donateur],A196))</f>
        <v>0</v>
      </c>
      <c r="AS196" s="75">
        <f>IF(A196="",0,COUNTIF(tbl_Donateurs_Conventions[ID Donateur],A196))</f>
        <v>0</v>
      </c>
      <c r="AT196" s="83" t="str">
        <f ca="1">IFERROR(_xlfn.MAXIFS(tbl_Donateurs_Decaissements[Date recue],tbl_Donateurs_Decaissements[ID Donateur],A196),"")</f>
        <v/>
      </c>
      <c r="AU196" s="76" t="str">
        <f t="shared" si="24"/>
        <v/>
      </c>
      <c r="AV196" s="75" t="str">
        <f t="shared" ca="1" si="22"/>
        <v/>
      </c>
      <c r="AW196" s="75" t="str">
        <f t="shared" si="23"/>
        <v/>
      </c>
      <c r="AX196" s="81"/>
    </row>
    <row r="197" spans="1:50" ht="15" customHeight="1">
      <c r="A197" s="75" t="str">
        <f t="shared" si="20"/>
        <v/>
      </c>
      <c r="B197" s="81"/>
      <c r="C197" s="81"/>
      <c r="D197" s="81"/>
      <c r="E197" s="81"/>
      <c r="F197" s="81"/>
      <c r="G197" s="81"/>
      <c r="H197" s="81"/>
      <c r="I197" s="81"/>
      <c r="J197" s="81"/>
      <c r="K197" s="81"/>
      <c r="L197" s="81"/>
      <c r="M197" s="81"/>
      <c r="N197" s="81"/>
      <c r="O197" s="81"/>
      <c r="P197" s="81"/>
      <c r="Q197" s="81"/>
      <c r="R197" s="81"/>
      <c r="S197" s="81"/>
      <c r="T197" s="81"/>
      <c r="U197" s="81"/>
      <c r="V197" s="81"/>
      <c r="W197" s="81"/>
      <c r="X197" s="81"/>
      <c r="Y197" s="75" t="str">
        <f>IFERROR(INDEX(PARAMETRES!$B$536:$B$586,MATCH(X197,PARAMETRES!$J$536:$J$586,0)),"")</f>
        <v/>
      </c>
      <c r="Z197" s="75" t="str">
        <f>IFERROR(INDEX(PARAMETRES!$D$536:$D$586,MATCH(X197,PARAMETRES!$J$536:$J$586,0)),"")</f>
        <v/>
      </c>
      <c r="AA197" s="75" t="str">
        <f>IFERROR(INDEX(PARAMETRES!$F$536:$F$586,MATCH(X197,PARAMETRES!$J$536:$J$586,0)),"")</f>
        <v/>
      </c>
      <c r="AB197" s="81"/>
      <c r="AC197" s="82"/>
      <c r="AD197" s="81"/>
      <c r="AE197" s="82"/>
      <c r="AF197" s="82"/>
      <c r="AG197" s="81"/>
      <c r="AH197" s="81"/>
      <c r="AI197" s="75">
        <f>IF(A197="",0,COUNTIF(tbl_Donateurs_Opportunites[ID Donateur],A197))</f>
        <v>0</v>
      </c>
      <c r="AJ197" s="75">
        <f>IF(A197="",0,COUNTIFS(tbl_Donateurs_Opportunites[ID Donateur],A197,tbl_Donateurs_Opportunites[Statut],"Ouverte"))</f>
        <v>0</v>
      </c>
      <c r="AK197" s="75">
        <f>IF(A197="",0,COUNTIF(tbl_Donateurs_Demandes[ID Donateur],A197))</f>
        <v>0</v>
      </c>
      <c r="AL197" s="75">
        <f>IF(A197="",0,COUNTIFS(tbl_Donateurs_Demandes[ID Donateur],A197,tbl_Donateurs_Demandes[Statut],"Approuvee")+COUNTIFS(tbl_Donateurs_Demandes[ID Donateur],A197,tbl_Donateurs_Demandes[Statut],"Financement recu"))</f>
        <v>0</v>
      </c>
      <c r="AM197" s="76">
        <f>IF(A197="",0,SUMIF(tbl_Donateurs_Demandes[ID Donateur],A197,tbl_Donateurs_Demandes[Montant demande]))</f>
        <v>0</v>
      </c>
      <c r="AN197" s="76">
        <f>IF(A197="",0,SUMIF(tbl_Donateurs_Demandes[ID Donateur],A197,tbl_Donateurs_Demandes[Montant accorde]))</f>
        <v>0</v>
      </c>
      <c r="AO197" s="76">
        <f>IF(A197="",0,SUMIF(tbl_Donateurs_Decaissements[ID Donateur],A197,tbl_Donateurs_Decaissements[Montant recu]))</f>
        <v>0</v>
      </c>
      <c r="AP197" s="77" t="str">
        <f t="shared" si="21"/>
        <v/>
      </c>
      <c r="AQ197" s="75">
        <f>IF(A197="",0,COUNTIF(tbl_Donateurs_Contacts[ID Donateur],A197))</f>
        <v>0</v>
      </c>
      <c r="AR197" s="75">
        <f>IF(A197="",0,COUNTIF(tbl_Donateurs_Documents[ID Donateur],A197))</f>
        <v>0</v>
      </c>
      <c r="AS197" s="75">
        <f>IF(A197="",0,COUNTIF(tbl_Donateurs_Conventions[ID Donateur],A197))</f>
        <v>0</v>
      </c>
      <c r="AT197" s="83" t="str">
        <f ca="1">IFERROR(_xlfn.MAXIFS(tbl_Donateurs_Decaissements[Date recue],tbl_Donateurs_Decaissements[ID Donateur],A197),"")</f>
        <v/>
      </c>
      <c r="AU197" s="76" t="str">
        <f t="shared" si="24"/>
        <v/>
      </c>
      <c r="AV197" s="75" t="str">
        <f t="shared" ca="1" si="22"/>
        <v/>
      </c>
      <c r="AW197" s="75" t="str">
        <f t="shared" si="23"/>
        <v/>
      </c>
      <c r="AX197" s="81"/>
    </row>
    <row r="198" spans="1:50" ht="15" customHeight="1">
      <c r="A198" s="75" t="str">
        <f t="shared" si="20"/>
        <v/>
      </c>
      <c r="B198" s="81"/>
      <c r="C198" s="81"/>
      <c r="D198" s="81"/>
      <c r="E198" s="81"/>
      <c r="F198" s="81"/>
      <c r="G198" s="81"/>
      <c r="H198" s="81"/>
      <c r="I198" s="81"/>
      <c r="J198" s="81"/>
      <c r="K198" s="81"/>
      <c r="L198" s="81"/>
      <c r="M198" s="81"/>
      <c r="N198" s="81"/>
      <c r="O198" s="81"/>
      <c r="P198" s="81"/>
      <c r="Q198" s="81"/>
      <c r="R198" s="81"/>
      <c r="S198" s="81"/>
      <c r="T198" s="81"/>
      <c r="U198" s="81"/>
      <c r="V198" s="81"/>
      <c r="W198" s="81"/>
      <c r="X198" s="81"/>
      <c r="Y198" s="75" t="str">
        <f>IFERROR(INDEX(PARAMETRES!$B$536:$B$586,MATCH(X198,PARAMETRES!$J$536:$J$586,0)),"")</f>
        <v/>
      </c>
      <c r="Z198" s="75" t="str">
        <f>IFERROR(INDEX(PARAMETRES!$D$536:$D$586,MATCH(X198,PARAMETRES!$J$536:$J$586,0)),"")</f>
        <v/>
      </c>
      <c r="AA198" s="75" t="str">
        <f>IFERROR(INDEX(PARAMETRES!$F$536:$F$586,MATCH(X198,PARAMETRES!$J$536:$J$586,0)),"")</f>
        <v/>
      </c>
      <c r="AB198" s="81"/>
      <c r="AC198" s="82"/>
      <c r="AD198" s="81"/>
      <c r="AE198" s="82"/>
      <c r="AF198" s="82"/>
      <c r="AG198" s="81"/>
      <c r="AH198" s="81"/>
      <c r="AI198" s="75">
        <f>IF(A198="",0,COUNTIF(tbl_Donateurs_Opportunites[ID Donateur],A198))</f>
        <v>0</v>
      </c>
      <c r="AJ198" s="75">
        <f>IF(A198="",0,COUNTIFS(tbl_Donateurs_Opportunites[ID Donateur],A198,tbl_Donateurs_Opportunites[Statut],"Ouverte"))</f>
        <v>0</v>
      </c>
      <c r="AK198" s="75">
        <f>IF(A198="",0,COUNTIF(tbl_Donateurs_Demandes[ID Donateur],A198))</f>
        <v>0</v>
      </c>
      <c r="AL198" s="75">
        <f>IF(A198="",0,COUNTIFS(tbl_Donateurs_Demandes[ID Donateur],A198,tbl_Donateurs_Demandes[Statut],"Approuvee")+COUNTIFS(tbl_Donateurs_Demandes[ID Donateur],A198,tbl_Donateurs_Demandes[Statut],"Financement recu"))</f>
        <v>0</v>
      </c>
      <c r="AM198" s="76">
        <f>IF(A198="",0,SUMIF(tbl_Donateurs_Demandes[ID Donateur],A198,tbl_Donateurs_Demandes[Montant demande]))</f>
        <v>0</v>
      </c>
      <c r="AN198" s="76">
        <f>IF(A198="",0,SUMIF(tbl_Donateurs_Demandes[ID Donateur],A198,tbl_Donateurs_Demandes[Montant accorde]))</f>
        <v>0</v>
      </c>
      <c r="AO198" s="76">
        <f>IF(A198="",0,SUMIF(tbl_Donateurs_Decaissements[ID Donateur],A198,tbl_Donateurs_Decaissements[Montant recu]))</f>
        <v>0</v>
      </c>
      <c r="AP198" s="77" t="str">
        <f t="shared" si="21"/>
        <v/>
      </c>
      <c r="AQ198" s="75">
        <f>IF(A198="",0,COUNTIF(tbl_Donateurs_Contacts[ID Donateur],A198))</f>
        <v>0</v>
      </c>
      <c r="AR198" s="75">
        <f>IF(A198="",0,COUNTIF(tbl_Donateurs_Documents[ID Donateur],A198))</f>
        <v>0</v>
      </c>
      <c r="AS198" s="75">
        <f>IF(A198="",0,COUNTIF(tbl_Donateurs_Conventions[ID Donateur],A198))</f>
        <v>0</v>
      </c>
      <c r="AT198" s="83" t="str">
        <f ca="1">IFERROR(_xlfn.MAXIFS(tbl_Donateurs_Decaissements[Date recue],tbl_Donateurs_Decaissements[ID Donateur],A198),"")</f>
        <v/>
      </c>
      <c r="AU198" s="76" t="str">
        <f t="shared" si="24"/>
        <v/>
      </c>
      <c r="AV198" s="75" t="str">
        <f t="shared" ca="1" si="22"/>
        <v/>
      </c>
      <c r="AW198" s="75" t="str">
        <f t="shared" si="23"/>
        <v/>
      </c>
      <c r="AX198" s="81"/>
    </row>
    <row r="199" spans="1:50" ht="15" customHeight="1">
      <c r="A199" s="75" t="str">
        <f t="shared" si="20"/>
        <v/>
      </c>
      <c r="B199" s="81"/>
      <c r="C199" s="81"/>
      <c r="D199" s="81"/>
      <c r="E199" s="81"/>
      <c r="F199" s="81"/>
      <c r="G199" s="81"/>
      <c r="H199" s="81"/>
      <c r="I199" s="81"/>
      <c r="J199" s="81"/>
      <c r="K199" s="81"/>
      <c r="L199" s="81"/>
      <c r="M199" s="81"/>
      <c r="N199" s="81"/>
      <c r="O199" s="81"/>
      <c r="P199" s="81"/>
      <c r="Q199" s="81"/>
      <c r="R199" s="81"/>
      <c r="S199" s="81"/>
      <c r="T199" s="81"/>
      <c r="U199" s="81"/>
      <c r="V199" s="81"/>
      <c r="W199" s="81"/>
      <c r="X199" s="81"/>
      <c r="Y199" s="75" t="str">
        <f>IFERROR(INDEX(PARAMETRES!$B$536:$B$586,MATCH(X199,PARAMETRES!$J$536:$J$586,0)),"")</f>
        <v/>
      </c>
      <c r="Z199" s="75" t="str">
        <f>IFERROR(INDEX(PARAMETRES!$D$536:$D$586,MATCH(X199,PARAMETRES!$J$536:$J$586,0)),"")</f>
        <v/>
      </c>
      <c r="AA199" s="75" t="str">
        <f>IFERROR(INDEX(PARAMETRES!$F$536:$F$586,MATCH(X199,PARAMETRES!$J$536:$J$586,0)),"")</f>
        <v/>
      </c>
      <c r="AB199" s="81"/>
      <c r="AC199" s="82"/>
      <c r="AD199" s="81"/>
      <c r="AE199" s="82"/>
      <c r="AF199" s="82"/>
      <c r="AG199" s="81"/>
      <c r="AH199" s="81"/>
      <c r="AI199" s="75">
        <f>IF(A199="",0,COUNTIF(tbl_Donateurs_Opportunites[ID Donateur],A199))</f>
        <v>0</v>
      </c>
      <c r="AJ199" s="75">
        <f>IF(A199="",0,COUNTIFS(tbl_Donateurs_Opportunites[ID Donateur],A199,tbl_Donateurs_Opportunites[Statut],"Ouverte"))</f>
        <v>0</v>
      </c>
      <c r="AK199" s="75">
        <f>IF(A199="",0,COUNTIF(tbl_Donateurs_Demandes[ID Donateur],A199))</f>
        <v>0</v>
      </c>
      <c r="AL199" s="75">
        <f>IF(A199="",0,COUNTIFS(tbl_Donateurs_Demandes[ID Donateur],A199,tbl_Donateurs_Demandes[Statut],"Approuvee")+COUNTIFS(tbl_Donateurs_Demandes[ID Donateur],A199,tbl_Donateurs_Demandes[Statut],"Financement recu"))</f>
        <v>0</v>
      </c>
      <c r="AM199" s="76">
        <f>IF(A199="",0,SUMIF(tbl_Donateurs_Demandes[ID Donateur],A199,tbl_Donateurs_Demandes[Montant demande]))</f>
        <v>0</v>
      </c>
      <c r="AN199" s="76">
        <f>IF(A199="",0,SUMIF(tbl_Donateurs_Demandes[ID Donateur],A199,tbl_Donateurs_Demandes[Montant accorde]))</f>
        <v>0</v>
      </c>
      <c r="AO199" s="76">
        <f>IF(A199="",0,SUMIF(tbl_Donateurs_Decaissements[ID Donateur],A199,tbl_Donateurs_Decaissements[Montant recu]))</f>
        <v>0</v>
      </c>
      <c r="AP199" s="77" t="str">
        <f t="shared" si="21"/>
        <v/>
      </c>
      <c r="AQ199" s="75">
        <f>IF(A199="",0,COUNTIF(tbl_Donateurs_Contacts[ID Donateur],A199))</f>
        <v>0</v>
      </c>
      <c r="AR199" s="75">
        <f>IF(A199="",0,COUNTIF(tbl_Donateurs_Documents[ID Donateur],A199))</f>
        <v>0</v>
      </c>
      <c r="AS199" s="75">
        <f>IF(A199="",0,COUNTIF(tbl_Donateurs_Conventions[ID Donateur],A199))</f>
        <v>0</v>
      </c>
      <c r="AT199" s="83" t="str">
        <f ca="1">IFERROR(_xlfn.MAXIFS(tbl_Donateurs_Decaissements[Date recue],tbl_Donateurs_Decaissements[ID Donateur],A199),"")</f>
        <v/>
      </c>
      <c r="AU199" s="76" t="str">
        <f t="shared" si="24"/>
        <v/>
      </c>
      <c r="AV199" s="75" t="str">
        <f t="shared" ca="1" si="22"/>
        <v/>
      </c>
      <c r="AW199" s="75" t="str">
        <f t="shared" si="23"/>
        <v/>
      </c>
      <c r="AX199" s="81"/>
    </row>
    <row r="200" spans="1:50" ht="15" customHeight="1">
      <c r="A200" s="75" t="str">
        <f t="shared" si="20"/>
        <v/>
      </c>
      <c r="B200" s="81"/>
      <c r="C200" s="81"/>
      <c r="D200" s="81"/>
      <c r="E200" s="81"/>
      <c r="F200" s="81"/>
      <c r="G200" s="81"/>
      <c r="H200" s="81"/>
      <c r="I200" s="81"/>
      <c r="J200" s="81"/>
      <c r="K200" s="81"/>
      <c r="L200" s="81"/>
      <c r="M200" s="81"/>
      <c r="N200" s="81"/>
      <c r="O200" s="81"/>
      <c r="P200" s="81"/>
      <c r="Q200" s="81"/>
      <c r="R200" s="81"/>
      <c r="S200" s="81"/>
      <c r="T200" s="81"/>
      <c r="U200" s="81"/>
      <c r="V200" s="81"/>
      <c r="W200" s="81"/>
      <c r="X200" s="81"/>
      <c r="Y200" s="75" t="str">
        <f>IFERROR(INDEX(PARAMETRES!$B$536:$B$586,MATCH(X200,PARAMETRES!$J$536:$J$586,0)),"")</f>
        <v/>
      </c>
      <c r="Z200" s="75" t="str">
        <f>IFERROR(INDEX(PARAMETRES!$D$536:$D$586,MATCH(X200,PARAMETRES!$J$536:$J$586,0)),"")</f>
        <v/>
      </c>
      <c r="AA200" s="75" t="str">
        <f>IFERROR(INDEX(PARAMETRES!$F$536:$F$586,MATCH(X200,PARAMETRES!$J$536:$J$586,0)),"")</f>
        <v/>
      </c>
      <c r="AB200" s="81"/>
      <c r="AC200" s="82"/>
      <c r="AD200" s="81"/>
      <c r="AE200" s="82"/>
      <c r="AF200" s="82"/>
      <c r="AG200" s="81"/>
      <c r="AH200" s="81"/>
      <c r="AI200" s="75">
        <f>IF(A200="",0,COUNTIF(tbl_Donateurs_Opportunites[ID Donateur],A200))</f>
        <v>0</v>
      </c>
      <c r="AJ200" s="75">
        <f>IF(A200="",0,COUNTIFS(tbl_Donateurs_Opportunites[ID Donateur],A200,tbl_Donateurs_Opportunites[Statut],"Ouverte"))</f>
        <v>0</v>
      </c>
      <c r="AK200" s="75">
        <f>IF(A200="",0,COUNTIF(tbl_Donateurs_Demandes[ID Donateur],A200))</f>
        <v>0</v>
      </c>
      <c r="AL200" s="75">
        <f>IF(A200="",0,COUNTIFS(tbl_Donateurs_Demandes[ID Donateur],A200,tbl_Donateurs_Demandes[Statut],"Approuvee")+COUNTIFS(tbl_Donateurs_Demandes[ID Donateur],A200,tbl_Donateurs_Demandes[Statut],"Financement recu"))</f>
        <v>0</v>
      </c>
      <c r="AM200" s="76">
        <f>IF(A200="",0,SUMIF(tbl_Donateurs_Demandes[ID Donateur],A200,tbl_Donateurs_Demandes[Montant demande]))</f>
        <v>0</v>
      </c>
      <c r="AN200" s="76">
        <f>IF(A200="",0,SUMIF(tbl_Donateurs_Demandes[ID Donateur],A200,tbl_Donateurs_Demandes[Montant accorde]))</f>
        <v>0</v>
      </c>
      <c r="AO200" s="76">
        <f>IF(A200="",0,SUMIF(tbl_Donateurs_Decaissements[ID Donateur],A200,tbl_Donateurs_Decaissements[Montant recu]))</f>
        <v>0</v>
      </c>
      <c r="AP200" s="77" t="str">
        <f t="shared" si="21"/>
        <v/>
      </c>
      <c r="AQ200" s="75">
        <f>IF(A200="",0,COUNTIF(tbl_Donateurs_Contacts[ID Donateur],A200))</f>
        <v>0</v>
      </c>
      <c r="AR200" s="75">
        <f>IF(A200="",0,COUNTIF(tbl_Donateurs_Documents[ID Donateur],A200))</f>
        <v>0</v>
      </c>
      <c r="AS200" s="75">
        <f>IF(A200="",0,COUNTIF(tbl_Donateurs_Conventions[ID Donateur],A200))</f>
        <v>0</v>
      </c>
      <c r="AT200" s="83" t="str">
        <f ca="1">IFERROR(_xlfn.MAXIFS(tbl_Donateurs_Decaissements[Date recue],tbl_Donateurs_Decaissements[ID Donateur],A200),"")</f>
        <v/>
      </c>
      <c r="AU200" s="76" t="str">
        <f t="shared" si="24"/>
        <v/>
      </c>
      <c r="AV200" s="75" t="str">
        <f t="shared" ca="1" si="22"/>
        <v/>
      </c>
      <c r="AW200" s="75" t="str">
        <f t="shared" si="23"/>
        <v/>
      </c>
      <c r="AX200" s="81"/>
    </row>
    <row r="201" spans="1:50" ht="15" customHeight="1">
      <c r="A201" s="75" t="str">
        <f t="shared" si="20"/>
        <v/>
      </c>
      <c r="B201" s="81"/>
      <c r="C201" s="81"/>
      <c r="D201" s="81"/>
      <c r="E201" s="81"/>
      <c r="F201" s="81"/>
      <c r="G201" s="81"/>
      <c r="H201" s="81"/>
      <c r="I201" s="81"/>
      <c r="J201" s="81"/>
      <c r="K201" s="81"/>
      <c r="L201" s="81"/>
      <c r="M201" s="81"/>
      <c r="N201" s="81"/>
      <c r="O201" s="81"/>
      <c r="P201" s="81"/>
      <c r="Q201" s="81"/>
      <c r="R201" s="81"/>
      <c r="S201" s="81"/>
      <c r="T201" s="81"/>
      <c r="U201" s="81"/>
      <c r="V201" s="81"/>
      <c r="W201" s="81"/>
      <c r="X201" s="81"/>
      <c r="Y201" s="75" t="str">
        <f>IFERROR(INDEX(PARAMETRES!$B$536:$B$586,MATCH(X201,PARAMETRES!$J$536:$J$586,0)),"")</f>
        <v/>
      </c>
      <c r="Z201" s="75" t="str">
        <f>IFERROR(INDEX(PARAMETRES!$D$536:$D$586,MATCH(X201,PARAMETRES!$J$536:$J$586,0)),"")</f>
        <v/>
      </c>
      <c r="AA201" s="75" t="str">
        <f>IFERROR(INDEX(PARAMETRES!$F$536:$F$586,MATCH(X201,PARAMETRES!$J$536:$J$586,0)),"")</f>
        <v/>
      </c>
      <c r="AB201" s="81"/>
      <c r="AC201" s="82"/>
      <c r="AD201" s="81"/>
      <c r="AE201" s="82"/>
      <c r="AF201" s="82"/>
      <c r="AG201" s="81"/>
      <c r="AH201" s="81"/>
      <c r="AI201" s="75">
        <f>IF(A201="",0,COUNTIF(tbl_Donateurs_Opportunites[ID Donateur],A201))</f>
        <v>0</v>
      </c>
      <c r="AJ201" s="75">
        <f>IF(A201="",0,COUNTIFS(tbl_Donateurs_Opportunites[ID Donateur],A201,tbl_Donateurs_Opportunites[Statut],"Ouverte"))</f>
        <v>0</v>
      </c>
      <c r="AK201" s="75">
        <f>IF(A201="",0,COUNTIF(tbl_Donateurs_Demandes[ID Donateur],A201))</f>
        <v>0</v>
      </c>
      <c r="AL201" s="75">
        <f>IF(A201="",0,COUNTIFS(tbl_Donateurs_Demandes[ID Donateur],A201,tbl_Donateurs_Demandes[Statut],"Approuvee")+COUNTIFS(tbl_Donateurs_Demandes[ID Donateur],A201,tbl_Donateurs_Demandes[Statut],"Financement recu"))</f>
        <v>0</v>
      </c>
      <c r="AM201" s="76">
        <f>IF(A201="",0,SUMIF(tbl_Donateurs_Demandes[ID Donateur],A201,tbl_Donateurs_Demandes[Montant demande]))</f>
        <v>0</v>
      </c>
      <c r="AN201" s="76">
        <f>IF(A201="",0,SUMIF(tbl_Donateurs_Demandes[ID Donateur],A201,tbl_Donateurs_Demandes[Montant accorde]))</f>
        <v>0</v>
      </c>
      <c r="AO201" s="76">
        <f>IF(A201="",0,SUMIF(tbl_Donateurs_Decaissements[ID Donateur],A201,tbl_Donateurs_Decaissements[Montant recu]))</f>
        <v>0</v>
      </c>
      <c r="AP201" s="77" t="str">
        <f t="shared" si="21"/>
        <v/>
      </c>
      <c r="AQ201" s="75">
        <f>IF(A201="",0,COUNTIF(tbl_Donateurs_Contacts[ID Donateur],A201))</f>
        <v>0</v>
      </c>
      <c r="AR201" s="75">
        <f>IF(A201="",0,COUNTIF(tbl_Donateurs_Documents[ID Donateur],A201))</f>
        <v>0</v>
      </c>
      <c r="AS201" s="75">
        <f>IF(A201="",0,COUNTIF(tbl_Donateurs_Conventions[ID Donateur],A201))</f>
        <v>0</v>
      </c>
      <c r="AT201" s="83" t="str">
        <f ca="1">IFERROR(_xlfn.MAXIFS(tbl_Donateurs_Decaissements[Date recue],tbl_Donateurs_Decaissements[ID Donateur],A201),"")</f>
        <v/>
      </c>
      <c r="AU201" s="76" t="str">
        <f t="shared" si="24"/>
        <v/>
      </c>
      <c r="AV201" s="75" t="str">
        <f t="shared" ca="1" si="22"/>
        <v/>
      </c>
      <c r="AW201" s="75" t="str">
        <f t="shared" si="23"/>
        <v/>
      </c>
      <c r="AX201" s="81"/>
    </row>
    <row r="202" spans="1:50" ht="15" customHeight="1">
      <c r="A202" s="75" t="str">
        <f t="shared" si="20"/>
        <v/>
      </c>
      <c r="B202" s="81"/>
      <c r="C202" s="81"/>
      <c r="D202" s="81"/>
      <c r="E202" s="81"/>
      <c r="F202" s="81"/>
      <c r="G202" s="81"/>
      <c r="H202" s="81"/>
      <c r="I202" s="81"/>
      <c r="J202" s="81"/>
      <c r="K202" s="81"/>
      <c r="L202" s="81"/>
      <c r="M202" s="81"/>
      <c r="N202" s="81"/>
      <c r="O202" s="81"/>
      <c r="P202" s="81"/>
      <c r="Q202" s="81"/>
      <c r="R202" s="81"/>
      <c r="S202" s="81"/>
      <c r="T202" s="81"/>
      <c r="U202" s="81"/>
      <c r="V202" s="81"/>
      <c r="W202" s="81"/>
      <c r="X202" s="81"/>
      <c r="Y202" s="75" t="str">
        <f>IFERROR(INDEX(PARAMETRES!$B$536:$B$586,MATCH(X202,PARAMETRES!$J$536:$J$586,0)),"")</f>
        <v/>
      </c>
      <c r="Z202" s="75" t="str">
        <f>IFERROR(INDEX(PARAMETRES!$D$536:$D$586,MATCH(X202,PARAMETRES!$J$536:$J$586,0)),"")</f>
        <v/>
      </c>
      <c r="AA202" s="75" t="str">
        <f>IFERROR(INDEX(PARAMETRES!$F$536:$F$586,MATCH(X202,PARAMETRES!$J$536:$J$586,0)),"")</f>
        <v/>
      </c>
      <c r="AB202" s="81"/>
      <c r="AC202" s="82"/>
      <c r="AD202" s="81"/>
      <c r="AE202" s="82"/>
      <c r="AF202" s="82"/>
      <c r="AG202" s="81"/>
      <c r="AH202" s="81"/>
      <c r="AI202" s="75">
        <f>IF(A202="",0,COUNTIF(tbl_Donateurs_Opportunites[ID Donateur],A202))</f>
        <v>0</v>
      </c>
      <c r="AJ202" s="75">
        <f>IF(A202="",0,COUNTIFS(tbl_Donateurs_Opportunites[ID Donateur],A202,tbl_Donateurs_Opportunites[Statut],"Ouverte"))</f>
        <v>0</v>
      </c>
      <c r="AK202" s="75">
        <f>IF(A202="",0,COUNTIF(tbl_Donateurs_Demandes[ID Donateur],A202))</f>
        <v>0</v>
      </c>
      <c r="AL202" s="75">
        <f>IF(A202="",0,COUNTIFS(tbl_Donateurs_Demandes[ID Donateur],A202,tbl_Donateurs_Demandes[Statut],"Approuvee")+COUNTIFS(tbl_Donateurs_Demandes[ID Donateur],A202,tbl_Donateurs_Demandes[Statut],"Financement recu"))</f>
        <v>0</v>
      </c>
      <c r="AM202" s="76">
        <f>IF(A202="",0,SUMIF(tbl_Donateurs_Demandes[ID Donateur],A202,tbl_Donateurs_Demandes[Montant demande]))</f>
        <v>0</v>
      </c>
      <c r="AN202" s="76">
        <f>IF(A202="",0,SUMIF(tbl_Donateurs_Demandes[ID Donateur],A202,tbl_Donateurs_Demandes[Montant accorde]))</f>
        <v>0</v>
      </c>
      <c r="AO202" s="76">
        <f>IF(A202="",0,SUMIF(tbl_Donateurs_Decaissements[ID Donateur],A202,tbl_Donateurs_Decaissements[Montant recu]))</f>
        <v>0</v>
      </c>
      <c r="AP202" s="77" t="str">
        <f t="shared" si="21"/>
        <v/>
      </c>
      <c r="AQ202" s="75">
        <f>IF(A202="",0,COUNTIF(tbl_Donateurs_Contacts[ID Donateur],A202))</f>
        <v>0</v>
      </c>
      <c r="AR202" s="75">
        <f>IF(A202="",0,COUNTIF(tbl_Donateurs_Documents[ID Donateur],A202))</f>
        <v>0</v>
      </c>
      <c r="AS202" s="75">
        <f>IF(A202="",0,COUNTIF(tbl_Donateurs_Conventions[ID Donateur],A202))</f>
        <v>0</v>
      </c>
      <c r="AT202" s="83" t="str">
        <f ca="1">IFERROR(_xlfn.MAXIFS(tbl_Donateurs_Decaissements[Date recue],tbl_Donateurs_Decaissements[ID Donateur],A202),"")</f>
        <v/>
      </c>
      <c r="AU202" s="76" t="str">
        <f t="shared" si="24"/>
        <v/>
      </c>
      <c r="AV202" s="75" t="str">
        <f t="shared" ca="1" si="22"/>
        <v/>
      </c>
      <c r="AW202" s="75" t="str">
        <f t="shared" si="23"/>
        <v/>
      </c>
      <c r="AX202" s="81"/>
    </row>
    <row r="203" spans="1:50" ht="15" customHeight="1">
      <c r="A203" s="75" t="str">
        <f t="shared" si="20"/>
        <v/>
      </c>
      <c r="B203" s="81"/>
      <c r="C203" s="81"/>
      <c r="D203" s="81"/>
      <c r="E203" s="81"/>
      <c r="F203" s="81"/>
      <c r="G203" s="81"/>
      <c r="H203" s="81"/>
      <c r="I203" s="81"/>
      <c r="J203" s="81"/>
      <c r="K203" s="81"/>
      <c r="L203" s="81"/>
      <c r="M203" s="81"/>
      <c r="N203" s="81"/>
      <c r="O203" s="81"/>
      <c r="P203" s="81"/>
      <c r="Q203" s="81"/>
      <c r="R203" s="81"/>
      <c r="S203" s="81"/>
      <c r="T203" s="81"/>
      <c r="U203" s="81"/>
      <c r="V203" s="81"/>
      <c r="W203" s="81"/>
      <c r="X203" s="81"/>
      <c r="Y203" s="75" t="str">
        <f>IFERROR(INDEX(PARAMETRES!$B$536:$B$586,MATCH(X203,PARAMETRES!$J$536:$J$586,0)),"")</f>
        <v/>
      </c>
      <c r="Z203" s="75" t="str">
        <f>IFERROR(INDEX(PARAMETRES!$D$536:$D$586,MATCH(X203,PARAMETRES!$J$536:$J$586,0)),"")</f>
        <v/>
      </c>
      <c r="AA203" s="75" t="str">
        <f>IFERROR(INDEX(PARAMETRES!$F$536:$F$586,MATCH(X203,PARAMETRES!$J$536:$J$586,0)),"")</f>
        <v/>
      </c>
      <c r="AB203" s="81"/>
      <c r="AC203" s="82"/>
      <c r="AD203" s="81"/>
      <c r="AE203" s="82"/>
      <c r="AF203" s="82"/>
      <c r="AG203" s="81"/>
      <c r="AH203" s="81"/>
      <c r="AI203" s="75">
        <f>IF(A203="",0,COUNTIF(tbl_Donateurs_Opportunites[ID Donateur],A203))</f>
        <v>0</v>
      </c>
      <c r="AJ203" s="75">
        <f>IF(A203="",0,COUNTIFS(tbl_Donateurs_Opportunites[ID Donateur],A203,tbl_Donateurs_Opportunites[Statut],"Ouverte"))</f>
        <v>0</v>
      </c>
      <c r="AK203" s="75">
        <f>IF(A203="",0,COUNTIF(tbl_Donateurs_Demandes[ID Donateur],A203))</f>
        <v>0</v>
      </c>
      <c r="AL203" s="75">
        <f>IF(A203="",0,COUNTIFS(tbl_Donateurs_Demandes[ID Donateur],A203,tbl_Donateurs_Demandes[Statut],"Approuvee")+COUNTIFS(tbl_Donateurs_Demandes[ID Donateur],A203,tbl_Donateurs_Demandes[Statut],"Financement recu"))</f>
        <v>0</v>
      </c>
      <c r="AM203" s="76">
        <f>IF(A203="",0,SUMIF(tbl_Donateurs_Demandes[ID Donateur],A203,tbl_Donateurs_Demandes[Montant demande]))</f>
        <v>0</v>
      </c>
      <c r="AN203" s="76">
        <f>IF(A203="",0,SUMIF(tbl_Donateurs_Demandes[ID Donateur],A203,tbl_Donateurs_Demandes[Montant accorde]))</f>
        <v>0</v>
      </c>
      <c r="AO203" s="76">
        <f>IF(A203="",0,SUMIF(tbl_Donateurs_Decaissements[ID Donateur],A203,tbl_Donateurs_Decaissements[Montant recu]))</f>
        <v>0</v>
      </c>
      <c r="AP203" s="77" t="str">
        <f t="shared" si="21"/>
        <v/>
      </c>
      <c r="AQ203" s="75">
        <f>IF(A203="",0,COUNTIF(tbl_Donateurs_Contacts[ID Donateur],A203))</f>
        <v>0</v>
      </c>
      <c r="AR203" s="75">
        <f>IF(A203="",0,COUNTIF(tbl_Donateurs_Documents[ID Donateur],A203))</f>
        <v>0</v>
      </c>
      <c r="AS203" s="75">
        <f>IF(A203="",0,COUNTIF(tbl_Donateurs_Conventions[ID Donateur],A203))</f>
        <v>0</v>
      </c>
      <c r="AT203" s="83" t="str">
        <f ca="1">IFERROR(_xlfn.MAXIFS(tbl_Donateurs_Decaissements[Date recue],tbl_Donateurs_Decaissements[ID Donateur],A203),"")</f>
        <v/>
      </c>
      <c r="AU203" s="76" t="str">
        <f t="shared" si="24"/>
        <v/>
      </c>
      <c r="AV203" s="75" t="str">
        <f t="shared" ca="1" si="22"/>
        <v/>
      </c>
      <c r="AW203" s="75" t="str">
        <f t="shared" si="23"/>
        <v/>
      </c>
      <c r="AX203" s="81"/>
    </row>
    <row r="204" spans="1:50" ht="15" customHeight="1">
      <c r="A204" s="75" t="str">
        <f t="shared" si="20"/>
        <v/>
      </c>
      <c r="B204" s="81"/>
      <c r="C204" s="81"/>
      <c r="D204" s="81"/>
      <c r="E204" s="81"/>
      <c r="F204" s="81"/>
      <c r="G204" s="81"/>
      <c r="H204" s="81"/>
      <c r="I204" s="81"/>
      <c r="J204" s="81"/>
      <c r="K204" s="81"/>
      <c r="L204" s="81"/>
      <c r="M204" s="81"/>
      <c r="N204" s="81"/>
      <c r="O204" s="81"/>
      <c r="P204" s="81"/>
      <c r="Q204" s="81"/>
      <c r="R204" s="81"/>
      <c r="S204" s="81"/>
      <c r="T204" s="81"/>
      <c r="U204" s="81"/>
      <c r="V204" s="81"/>
      <c r="W204" s="81"/>
      <c r="X204" s="81"/>
      <c r="Y204" s="75" t="str">
        <f>IFERROR(INDEX(PARAMETRES!$B$536:$B$586,MATCH(X204,PARAMETRES!$J$536:$J$586,0)),"")</f>
        <v/>
      </c>
      <c r="Z204" s="75" t="str">
        <f>IFERROR(INDEX(PARAMETRES!$D$536:$D$586,MATCH(X204,PARAMETRES!$J$536:$J$586,0)),"")</f>
        <v/>
      </c>
      <c r="AA204" s="75" t="str">
        <f>IFERROR(INDEX(PARAMETRES!$F$536:$F$586,MATCH(X204,PARAMETRES!$J$536:$J$586,0)),"")</f>
        <v/>
      </c>
      <c r="AB204" s="81"/>
      <c r="AC204" s="82"/>
      <c r="AD204" s="81"/>
      <c r="AE204" s="82"/>
      <c r="AF204" s="82"/>
      <c r="AG204" s="81"/>
      <c r="AH204" s="81"/>
      <c r="AI204" s="75">
        <f>IF(A204="",0,COUNTIF(tbl_Donateurs_Opportunites[ID Donateur],A204))</f>
        <v>0</v>
      </c>
      <c r="AJ204" s="75">
        <f>IF(A204="",0,COUNTIFS(tbl_Donateurs_Opportunites[ID Donateur],A204,tbl_Donateurs_Opportunites[Statut],"Ouverte"))</f>
        <v>0</v>
      </c>
      <c r="AK204" s="75">
        <f>IF(A204="",0,COUNTIF(tbl_Donateurs_Demandes[ID Donateur],A204))</f>
        <v>0</v>
      </c>
      <c r="AL204" s="75">
        <f>IF(A204="",0,COUNTIFS(tbl_Donateurs_Demandes[ID Donateur],A204,tbl_Donateurs_Demandes[Statut],"Approuvee")+COUNTIFS(tbl_Donateurs_Demandes[ID Donateur],A204,tbl_Donateurs_Demandes[Statut],"Financement recu"))</f>
        <v>0</v>
      </c>
      <c r="AM204" s="76">
        <f>IF(A204="",0,SUMIF(tbl_Donateurs_Demandes[ID Donateur],A204,tbl_Donateurs_Demandes[Montant demande]))</f>
        <v>0</v>
      </c>
      <c r="AN204" s="76">
        <f>IF(A204="",0,SUMIF(tbl_Donateurs_Demandes[ID Donateur],A204,tbl_Donateurs_Demandes[Montant accorde]))</f>
        <v>0</v>
      </c>
      <c r="AO204" s="76">
        <f>IF(A204="",0,SUMIF(tbl_Donateurs_Decaissements[ID Donateur],A204,tbl_Donateurs_Decaissements[Montant recu]))</f>
        <v>0</v>
      </c>
      <c r="AP204" s="77" t="str">
        <f t="shared" si="21"/>
        <v/>
      </c>
      <c r="AQ204" s="75">
        <f>IF(A204="",0,COUNTIF(tbl_Donateurs_Contacts[ID Donateur],A204))</f>
        <v>0</v>
      </c>
      <c r="AR204" s="75">
        <f>IF(A204="",0,COUNTIF(tbl_Donateurs_Documents[ID Donateur],A204))</f>
        <v>0</v>
      </c>
      <c r="AS204" s="75">
        <f>IF(A204="",0,COUNTIF(tbl_Donateurs_Conventions[ID Donateur],A204))</f>
        <v>0</v>
      </c>
      <c r="AT204" s="83" t="str">
        <f ca="1">IFERROR(_xlfn.MAXIFS(tbl_Donateurs_Decaissements[Date recue],tbl_Donateurs_Decaissements[ID Donateur],A204),"")</f>
        <v/>
      </c>
      <c r="AU204" s="76" t="str">
        <f t="shared" si="24"/>
        <v/>
      </c>
      <c r="AV204" s="75" t="str">
        <f t="shared" ca="1" si="22"/>
        <v/>
      </c>
      <c r="AW204" s="75" t="str">
        <f t="shared" si="23"/>
        <v/>
      </c>
      <c r="AX204" s="81"/>
    </row>
    <row r="205" spans="1:50" ht="15" customHeight="1">
      <c r="A205" s="75" t="str">
        <f t="shared" si="20"/>
        <v/>
      </c>
      <c r="B205" s="81"/>
      <c r="C205" s="81"/>
      <c r="D205" s="81"/>
      <c r="E205" s="81"/>
      <c r="F205" s="81"/>
      <c r="G205" s="81"/>
      <c r="H205" s="81"/>
      <c r="I205" s="81"/>
      <c r="J205" s="81"/>
      <c r="K205" s="81"/>
      <c r="L205" s="81"/>
      <c r="M205" s="81"/>
      <c r="N205" s="81"/>
      <c r="O205" s="81"/>
      <c r="P205" s="81"/>
      <c r="Q205" s="81"/>
      <c r="R205" s="81"/>
      <c r="S205" s="81"/>
      <c r="T205" s="81"/>
      <c r="U205" s="81"/>
      <c r="V205" s="81"/>
      <c r="W205" s="81"/>
      <c r="X205" s="81"/>
      <c r="Y205" s="75" t="str">
        <f>IFERROR(INDEX(PARAMETRES!$B$536:$B$586,MATCH(X205,PARAMETRES!$J$536:$J$586,0)),"")</f>
        <v/>
      </c>
      <c r="Z205" s="75" t="str">
        <f>IFERROR(INDEX(PARAMETRES!$D$536:$D$586,MATCH(X205,PARAMETRES!$J$536:$J$586,0)),"")</f>
        <v/>
      </c>
      <c r="AA205" s="75" t="str">
        <f>IFERROR(INDEX(PARAMETRES!$F$536:$F$586,MATCH(X205,PARAMETRES!$J$536:$J$586,0)),"")</f>
        <v/>
      </c>
      <c r="AB205" s="81"/>
      <c r="AC205" s="82"/>
      <c r="AD205" s="81"/>
      <c r="AE205" s="82"/>
      <c r="AF205" s="82"/>
      <c r="AG205" s="81"/>
      <c r="AH205" s="81"/>
      <c r="AI205" s="75">
        <f>IF(A205="",0,COUNTIF(tbl_Donateurs_Opportunites[ID Donateur],A205))</f>
        <v>0</v>
      </c>
      <c r="AJ205" s="75">
        <f>IF(A205="",0,COUNTIFS(tbl_Donateurs_Opportunites[ID Donateur],A205,tbl_Donateurs_Opportunites[Statut],"Ouverte"))</f>
        <v>0</v>
      </c>
      <c r="AK205" s="75">
        <f>IF(A205="",0,COUNTIF(tbl_Donateurs_Demandes[ID Donateur],A205))</f>
        <v>0</v>
      </c>
      <c r="AL205" s="75">
        <f>IF(A205="",0,COUNTIFS(tbl_Donateurs_Demandes[ID Donateur],A205,tbl_Donateurs_Demandes[Statut],"Approuvee")+COUNTIFS(tbl_Donateurs_Demandes[ID Donateur],A205,tbl_Donateurs_Demandes[Statut],"Financement recu"))</f>
        <v>0</v>
      </c>
      <c r="AM205" s="76">
        <f>IF(A205="",0,SUMIF(tbl_Donateurs_Demandes[ID Donateur],A205,tbl_Donateurs_Demandes[Montant demande]))</f>
        <v>0</v>
      </c>
      <c r="AN205" s="76">
        <f>IF(A205="",0,SUMIF(tbl_Donateurs_Demandes[ID Donateur],A205,tbl_Donateurs_Demandes[Montant accorde]))</f>
        <v>0</v>
      </c>
      <c r="AO205" s="76">
        <f>IF(A205="",0,SUMIF(tbl_Donateurs_Decaissements[ID Donateur],A205,tbl_Donateurs_Decaissements[Montant recu]))</f>
        <v>0</v>
      </c>
      <c r="AP205" s="77" t="str">
        <f t="shared" si="21"/>
        <v/>
      </c>
      <c r="AQ205" s="75">
        <f>IF(A205="",0,COUNTIF(tbl_Donateurs_Contacts[ID Donateur],A205))</f>
        <v>0</v>
      </c>
      <c r="AR205" s="75">
        <f>IF(A205="",0,COUNTIF(tbl_Donateurs_Documents[ID Donateur],A205))</f>
        <v>0</v>
      </c>
      <c r="AS205" s="75">
        <f>IF(A205="",0,COUNTIF(tbl_Donateurs_Conventions[ID Donateur],A205))</f>
        <v>0</v>
      </c>
      <c r="AT205" s="83" t="str">
        <f ca="1">IFERROR(_xlfn.MAXIFS(tbl_Donateurs_Decaissements[Date recue],tbl_Donateurs_Decaissements[ID Donateur],A205),"")</f>
        <v/>
      </c>
      <c r="AU205" s="76" t="str">
        <f t="shared" si="24"/>
        <v/>
      </c>
      <c r="AV205" s="75" t="str">
        <f t="shared" ca="1" si="22"/>
        <v/>
      </c>
      <c r="AW205" s="75" t="str">
        <f t="shared" si="23"/>
        <v/>
      </c>
      <c r="AX205" s="81"/>
    </row>
    <row r="208" spans="1:50" ht="19.5" customHeight="1">
      <c r="A208" s="296" t="s">
        <v>2012</v>
      </c>
      <c r="B208" s="262"/>
      <c r="C208" s="262"/>
      <c r="D208" s="262"/>
      <c r="E208" s="262"/>
      <c r="F208" s="262"/>
      <c r="G208" s="262"/>
      <c r="H208" s="262"/>
      <c r="I208" s="262"/>
      <c r="J208" s="262"/>
    </row>
    <row r="209" spans="1:10" ht="25.5" customHeight="1">
      <c r="A209" s="80" t="s">
        <v>1931</v>
      </c>
      <c r="B209" s="80" t="s">
        <v>1987</v>
      </c>
      <c r="C209" s="80" t="s">
        <v>1512</v>
      </c>
      <c r="D209" s="80" t="s">
        <v>1549</v>
      </c>
      <c r="E209" s="80" t="s">
        <v>1371</v>
      </c>
      <c r="F209" s="80" t="s">
        <v>1368</v>
      </c>
      <c r="G209" s="80" t="s">
        <v>1373</v>
      </c>
      <c r="H209" s="80" t="s">
        <v>2013</v>
      </c>
      <c r="I209" s="80" t="s">
        <v>1932</v>
      </c>
      <c r="J209" s="80" t="s">
        <v>175</v>
      </c>
    </row>
    <row r="210" spans="1:10" ht="15" customHeight="1">
      <c r="A210" s="75" t="str">
        <f t="shared" ref="A210:A239" si="25">IF(B210="","","CTD"&amp;TEXT(ROW()-209,"00000"))</f>
        <v/>
      </c>
      <c r="B210" s="81"/>
      <c r="C210" s="81"/>
      <c r="D210" s="81"/>
      <c r="E210" s="81"/>
      <c r="F210" s="81"/>
      <c r="G210" s="81"/>
      <c r="H210" s="81"/>
      <c r="I210" s="81"/>
      <c r="J210" s="81"/>
    </row>
    <row r="211" spans="1:10" ht="15" customHeight="1">
      <c r="A211" s="75" t="str">
        <f t="shared" si="25"/>
        <v/>
      </c>
      <c r="B211" s="81"/>
      <c r="C211" s="81"/>
      <c r="D211" s="81"/>
      <c r="E211" s="81"/>
      <c r="F211" s="81"/>
      <c r="G211" s="81"/>
      <c r="H211" s="81"/>
      <c r="I211" s="81"/>
      <c r="J211" s="81"/>
    </row>
    <row r="212" spans="1:10" ht="15" customHeight="1">
      <c r="A212" s="75" t="str">
        <f t="shared" si="25"/>
        <v/>
      </c>
      <c r="B212" s="81"/>
      <c r="C212" s="81"/>
      <c r="D212" s="81"/>
      <c r="E212" s="81"/>
      <c r="F212" s="81"/>
      <c r="G212" s="81"/>
      <c r="H212" s="81"/>
      <c r="I212" s="81"/>
      <c r="J212" s="81"/>
    </row>
    <row r="213" spans="1:10" ht="15" customHeight="1">
      <c r="A213" s="75" t="str">
        <f t="shared" si="25"/>
        <v/>
      </c>
      <c r="B213" s="81"/>
      <c r="C213" s="81"/>
      <c r="D213" s="81"/>
      <c r="E213" s="81"/>
      <c r="F213" s="81"/>
      <c r="G213" s="81"/>
      <c r="H213" s="81"/>
      <c r="I213" s="81"/>
      <c r="J213" s="81"/>
    </row>
    <row r="214" spans="1:10" ht="15" customHeight="1">
      <c r="A214" s="75" t="str">
        <f t="shared" si="25"/>
        <v/>
      </c>
      <c r="B214" s="81"/>
      <c r="C214" s="81"/>
      <c r="D214" s="81"/>
      <c r="E214" s="81"/>
      <c r="F214" s="81"/>
      <c r="G214" s="81"/>
      <c r="H214" s="81"/>
      <c r="I214" s="81"/>
      <c r="J214" s="81"/>
    </row>
    <row r="215" spans="1:10" ht="15" customHeight="1">
      <c r="A215" s="75" t="str">
        <f t="shared" si="25"/>
        <v/>
      </c>
      <c r="B215" s="81"/>
      <c r="C215" s="81"/>
      <c r="D215" s="81"/>
      <c r="E215" s="81"/>
      <c r="F215" s="81"/>
      <c r="G215" s="81"/>
      <c r="H215" s="81"/>
      <c r="I215" s="81"/>
      <c r="J215" s="81"/>
    </row>
    <row r="216" spans="1:10" ht="15" customHeight="1">
      <c r="A216" s="75" t="str">
        <f t="shared" si="25"/>
        <v/>
      </c>
      <c r="B216" s="81"/>
      <c r="C216" s="81"/>
      <c r="D216" s="81"/>
      <c r="E216" s="81"/>
      <c r="F216" s="81"/>
      <c r="G216" s="81"/>
      <c r="H216" s="81"/>
      <c r="I216" s="81"/>
      <c r="J216" s="81"/>
    </row>
    <row r="217" spans="1:10" ht="15" customHeight="1">
      <c r="A217" s="75" t="str">
        <f t="shared" si="25"/>
        <v/>
      </c>
      <c r="B217" s="81"/>
      <c r="C217" s="81"/>
      <c r="D217" s="81"/>
      <c r="E217" s="81"/>
      <c r="F217" s="81"/>
      <c r="G217" s="81"/>
      <c r="H217" s="81"/>
      <c r="I217" s="81"/>
      <c r="J217" s="81"/>
    </row>
    <row r="218" spans="1:10" ht="15" customHeight="1">
      <c r="A218" s="75" t="str">
        <f t="shared" si="25"/>
        <v/>
      </c>
      <c r="B218" s="81"/>
      <c r="C218" s="81"/>
      <c r="D218" s="81"/>
      <c r="E218" s="81"/>
      <c r="F218" s="81"/>
      <c r="G218" s="81"/>
      <c r="H218" s="81"/>
      <c r="I218" s="81"/>
      <c r="J218" s="81"/>
    </row>
    <row r="219" spans="1:10" ht="15" customHeight="1">
      <c r="A219" s="75" t="str">
        <f t="shared" si="25"/>
        <v/>
      </c>
      <c r="B219" s="81"/>
      <c r="C219" s="81"/>
      <c r="D219" s="81"/>
      <c r="E219" s="81"/>
      <c r="F219" s="81"/>
      <c r="G219" s="81"/>
      <c r="H219" s="81"/>
      <c r="I219" s="81"/>
      <c r="J219" s="81"/>
    </row>
    <row r="220" spans="1:10" ht="15" customHeight="1">
      <c r="A220" s="75" t="str">
        <f t="shared" si="25"/>
        <v/>
      </c>
      <c r="B220" s="81"/>
      <c r="C220" s="81"/>
      <c r="D220" s="81"/>
      <c r="E220" s="81"/>
      <c r="F220" s="81"/>
      <c r="G220" s="81"/>
      <c r="H220" s="81"/>
      <c r="I220" s="81"/>
      <c r="J220" s="81"/>
    </row>
    <row r="221" spans="1:10" ht="15" customHeight="1">
      <c r="A221" s="75" t="str">
        <f t="shared" si="25"/>
        <v/>
      </c>
      <c r="B221" s="81"/>
      <c r="C221" s="81"/>
      <c r="D221" s="81"/>
      <c r="E221" s="81"/>
      <c r="F221" s="81"/>
      <c r="G221" s="81"/>
      <c r="H221" s="81"/>
      <c r="I221" s="81"/>
      <c r="J221" s="81"/>
    </row>
    <row r="222" spans="1:10" ht="15" customHeight="1">
      <c r="A222" s="75" t="str">
        <f t="shared" si="25"/>
        <v/>
      </c>
      <c r="B222" s="81"/>
      <c r="C222" s="81"/>
      <c r="D222" s="81"/>
      <c r="E222" s="81"/>
      <c r="F222" s="81"/>
      <c r="G222" s="81"/>
      <c r="H222" s="81"/>
      <c r="I222" s="81"/>
      <c r="J222" s="81"/>
    </row>
    <row r="223" spans="1:10" ht="15" customHeight="1">
      <c r="A223" s="75" t="str">
        <f t="shared" si="25"/>
        <v/>
      </c>
      <c r="B223" s="81"/>
      <c r="C223" s="81"/>
      <c r="D223" s="81"/>
      <c r="E223" s="81"/>
      <c r="F223" s="81"/>
      <c r="G223" s="81"/>
      <c r="H223" s="81"/>
      <c r="I223" s="81"/>
      <c r="J223" s="81"/>
    </row>
    <row r="224" spans="1:10" ht="15" customHeight="1">
      <c r="A224" s="75" t="str">
        <f t="shared" si="25"/>
        <v/>
      </c>
      <c r="B224" s="81"/>
      <c r="C224" s="81"/>
      <c r="D224" s="81"/>
      <c r="E224" s="81"/>
      <c r="F224" s="81"/>
      <c r="G224" s="81"/>
      <c r="H224" s="81"/>
      <c r="I224" s="81"/>
      <c r="J224" s="81"/>
    </row>
    <row r="225" spans="1:10" ht="15" customHeight="1">
      <c r="A225" s="75" t="str">
        <f t="shared" si="25"/>
        <v/>
      </c>
      <c r="B225" s="81"/>
      <c r="C225" s="81"/>
      <c r="D225" s="81"/>
      <c r="E225" s="81"/>
      <c r="F225" s="81"/>
      <c r="G225" s="81"/>
      <c r="H225" s="81"/>
      <c r="I225" s="81"/>
      <c r="J225" s="81"/>
    </row>
    <row r="226" spans="1:10" ht="15" customHeight="1">
      <c r="A226" s="75" t="str">
        <f t="shared" si="25"/>
        <v/>
      </c>
      <c r="B226" s="81"/>
      <c r="C226" s="81"/>
      <c r="D226" s="81"/>
      <c r="E226" s="81"/>
      <c r="F226" s="81"/>
      <c r="G226" s="81"/>
      <c r="H226" s="81"/>
      <c r="I226" s="81"/>
      <c r="J226" s="81"/>
    </row>
    <row r="227" spans="1:10" ht="15" customHeight="1">
      <c r="A227" s="75" t="str">
        <f t="shared" si="25"/>
        <v/>
      </c>
      <c r="B227" s="81"/>
      <c r="C227" s="81"/>
      <c r="D227" s="81"/>
      <c r="E227" s="81"/>
      <c r="F227" s="81"/>
      <c r="G227" s="81"/>
      <c r="H227" s="81"/>
      <c r="I227" s="81"/>
      <c r="J227" s="81"/>
    </row>
    <row r="228" spans="1:10" ht="15" customHeight="1">
      <c r="A228" s="75" t="str">
        <f t="shared" si="25"/>
        <v/>
      </c>
      <c r="B228" s="81"/>
      <c r="C228" s="81"/>
      <c r="D228" s="81"/>
      <c r="E228" s="81"/>
      <c r="F228" s="81"/>
      <c r="G228" s="81"/>
      <c r="H228" s="81"/>
      <c r="I228" s="81"/>
      <c r="J228" s="81"/>
    </row>
    <row r="229" spans="1:10" ht="15" customHeight="1">
      <c r="A229" s="75" t="str">
        <f t="shared" si="25"/>
        <v/>
      </c>
      <c r="B229" s="81"/>
      <c r="C229" s="81"/>
      <c r="D229" s="81"/>
      <c r="E229" s="81"/>
      <c r="F229" s="81"/>
      <c r="G229" s="81"/>
      <c r="H229" s="81"/>
      <c r="I229" s="81"/>
      <c r="J229" s="81"/>
    </row>
    <row r="230" spans="1:10" ht="15" customHeight="1">
      <c r="A230" s="75" t="str">
        <f t="shared" si="25"/>
        <v/>
      </c>
      <c r="B230" s="81"/>
      <c r="C230" s="81"/>
      <c r="D230" s="81"/>
      <c r="E230" s="81"/>
      <c r="F230" s="81"/>
      <c r="G230" s="81"/>
      <c r="H230" s="81"/>
      <c r="I230" s="81"/>
      <c r="J230" s="81"/>
    </row>
    <row r="231" spans="1:10" ht="15" customHeight="1">
      <c r="A231" s="75" t="str">
        <f t="shared" si="25"/>
        <v/>
      </c>
      <c r="B231" s="81"/>
      <c r="C231" s="81"/>
      <c r="D231" s="81"/>
      <c r="E231" s="81"/>
      <c r="F231" s="81"/>
      <c r="G231" s="81"/>
      <c r="H231" s="81"/>
      <c r="I231" s="81"/>
      <c r="J231" s="81"/>
    </row>
    <row r="232" spans="1:10" ht="15" customHeight="1">
      <c r="A232" s="75" t="str">
        <f t="shared" si="25"/>
        <v/>
      </c>
      <c r="B232" s="81"/>
      <c r="C232" s="81"/>
      <c r="D232" s="81"/>
      <c r="E232" s="81"/>
      <c r="F232" s="81"/>
      <c r="G232" s="81"/>
      <c r="H232" s="81"/>
      <c r="I232" s="81"/>
      <c r="J232" s="81"/>
    </row>
    <row r="233" spans="1:10" ht="15" customHeight="1">
      <c r="A233" s="75" t="str">
        <f t="shared" si="25"/>
        <v/>
      </c>
      <c r="B233" s="81"/>
      <c r="C233" s="81"/>
      <c r="D233" s="81"/>
      <c r="E233" s="81"/>
      <c r="F233" s="81"/>
      <c r="G233" s="81"/>
      <c r="H233" s="81"/>
      <c r="I233" s="81"/>
      <c r="J233" s="81"/>
    </row>
    <row r="234" spans="1:10" ht="15" customHeight="1">
      <c r="A234" s="75" t="str">
        <f t="shared" si="25"/>
        <v/>
      </c>
      <c r="B234" s="81"/>
      <c r="C234" s="81"/>
      <c r="D234" s="81"/>
      <c r="E234" s="81"/>
      <c r="F234" s="81"/>
      <c r="G234" s="81"/>
      <c r="H234" s="81"/>
      <c r="I234" s="81"/>
      <c r="J234" s="81"/>
    </row>
    <row r="235" spans="1:10" ht="15" customHeight="1">
      <c r="A235" s="75" t="str">
        <f t="shared" si="25"/>
        <v/>
      </c>
      <c r="B235" s="81"/>
      <c r="C235" s="81"/>
      <c r="D235" s="81"/>
      <c r="E235" s="81"/>
      <c r="F235" s="81"/>
      <c r="G235" s="81"/>
      <c r="H235" s="81"/>
      <c r="I235" s="81"/>
      <c r="J235" s="81"/>
    </row>
    <row r="236" spans="1:10" ht="15" customHeight="1">
      <c r="A236" s="75" t="str">
        <f t="shared" si="25"/>
        <v/>
      </c>
      <c r="B236" s="81"/>
      <c r="C236" s="81"/>
      <c r="D236" s="81"/>
      <c r="E236" s="81"/>
      <c r="F236" s="81"/>
      <c r="G236" s="81"/>
      <c r="H236" s="81"/>
      <c r="I236" s="81"/>
      <c r="J236" s="81"/>
    </row>
    <row r="237" spans="1:10" ht="15" customHeight="1">
      <c r="A237" s="75" t="str">
        <f t="shared" si="25"/>
        <v/>
      </c>
      <c r="B237" s="81"/>
      <c r="C237" s="81"/>
      <c r="D237" s="81"/>
      <c r="E237" s="81"/>
      <c r="F237" s="81"/>
      <c r="G237" s="81"/>
      <c r="H237" s="81"/>
      <c r="I237" s="81"/>
      <c r="J237" s="81"/>
    </row>
    <row r="238" spans="1:10" ht="15" customHeight="1">
      <c r="A238" s="75" t="str">
        <f t="shared" si="25"/>
        <v/>
      </c>
      <c r="B238" s="81"/>
      <c r="C238" s="81"/>
      <c r="D238" s="81"/>
      <c r="E238" s="81"/>
      <c r="F238" s="81"/>
      <c r="G238" s="81"/>
      <c r="H238" s="81"/>
      <c r="I238" s="81"/>
      <c r="J238" s="81"/>
    </row>
    <row r="239" spans="1:10" ht="15" customHeight="1">
      <c r="A239" s="75" t="str">
        <f t="shared" si="25"/>
        <v/>
      </c>
      <c r="B239" s="81"/>
      <c r="C239" s="81"/>
      <c r="D239" s="81"/>
      <c r="E239" s="81"/>
      <c r="F239" s="81"/>
      <c r="G239" s="81"/>
      <c r="H239" s="81"/>
      <c r="I239" s="81"/>
      <c r="J239" s="81"/>
    </row>
    <row r="242" spans="1:24" ht="19.5" customHeight="1">
      <c r="A242" s="296" t="s">
        <v>2014</v>
      </c>
      <c r="B242" s="262"/>
      <c r="C242" s="262"/>
      <c r="D242" s="262"/>
      <c r="E242" s="262"/>
      <c r="F242" s="262"/>
      <c r="G242" s="262"/>
      <c r="H242" s="262"/>
      <c r="I242" s="262"/>
      <c r="J242" s="262"/>
      <c r="K242" s="262"/>
      <c r="L242" s="262"/>
      <c r="M242" s="262"/>
      <c r="N242" s="262"/>
      <c r="O242" s="262"/>
      <c r="P242" s="262"/>
      <c r="Q242" s="262"/>
      <c r="R242" s="262"/>
      <c r="S242" s="262"/>
      <c r="T242" s="262"/>
      <c r="U242" s="262"/>
      <c r="V242" s="262"/>
      <c r="W242" s="262"/>
      <c r="X242" s="262"/>
    </row>
    <row r="243" spans="1:24" ht="25.5" customHeight="1">
      <c r="A243" s="80" t="s">
        <v>2015</v>
      </c>
      <c r="B243" s="80" t="s">
        <v>1987</v>
      </c>
      <c r="C243" s="80" t="s">
        <v>2016</v>
      </c>
      <c r="D243" s="80" t="s">
        <v>2017</v>
      </c>
      <c r="E243" s="80" t="s">
        <v>252</v>
      </c>
      <c r="F243" s="80" t="s">
        <v>1400</v>
      </c>
      <c r="G243" s="80" t="s">
        <v>2018</v>
      </c>
      <c r="H243" s="80" t="s">
        <v>1425</v>
      </c>
      <c r="I243" s="80" t="s">
        <v>2019</v>
      </c>
      <c r="J243" s="80" t="s">
        <v>2020</v>
      </c>
      <c r="K243" s="80" t="s">
        <v>1439</v>
      </c>
      <c r="L243" s="80" t="s">
        <v>2021</v>
      </c>
      <c r="M243" s="80" t="s">
        <v>2022</v>
      </c>
      <c r="N243" s="80" t="s">
        <v>2023</v>
      </c>
      <c r="O243" s="80" t="s">
        <v>2024</v>
      </c>
      <c r="P243" s="80" t="s">
        <v>2025</v>
      </c>
      <c r="Q243" s="80" t="s">
        <v>2026</v>
      </c>
      <c r="R243" s="80" t="s">
        <v>2027</v>
      </c>
      <c r="S243" s="80" t="s">
        <v>1845</v>
      </c>
      <c r="T243" s="80" t="s">
        <v>2028</v>
      </c>
      <c r="U243" s="80" t="s">
        <v>2029</v>
      </c>
      <c r="V243" s="80" t="s">
        <v>2030</v>
      </c>
      <c r="W243" s="80" t="s">
        <v>1408</v>
      </c>
      <c r="X243" s="80" t="s">
        <v>175</v>
      </c>
    </row>
    <row r="244" spans="1:24" ht="15" customHeight="1">
      <c r="A244" s="75" t="str">
        <f t="shared" ref="A244:A275" si="26">IF(C244="","","OPP"&amp;TEXT(ROW()-243,"00000"))</f>
        <v/>
      </c>
      <c r="B244" s="81"/>
      <c r="C244" s="81"/>
      <c r="D244" s="81"/>
      <c r="E244" s="81"/>
      <c r="F244" s="81"/>
      <c r="G244" s="81"/>
      <c r="H244" s="81"/>
      <c r="I244" s="84"/>
      <c r="J244" s="84"/>
      <c r="K244" s="81"/>
      <c r="L244" s="85"/>
      <c r="M244" s="81"/>
      <c r="N244" s="82"/>
      <c r="O244" s="82"/>
      <c r="P244" s="81"/>
      <c r="Q244" s="81"/>
      <c r="R244" s="81"/>
      <c r="S244" s="75" t="str">
        <f t="shared" ref="S244:S275" si="27">IF(R244="","",IF(R244&gt;=80,"Excellent",IF(R244&gt;=60,"Bon",IF(R244&gt;=40,"Moyen","Faible"))))</f>
        <v/>
      </c>
      <c r="T244" s="81"/>
      <c r="U244" s="81"/>
      <c r="V244" s="82"/>
      <c r="W244" s="81"/>
      <c r="X244" s="81"/>
    </row>
    <row r="245" spans="1:24" ht="15" customHeight="1">
      <c r="A245" s="75" t="str">
        <f t="shared" si="26"/>
        <v/>
      </c>
      <c r="B245" s="81"/>
      <c r="C245" s="81"/>
      <c r="D245" s="81"/>
      <c r="E245" s="81"/>
      <c r="F245" s="81"/>
      <c r="G245" s="81"/>
      <c r="H245" s="81"/>
      <c r="I245" s="84"/>
      <c r="J245" s="84"/>
      <c r="K245" s="81"/>
      <c r="L245" s="85"/>
      <c r="M245" s="81"/>
      <c r="N245" s="82"/>
      <c r="O245" s="82"/>
      <c r="P245" s="81"/>
      <c r="Q245" s="81"/>
      <c r="R245" s="81"/>
      <c r="S245" s="75" t="str">
        <f t="shared" si="27"/>
        <v/>
      </c>
      <c r="T245" s="81"/>
      <c r="U245" s="81"/>
      <c r="V245" s="82"/>
      <c r="W245" s="81"/>
      <c r="X245" s="81"/>
    </row>
    <row r="246" spans="1:24" ht="15" customHeight="1">
      <c r="A246" s="75" t="str">
        <f t="shared" si="26"/>
        <v/>
      </c>
      <c r="B246" s="81"/>
      <c r="C246" s="81"/>
      <c r="D246" s="81"/>
      <c r="E246" s="81"/>
      <c r="F246" s="81"/>
      <c r="G246" s="81"/>
      <c r="H246" s="81"/>
      <c r="I246" s="84"/>
      <c r="J246" s="84"/>
      <c r="K246" s="81"/>
      <c r="L246" s="85"/>
      <c r="M246" s="81"/>
      <c r="N246" s="82"/>
      <c r="O246" s="82"/>
      <c r="P246" s="81"/>
      <c r="Q246" s="81"/>
      <c r="R246" s="81"/>
      <c r="S246" s="75" t="str">
        <f t="shared" si="27"/>
        <v/>
      </c>
      <c r="T246" s="81"/>
      <c r="U246" s="81"/>
      <c r="V246" s="82"/>
      <c r="W246" s="81"/>
      <c r="X246" s="81"/>
    </row>
    <row r="247" spans="1:24" ht="15" customHeight="1">
      <c r="A247" s="75" t="str">
        <f t="shared" si="26"/>
        <v/>
      </c>
      <c r="B247" s="81"/>
      <c r="C247" s="81"/>
      <c r="D247" s="81"/>
      <c r="E247" s="81"/>
      <c r="F247" s="81"/>
      <c r="G247" s="81"/>
      <c r="H247" s="81"/>
      <c r="I247" s="84"/>
      <c r="J247" s="84"/>
      <c r="K247" s="81"/>
      <c r="L247" s="85"/>
      <c r="M247" s="81"/>
      <c r="N247" s="82"/>
      <c r="O247" s="82"/>
      <c r="P247" s="81"/>
      <c r="Q247" s="81"/>
      <c r="R247" s="81"/>
      <c r="S247" s="75" t="str">
        <f t="shared" si="27"/>
        <v/>
      </c>
      <c r="T247" s="81"/>
      <c r="U247" s="81"/>
      <c r="V247" s="82"/>
      <c r="W247" s="81"/>
      <c r="X247" s="81"/>
    </row>
    <row r="248" spans="1:24" ht="15" customHeight="1">
      <c r="A248" s="75" t="str">
        <f t="shared" si="26"/>
        <v/>
      </c>
      <c r="B248" s="81"/>
      <c r="C248" s="81"/>
      <c r="D248" s="81"/>
      <c r="E248" s="81"/>
      <c r="F248" s="81"/>
      <c r="G248" s="81"/>
      <c r="H248" s="81"/>
      <c r="I248" s="84"/>
      <c r="J248" s="84"/>
      <c r="K248" s="81"/>
      <c r="L248" s="85"/>
      <c r="M248" s="81"/>
      <c r="N248" s="82"/>
      <c r="O248" s="82"/>
      <c r="P248" s="81"/>
      <c r="Q248" s="81"/>
      <c r="R248" s="81"/>
      <c r="S248" s="75" t="str">
        <f t="shared" si="27"/>
        <v/>
      </c>
      <c r="T248" s="81"/>
      <c r="U248" s="81"/>
      <c r="V248" s="82"/>
      <c r="W248" s="81"/>
      <c r="X248" s="81"/>
    </row>
    <row r="249" spans="1:24" ht="15" customHeight="1">
      <c r="A249" s="75" t="str">
        <f t="shared" si="26"/>
        <v/>
      </c>
      <c r="B249" s="81"/>
      <c r="C249" s="81"/>
      <c r="D249" s="81"/>
      <c r="E249" s="81"/>
      <c r="F249" s="81"/>
      <c r="G249" s="81"/>
      <c r="H249" s="81"/>
      <c r="I249" s="84"/>
      <c r="J249" s="84"/>
      <c r="K249" s="81"/>
      <c r="L249" s="85"/>
      <c r="M249" s="81"/>
      <c r="N249" s="82"/>
      <c r="O249" s="82"/>
      <c r="P249" s="81"/>
      <c r="Q249" s="81"/>
      <c r="R249" s="81"/>
      <c r="S249" s="75" t="str">
        <f t="shared" si="27"/>
        <v/>
      </c>
      <c r="T249" s="81"/>
      <c r="U249" s="81"/>
      <c r="V249" s="82"/>
      <c r="W249" s="81"/>
      <c r="X249" s="81"/>
    </row>
    <row r="250" spans="1:24" ht="15" customHeight="1">
      <c r="A250" s="75" t="str">
        <f t="shared" si="26"/>
        <v/>
      </c>
      <c r="B250" s="81"/>
      <c r="C250" s="81"/>
      <c r="D250" s="81"/>
      <c r="E250" s="81"/>
      <c r="F250" s="81"/>
      <c r="G250" s="81"/>
      <c r="H250" s="81"/>
      <c r="I250" s="84"/>
      <c r="J250" s="84"/>
      <c r="K250" s="81"/>
      <c r="L250" s="85"/>
      <c r="M250" s="81"/>
      <c r="N250" s="82"/>
      <c r="O250" s="82"/>
      <c r="P250" s="81"/>
      <c r="Q250" s="81"/>
      <c r="R250" s="81"/>
      <c r="S250" s="75" t="str">
        <f t="shared" si="27"/>
        <v/>
      </c>
      <c r="T250" s="81"/>
      <c r="U250" s="81"/>
      <c r="V250" s="82"/>
      <c r="W250" s="81"/>
      <c r="X250" s="81"/>
    </row>
    <row r="251" spans="1:24" ht="15" customHeight="1">
      <c r="A251" s="75" t="str">
        <f t="shared" si="26"/>
        <v/>
      </c>
      <c r="B251" s="81"/>
      <c r="C251" s="81"/>
      <c r="D251" s="81"/>
      <c r="E251" s="81"/>
      <c r="F251" s="81"/>
      <c r="G251" s="81"/>
      <c r="H251" s="81"/>
      <c r="I251" s="84"/>
      <c r="J251" s="84"/>
      <c r="K251" s="81"/>
      <c r="L251" s="85"/>
      <c r="M251" s="81"/>
      <c r="N251" s="82"/>
      <c r="O251" s="82"/>
      <c r="P251" s="81"/>
      <c r="Q251" s="81"/>
      <c r="R251" s="81"/>
      <c r="S251" s="75" t="str">
        <f t="shared" si="27"/>
        <v/>
      </c>
      <c r="T251" s="81"/>
      <c r="U251" s="81"/>
      <c r="V251" s="82"/>
      <c r="W251" s="81"/>
      <c r="X251" s="81"/>
    </row>
    <row r="252" spans="1:24" ht="15" customHeight="1">
      <c r="A252" s="75" t="str">
        <f t="shared" si="26"/>
        <v/>
      </c>
      <c r="B252" s="81"/>
      <c r="C252" s="81"/>
      <c r="D252" s="81"/>
      <c r="E252" s="81"/>
      <c r="F252" s="81"/>
      <c r="G252" s="81"/>
      <c r="H252" s="81"/>
      <c r="I252" s="84"/>
      <c r="J252" s="84"/>
      <c r="K252" s="81"/>
      <c r="L252" s="85"/>
      <c r="M252" s="81"/>
      <c r="N252" s="82"/>
      <c r="O252" s="82"/>
      <c r="P252" s="81"/>
      <c r="Q252" s="81"/>
      <c r="R252" s="81"/>
      <c r="S252" s="75" t="str">
        <f t="shared" si="27"/>
        <v/>
      </c>
      <c r="T252" s="81"/>
      <c r="U252" s="81"/>
      <c r="V252" s="82"/>
      <c r="W252" s="81"/>
      <c r="X252" s="81"/>
    </row>
    <row r="253" spans="1:24" ht="15" customHeight="1">
      <c r="A253" s="75" t="str">
        <f t="shared" si="26"/>
        <v/>
      </c>
      <c r="B253" s="81"/>
      <c r="C253" s="81"/>
      <c r="D253" s="81"/>
      <c r="E253" s="81"/>
      <c r="F253" s="81"/>
      <c r="G253" s="81"/>
      <c r="H253" s="81"/>
      <c r="I253" s="84"/>
      <c r="J253" s="84"/>
      <c r="K253" s="81"/>
      <c r="L253" s="85"/>
      <c r="M253" s="81"/>
      <c r="N253" s="82"/>
      <c r="O253" s="82"/>
      <c r="P253" s="81"/>
      <c r="Q253" s="81"/>
      <c r="R253" s="81"/>
      <c r="S253" s="75" t="str">
        <f t="shared" si="27"/>
        <v/>
      </c>
      <c r="T253" s="81"/>
      <c r="U253" s="81"/>
      <c r="V253" s="82"/>
      <c r="W253" s="81"/>
      <c r="X253" s="81"/>
    </row>
    <row r="254" spans="1:24" ht="15" customHeight="1">
      <c r="A254" s="75" t="str">
        <f t="shared" si="26"/>
        <v/>
      </c>
      <c r="B254" s="81"/>
      <c r="C254" s="81"/>
      <c r="D254" s="81"/>
      <c r="E254" s="81"/>
      <c r="F254" s="81"/>
      <c r="G254" s="81"/>
      <c r="H254" s="81"/>
      <c r="I254" s="84"/>
      <c r="J254" s="84"/>
      <c r="K254" s="81"/>
      <c r="L254" s="85"/>
      <c r="M254" s="81"/>
      <c r="N254" s="82"/>
      <c r="O254" s="82"/>
      <c r="P254" s="81"/>
      <c r="Q254" s="81"/>
      <c r="R254" s="81"/>
      <c r="S254" s="75" t="str">
        <f t="shared" si="27"/>
        <v/>
      </c>
      <c r="T254" s="81"/>
      <c r="U254" s="81"/>
      <c r="V254" s="82"/>
      <c r="W254" s="81"/>
      <c r="X254" s="81"/>
    </row>
    <row r="255" spans="1:24" ht="15" customHeight="1">
      <c r="A255" s="75" t="str">
        <f t="shared" si="26"/>
        <v/>
      </c>
      <c r="B255" s="81"/>
      <c r="C255" s="81"/>
      <c r="D255" s="81"/>
      <c r="E255" s="81"/>
      <c r="F255" s="81"/>
      <c r="G255" s="81"/>
      <c r="H255" s="81"/>
      <c r="I255" s="84"/>
      <c r="J255" s="84"/>
      <c r="K255" s="81"/>
      <c r="L255" s="85"/>
      <c r="M255" s="81"/>
      <c r="N255" s="82"/>
      <c r="O255" s="82"/>
      <c r="P255" s="81"/>
      <c r="Q255" s="81"/>
      <c r="R255" s="81"/>
      <c r="S255" s="75" t="str">
        <f t="shared" si="27"/>
        <v/>
      </c>
      <c r="T255" s="81"/>
      <c r="U255" s="81"/>
      <c r="V255" s="82"/>
      <c r="W255" s="81"/>
      <c r="X255" s="81"/>
    </row>
    <row r="256" spans="1:24" ht="15" customHeight="1">
      <c r="A256" s="75" t="str">
        <f t="shared" si="26"/>
        <v/>
      </c>
      <c r="B256" s="81"/>
      <c r="C256" s="81"/>
      <c r="D256" s="81"/>
      <c r="E256" s="81"/>
      <c r="F256" s="81"/>
      <c r="G256" s="81"/>
      <c r="H256" s="81"/>
      <c r="I256" s="84"/>
      <c r="J256" s="84"/>
      <c r="K256" s="81"/>
      <c r="L256" s="85"/>
      <c r="M256" s="81"/>
      <c r="N256" s="82"/>
      <c r="O256" s="82"/>
      <c r="P256" s="81"/>
      <c r="Q256" s="81"/>
      <c r="R256" s="81"/>
      <c r="S256" s="75" t="str">
        <f t="shared" si="27"/>
        <v/>
      </c>
      <c r="T256" s="81"/>
      <c r="U256" s="81"/>
      <c r="V256" s="82"/>
      <c r="W256" s="81"/>
      <c r="X256" s="81"/>
    </row>
    <row r="257" spans="1:24" ht="15" customHeight="1">
      <c r="A257" s="75" t="str">
        <f t="shared" si="26"/>
        <v/>
      </c>
      <c r="B257" s="81"/>
      <c r="C257" s="81"/>
      <c r="D257" s="81"/>
      <c r="E257" s="81"/>
      <c r="F257" s="81"/>
      <c r="G257" s="81"/>
      <c r="H257" s="81"/>
      <c r="I257" s="84"/>
      <c r="J257" s="84"/>
      <c r="K257" s="81"/>
      <c r="L257" s="85"/>
      <c r="M257" s="81"/>
      <c r="N257" s="82"/>
      <c r="O257" s="82"/>
      <c r="P257" s="81"/>
      <c r="Q257" s="81"/>
      <c r="R257" s="81"/>
      <c r="S257" s="75" t="str">
        <f t="shared" si="27"/>
        <v/>
      </c>
      <c r="T257" s="81"/>
      <c r="U257" s="81"/>
      <c r="V257" s="82"/>
      <c r="W257" s="81"/>
      <c r="X257" s="81"/>
    </row>
    <row r="258" spans="1:24" ht="15" customHeight="1">
      <c r="A258" s="75" t="str">
        <f t="shared" si="26"/>
        <v/>
      </c>
      <c r="B258" s="81"/>
      <c r="C258" s="81"/>
      <c r="D258" s="81"/>
      <c r="E258" s="81"/>
      <c r="F258" s="81"/>
      <c r="G258" s="81"/>
      <c r="H258" s="81"/>
      <c r="I258" s="84"/>
      <c r="J258" s="84"/>
      <c r="K258" s="81"/>
      <c r="L258" s="85"/>
      <c r="M258" s="81"/>
      <c r="N258" s="82"/>
      <c r="O258" s="82"/>
      <c r="P258" s="81"/>
      <c r="Q258" s="81"/>
      <c r="R258" s="81"/>
      <c r="S258" s="75" t="str">
        <f t="shared" si="27"/>
        <v/>
      </c>
      <c r="T258" s="81"/>
      <c r="U258" s="81"/>
      <c r="V258" s="82"/>
      <c r="W258" s="81"/>
      <c r="X258" s="81"/>
    </row>
    <row r="259" spans="1:24" ht="15" customHeight="1">
      <c r="A259" s="75" t="str">
        <f t="shared" si="26"/>
        <v/>
      </c>
      <c r="B259" s="81"/>
      <c r="C259" s="81"/>
      <c r="D259" s="81"/>
      <c r="E259" s="81"/>
      <c r="F259" s="81"/>
      <c r="G259" s="81"/>
      <c r="H259" s="81"/>
      <c r="I259" s="84"/>
      <c r="J259" s="84"/>
      <c r="K259" s="81"/>
      <c r="L259" s="85"/>
      <c r="M259" s="81"/>
      <c r="N259" s="82"/>
      <c r="O259" s="82"/>
      <c r="P259" s="81"/>
      <c r="Q259" s="81"/>
      <c r="R259" s="81"/>
      <c r="S259" s="75" t="str">
        <f t="shared" si="27"/>
        <v/>
      </c>
      <c r="T259" s="81"/>
      <c r="U259" s="81"/>
      <c r="V259" s="82"/>
      <c r="W259" s="81"/>
      <c r="X259" s="81"/>
    </row>
    <row r="260" spans="1:24" ht="15" customHeight="1">
      <c r="A260" s="75" t="str">
        <f t="shared" si="26"/>
        <v/>
      </c>
      <c r="B260" s="81"/>
      <c r="C260" s="81"/>
      <c r="D260" s="81"/>
      <c r="E260" s="81"/>
      <c r="F260" s="81"/>
      <c r="G260" s="81"/>
      <c r="H260" s="81"/>
      <c r="I260" s="84"/>
      <c r="J260" s="84"/>
      <c r="K260" s="81"/>
      <c r="L260" s="85"/>
      <c r="M260" s="81"/>
      <c r="N260" s="82"/>
      <c r="O260" s="82"/>
      <c r="P260" s="81"/>
      <c r="Q260" s="81"/>
      <c r="R260" s="81"/>
      <c r="S260" s="75" t="str">
        <f t="shared" si="27"/>
        <v/>
      </c>
      <c r="T260" s="81"/>
      <c r="U260" s="81"/>
      <c r="V260" s="82"/>
      <c r="W260" s="81"/>
      <c r="X260" s="81"/>
    </row>
    <row r="261" spans="1:24" ht="15" customHeight="1">
      <c r="A261" s="75" t="str">
        <f t="shared" si="26"/>
        <v/>
      </c>
      <c r="B261" s="81"/>
      <c r="C261" s="81"/>
      <c r="D261" s="81"/>
      <c r="E261" s="81"/>
      <c r="F261" s="81"/>
      <c r="G261" s="81"/>
      <c r="H261" s="81"/>
      <c r="I261" s="84"/>
      <c r="J261" s="84"/>
      <c r="K261" s="81"/>
      <c r="L261" s="85"/>
      <c r="M261" s="81"/>
      <c r="N261" s="82"/>
      <c r="O261" s="82"/>
      <c r="P261" s="81"/>
      <c r="Q261" s="81"/>
      <c r="R261" s="81"/>
      <c r="S261" s="75" t="str">
        <f t="shared" si="27"/>
        <v/>
      </c>
      <c r="T261" s="81"/>
      <c r="U261" s="81"/>
      <c r="V261" s="82"/>
      <c r="W261" s="81"/>
      <c r="X261" s="81"/>
    </row>
    <row r="262" spans="1:24" ht="15" customHeight="1">
      <c r="A262" s="75" t="str">
        <f t="shared" si="26"/>
        <v/>
      </c>
      <c r="B262" s="81"/>
      <c r="C262" s="81"/>
      <c r="D262" s="81"/>
      <c r="E262" s="81"/>
      <c r="F262" s="81"/>
      <c r="G262" s="81"/>
      <c r="H262" s="81"/>
      <c r="I262" s="84"/>
      <c r="J262" s="84"/>
      <c r="K262" s="81"/>
      <c r="L262" s="85"/>
      <c r="M262" s="81"/>
      <c r="N262" s="82"/>
      <c r="O262" s="82"/>
      <c r="P262" s="81"/>
      <c r="Q262" s="81"/>
      <c r="R262" s="81"/>
      <c r="S262" s="75" t="str">
        <f t="shared" si="27"/>
        <v/>
      </c>
      <c r="T262" s="81"/>
      <c r="U262" s="81"/>
      <c r="V262" s="82"/>
      <c r="W262" s="81"/>
      <c r="X262" s="81"/>
    </row>
    <row r="263" spans="1:24" ht="15" customHeight="1">
      <c r="A263" s="75" t="str">
        <f t="shared" si="26"/>
        <v/>
      </c>
      <c r="B263" s="81"/>
      <c r="C263" s="81"/>
      <c r="D263" s="81"/>
      <c r="E263" s="81"/>
      <c r="F263" s="81"/>
      <c r="G263" s="81"/>
      <c r="H263" s="81"/>
      <c r="I263" s="84"/>
      <c r="J263" s="84"/>
      <c r="K263" s="81"/>
      <c r="L263" s="85"/>
      <c r="M263" s="81"/>
      <c r="N263" s="82"/>
      <c r="O263" s="82"/>
      <c r="P263" s="81"/>
      <c r="Q263" s="81"/>
      <c r="R263" s="81"/>
      <c r="S263" s="75" t="str">
        <f t="shared" si="27"/>
        <v/>
      </c>
      <c r="T263" s="81"/>
      <c r="U263" s="81"/>
      <c r="V263" s="82"/>
      <c r="W263" s="81"/>
      <c r="X263" s="81"/>
    </row>
    <row r="264" spans="1:24" ht="15" customHeight="1">
      <c r="A264" s="75" t="str">
        <f t="shared" si="26"/>
        <v/>
      </c>
      <c r="B264" s="81"/>
      <c r="C264" s="81"/>
      <c r="D264" s="81"/>
      <c r="E264" s="81"/>
      <c r="F264" s="81"/>
      <c r="G264" s="81"/>
      <c r="H264" s="81"/>
      <c r="I264" s="84"/>
      <c r="J264" s="84"/>
      <c r="K264" s="81"/>
      <c r="L264" s="85"/>
      <c r="M264" s="81"/>
      <c r="N264" s="82"/>
      <c r="O264" s="82"/>
      <c r="P264" s="81"/>
      <c r="Q264" s="81"/>
      <c r="R264" s="81"/>
      <c r="S264" s="75" t="str">
        <f t="shared" si="27"/>
        <v/>
      </c>
      <c r="T264" s="81"/>
      <c r="U264" s="81"/>
      <c r="V264" s="82"/>
      <c r="W264" s="81"/>
      <c r="X264" s="81"/>
    </row>
    <row r="265" spans="1:24" ht="15" customHeight="1">
      <c r="A265" s="75" t="str">
        <f t="shared" si="26"/>
        <v/>
      </c>
      <c r="B265" s="81"/>
      <c r="C265" s="81"/>
      <c r="D265" s="81"/>
      <c r="E265" s="81"/>
      <c r="F265" s="81"/>
      <c r="G265" s="81"/>
      <c r="H265" s="81"/>
      <c r="I265" s="84"/>
      <c r="J265" s="84"/>
      <c r="K265" s="81"/>
      <c r="L265" s="85"/>
      <c r="M265" s="81"/>
      <c r="N265" s="82"/>
      <c r="O265" s="82"/>
      <c r="P265" s="81"/>
      <c r="Q265" s="81"/>
      <c r="R265" s="81"/>
      <c r="S265" s="75" t="str">
        <f t="shared" si="27"/>
        <v/>
      </c>
      <c r="T265" s="81"/>
      <c r="U265" s="81"/>
      <c r="V265" s="82"/>
      <c r="W265" s="81"/>
      <c r="X265" s="81"/>
    </row>
    <row r="266" spans="1:24" ht="15" customHeight="1">
      <c r="A266" s="75" t="str">
        <f t="shared" si="26"/>
        <v/>
      </c>
      <c r="B266" s="81"/>
      <c r="C266" s="81"/>
      <c r="D266" s="81"/>
      <c r="E266" s="81"/>
      <c r="F266" s="81"/>
      <c r="G266" s="81"/>
      <c r="H266" s="81"/>
      <c r="I266" s="84"/>
      <c r="J266" s="84"/>
      <c r="K266" s="81"/>
      <c r="L266" s="85"/>
      <c r="M266" s="81"/>
      <c r="N266" s="82"/>
      <c r="O266" s="82"/>
      <c r="P266" s="81"/>
      <c r="Q266" s="81"/>
      <c r="R266" s="81"/>
      <c r="S266" s="75" t="str">
        <f t="shared" si="27"/>
        <v/>
      </c>
      <c r="T266" s="81"/>
      <c r="U266" s="81"/>
      <c r="V266" s="82"/>
      <c r="W266" s="81"/>
      <c r="X266" s="81"/>
    </row>
    <row r="267" spans="1:24" ht="15" customHeight="1">
      <c r="A267" s="75" t="str">
        <f t="shared" si="26"/>
        <v/>
      </c>
      <c r="B267" s="81"/>
      <c r="C267" s="81"/>
      <c r="D267" s="81"/>
      <c r="E267" s="81"/>
      <c r="F267" s="81"/>
      <c r="G267" s="81"/>
      <c r="H267" s="81"/>
      <c r="I267" s="84"/>
      <c r="J267" s="84"/>
      <c r="K267" s="81"/>
      <c r="L267" s="85"/>
      <c r="M267" s="81"/>
      <c r="N267" s="82"/>
      <c r="O267" s="82"/>
      <c r="P267" s="81"/>
      <c r="Q267" s="81"/>
      <c r="R267" s="81"/>
      <c r="S267" s="75" t="str">
        <f t="shared" si="27"/>
        <v/>
      </c>
      <c r="T267" s="81"/>
      <c r="U267" s="81"/>
      <c r="V267" s="82"/>
      <c r="W267" s="81"/>
      <c r="X267" s="81"/>
    </row>
    <row r="268" spans="1:24" ht="15" customHeight="1">
      <c r="A268" s="75" t="str">
        <f t="shared" si="26"/>
        <v/>
      </c>
      <c r="B268" s="81"/>
      <c r="C268" s="81"/>
      <c r="D268" s="81"/>
      <c r="E268" s="81"/>
      <c r="F268" s="81"/>
      <c r="G268" s="81"/>
      <c r="H268" s="81"/>
      <c r="I268" s="84"/>
      <c r="J268" s="84"/>
      <c r="K268" s="81"/>
      <c r="L268" s="85"/>
      <c r="M268" s="81"/>
      <c r="N268" s="82"/>
      <c r="O268" s="82"/>
      <c r="P268" s="81"/>
      <c r="Q268" s="81"/>
      <c r="R268" s="81"/>
      <c r="S268" s="75" t="str">
        <f t="shared" si="27"/>
        <v/>
      </c>
      <c r="T268" s="81"/>
      <c r="U268" s="81"/>
      <c r="V268" s="82"/>
      <c r="W268" s="81"/>
      <c r="X268" s="81"/>
    </row>
    <row r="269" spans="1:24" ht="15" customHeight="1">
      <c r="A269" s="75" t="str">
        <f t="shared" si="26"/>
        <v/>
      </c>
      <c r="B269" s="81"/>
      <c r="C269" s="81"/>
      <c r="D269" s="81"/>
      <c r="E269" s="81"/>
      <c r="F269" s="81"/>
      <c r="G269" s="81"/>
      <c r="H269" s="81"/>
      <c r="I269" s="84"/>
      <c r="J269" s="84"/>
      <c r="K269" s="81"/>
      <c r="L269" s="85"/>
      <c r="M269" s="81"/>
      <c r="N269" s="82"/>
      <c r="O269" s="82"/>
      <c r="P269" s="81"/>
      <c r="Q269" s="81"/>
      <c r="R269" s="81"/>
      <c r="S269" s="75" t="str">
        <f t="shared" si="27"/>
        <v/>
      </c>
      <c r="T269" s="81"/>
      <c r="U269" s="81"/>
      <c r="V269" s="82"/>
      <c r="W269" s="81"/>
      <c r="X269" s="81"/>
    </row>
    <row r="270" spans="1:24" ht="15" customHeight="1">
      <c r="A270" s="75" t="str">
        <f t="shared" si="26"/>
        <v/>
      </c>
      <c r="B270" s="81"/>
      <c r="C270" s="81"/>
      <c r="D270" s="81"/>
      <c r="E270" s="81"/>
      <c r="F270" s="81"/>
      <c r="G270" s="81"/>
      <c r="H270" s="81"/>
      <c r="I270" s="84"/>
      <c r="J270" s="84"/>
      <c r="K270" s="81"/>
      <c r="L270" s="85"/>
      <c r="M270" s="81"/>
      <c r="N270" s="82"/>
      <c r="O270" s="82"/>
      <c r="P270" s="81"/>
      <c r="Q270" s="81"/>
      <c r="R270" s="81"/>
      <c r="S270" s="75" t="str">
        <f t="shared" si="27"/>
        <v/>
      </c>
      <c r="T270" s="81"/>
      <c r="U270" s="81"/>
      <c r="V270" s="82"/>
      <c r="W270" s="81"/>
      <c r="X270" s="81"/>
    </row>
    <row r="271" spans="1:24" ht="15" customHeight="1">
      <c r="A271" s="75" t="str">
        <f t="shared" si="26"/>
        <v/>
      </c>
      <c r="B271" s="81"/>
      <c r="C271" s="81"/>
      <c r="D271" s="81"/>
      <c r="E271" s="81"/>
      <c r="F271" s="81"/>
      <c r="G271" s="81"/>
      <c r="H271" s="81"/>
      <c r="I271" s="84"/>
      <c r="J271" s="84"/>
      <c r="K271" s="81"/>
      <c r="L271" s="85"/>
      <c r="M271" s="81"/>
      <c r="N271" s="82"/>
      <c r="O271" s="82"/>
      <c r="P271" s="81"/>
      <c r="Q271" s="81"/>
      <c r="R271" s="81"/>
      <c r="S271" s="75" t="str">
        <f t="shared" si="27"/>
        <v/>
      </c>
      <c r="T271" s="81"/>
      <c r="U271" s="81"/>
      <c r="V271" s="82"/>
      <c r="W271" s="81"/>
      <c r="X271" s="81"/>
    </row>
    <row r="272" spans="1:24" ht="15" customHeight="1">
      <c r="A272" s="75" t="str">
        <f t="shared" si="26"/>
        <v/>
      </c>
      <c r="B272" s="81"/>
      <c r="C272" s="81"/>
      <c r="D272" s="81"/>
      <c r="E272" s="81"/>
      <c r="F272" s="81"/>
      <c r="G272" s="81"/>
      <c r="H272" s="81"/>
      <c r="I272" s="84"/>
      <c r="J272" s="84"/>
      <c r="K272" s="81"/>
      <c r="L272" s="85"/>
      <c r="M272" s="81"/>
      <c r="N272" s="82"/>
      <c r="O272" s="82"/>
      <c r="P272" s="81"/>
      <c r="Q272" s="81"/>
      <c r="R272" s="81"/>
      <c r="S272" s="75" t="str">
        <f t="shared" si="27"/>
        <v/>
      </c>
      <c r="T272" s="81"/>
      <c r="U272" s="81"/>
      <c r="V272" s="82"/>
      <c r="W272" s="81"/>
      <c r="X272" s="81"/>
    </row>
    <row r="273" spans="1:24" ht="15" customHeight="1">
      <c r="A273" s="75" t="str">
        <f t="shared" si="26"/>
        <v/>
      </c>
      <c r="B273" s="81"/>
      <c r="C273" s="81"/>
      <c r="D273" s="81"/>
      <c r="E273" s="81"/>
      <c r="F273" s="81"/>
      <c r="G273" s="81"/>
      <c r="H273" s="81"/>
      <c r="I273" s="84"/>
      <c r="J273" s="84"/>
      <c r="K273" s="81"/>
      <c r="L273" s="85"/>
      <c r="M273" s="81"/>
      <c r="N273" s="82"/>
      <c r="O273" s="82"/>
      <c r="P273" s="81"/>
      <c r="Q273" s="81"/>
      <c r="R273" s="81"/>
      <c r="S273" s="75" t="str">
        <f t="shared" si="27"/>
        <v/>
      </c>
      <c r="T273" s="81"/>
      <c r="U273" s="81"/>
      <c r="V273" s="82"/>
      <c r="W273" s="81"/>
      <c r="X273" s="81"/>
    </row>
    <row r="274" spans="1:24" ht="15" customHeight="1">
      <c r="A274" s="75" t="str">
        <f t="shared" si="26"/>
        <v/>
      </c>
      <c r="B274" s="81"/>
      <c r="C274" s="81"/>
      <c r="D274" s="81"/>
      <c r="E274" s="81"/>
      <c r="F274" s="81"/>
      <c r="G274" s="81"/>
      <c r="H274" s="81"/>
      <c r="I274" s="84"/>
      <c r="J274" s="84"/>
      <c r="K274" s="81"/>
      <c r="L274" s="85"/>
      <c r="M274" s="81"/>
      <c r="N274" s="82"/>
      <c r="O274" s="82"/>
      <c r="P274" s="81"/>
      <c r="Q274" s="81"/>
      <c r="R274" s="81"/>
      <c r="S274" s="75" t="str">
        <f t="shared" si="27"/>
        <v/>
      </c>
      <c r="T274" s="81"/>
      <c r="U274" s="81"/>
      <c r="V274" s="82"/>
      <c r="W274" s="81"/>
      <c r="X274" s="81"/>
    </row>
    <row r="275" spans="1:24" ht="15" customHeight="1">
      <c r="A275" s="75" t="str">
        <f t="shared" si="26"/>
        <v/>
      </c>
      <c r="B275" s="81"/>
      <c r="C275" s="81"/>
      <c r="D275" s="81"/>
      <c r="E275" s="81"/>
      <c r="F275" s="81"/>
      <c r="G275" s="81"/>
      <c r="H275" s="81"/>
      <c r="I275" s="84"/>
      <c r="J275" s="84"/>
      <c r="K275" s="81"/>
      <c r="L275" s="85"/>
      <c r="M275" s="81"/>
      <c r="N275" s="82"/>
      <c r="O275" s="82"/>
      <c r="P275" s="81"/>
      <c r="Q275" s="81"/>
      <c r="R275" s="81"/>
      <c r="S275" s="75" t="str">
        <f t="shared" si="27"/>
        <v/>
      </c>
      <c r="T275" s="81"/>
      <c r="U275" s="81"/>
      <c r="V275" s="82"/>
      <c r="W275" s="81"/>
      <c r="X275" s="81"/>
    </row>
    <row r="276" spans="1:24" ht="15" customHeight="1">
      <c r="A276" s="75" t="str">
        <f t="shared" ref="A276:A303" si="28">IF(C276="","","OPP"&amp;TEXT(ROW()-243,"00000"))</f>
        <v/>
      </c>
      <c r="B276" s="81"/>
      <c r="C276" s="81"/>
      <c r="D276" s="81"/>
      <c r="E276" s="81"/>
      <c r="F276" s="81"/>
      <c r="G276" s="81"/>
      <c r="H276" s="81"/>
      <c r="I276" s="84"/>
      <c r="J276" s="84"/>
      <c r="K276" s="81"/>
      <c r="L276" s="85"/>
      <c r="M276" s="81"/>
      <c r="N276" s="82"/>
      <c r="O276" s="82"/>
      <c r="P276" s="81"/>
      <c r="Q276" s="81"/>
      <c r="R276" s="81"/>
      <c r="S276" s="75" t="str">
        <f t="shared" ref="S276:S303" si="29">IF(R276="","",IF(R276&gt;=80,"Excellent",IF(R276&gt;=60,"Bon",IF(R276&gt;=40,"Moyen","Faible"))))</f>
        <v/>
      </c>
      <c r="T276" s="81"/>
      <c r="U276" s="81"/>
      <c r="V276" s="82"/>
      <c r="W276" s="81"/>
      <c r="X276" s="81"/>
    </row>
    <row r="277" spans="1:24" ht="15" customHeight="1">
      <c r="A277" s="75" t="str">
        <f t="shared" si="28"/>
        <v/>
      </c>
      <c r="B277" s="81"/>
      <c r="C277" s="81"/>
      <c r="D277" s="81"/>
      <c r="E277" s="81"/>
      <c r="F277" s="81"/>
      <c r="G277" s="81"/>
      <c r="H277" s="81"/>
      <c r="I277" s="84"/>
      <c r="J277" s="84"/>
      <c r="K277" s="81"/>
      <c r="L277" s="85"/>
      <c r="M277" s="81"/>
      <c r="N277" s="82"/>
      <c r="O277" s="82"/>
      <c r="P277" s="81"/>
      <c r="Q277" s="81"/>
      <c r="R277" s="81"/>
      <c r="S277" s="75" t="str">
        <f t="shared" si="29"/>
        <v/>
      </c>
      <c r="T277" s="81"/>
      <c r="U277" s="81"/>
      <c r="V277" s="82"/>
      <c r="W277" s="81"/>
      <c r="X277" s="81"/>
    </row>
    <row r="278" spans="1:24" ht="15" customHeight="1">
      <c r="A278" s="75" t="str">
        <f t="shared" si="28"/>
        <v/>
      </c>
      <c r="B278" s="81"/>
      <c r="C278" s="81"/>
      <c r="D278" s="81"/>
      <c r="E278" s="81"/>
      <c r="F278" s="81"/>
      <c r="G278" s="81"/>
      <c r="H278" s="81"/>
      <c r="I278" s="84"/>
      <c r="J278" s="84"/>
      <c r="K278" s="81"/>
      <c r="L278" s="85"/>
      <c r="M278" s="81"/>
      <c r="N278" s="82"/>
      <c r="O278" s="82"/>
      <c r="P278" s="81"/>
      <c r="Q278" s="81"/>
      <c r="R278" s="81"/>
      <c r="S278" s="75" t="str">
        <f t="shared" si="29"/>
        <v/>
      </c>
      <c r="T278" s="81"/>
      <c r="U278" s="81"/>
      <c r="V278" s="82"/>
      <c r="W278" s="81"/>
      <c r="X278" s="81"/>
    </row>
    <row r="279" spans="1:24" ht="15" customHeight="1">
      <c r="A279" s="75" t="str">
        <f t="shared" si="28"/>
        <v/>
      </c>
      <c r="B279" s="81"/>
      <c r="C279" s="81"/>
      <c r="D279" s="81"/>
      <c r="E279" s="81"/>
      <c r="F279" s="81"/>
      <c r="G279" s="81"/>
      <c r="H279" s="81"/>
      <c r="I279" s="84"/>
      <c r="J279" s="84"/>
      <c r="K279" s="81"/>
      <c r="L279" s="85"/>
      <c r="M279" s="81"/>
      <c r="N279" s="82"/>
      <c r="O279" s="82"/>
      <c r="P279" s="81"/>
      <c r="Q279" s="81"/>
      <c r="R279" s="81"/>
      <c r="S279" s="75" t="str">
        <f t="shared" si="29"/>
        <v/>
      </c>
      <c r="T279" s="81"/>
      <c r="U279" s="81"/>
      <c r="V279" s="82"/>
      <c r="W279" s="81"/>
      <c r="X279" s="81"/>
    </row>
    <row r="280" spans="1:24" ht="15" customHeight="1">
      <c r="A280" s="75" t="str">
        <f t="shared" si="28"/>
        <v/>
      </c>
      <c r="B280" s="81"/>
      <c r="C280" s="81"/>
      <c r="D280" s="81"/>
      <c r="E280" s="81"/>
      <c r="F280" s="81"/>
      <c r="G280" s="81"/>
      <c r="H280" s="81"/>
      <c r="I280" s="84"/>
      <c r="J280" s="84"/>
      <c r="K280" s="81"/>
      <c r="L280" s="85"/>
      <c r="M280" s="81"/>
      <c r="N280" s="82"/>
      <c r="O280" s="82"/>
      <c r="P280" s="81"/>
      <c r="Q280" s="81"/>
      <c r="R280" s="81"/>
      <c r="S280" s="75" t="str">
        <f t="shared" si="29"/>
        <v/>
      </c>
      <c r="T280" s="81"/>
      <c r="U280" s="81"/>
      <c r="V280" s="82"/>
      <c r="W280" s="81"/>
      <c r="X280" s="81"/>
    </row>
    <row r="281" spans="1:24" ht="15" customHeight="1">
      <c r="A281" s="75" t="str">
        <f t="shared" si="28"/>
        <v/>
      </c>
      <c r="B281" s="81"/>
      <c r="C281" s="81"/>
      <c r="D281" s="81"/>
      <c r="E281" s="81"/>
      <c r="F281" s="81"/>
      <c r="G281" s="81"/>
      <c r="H281" s="81"/>
      <c r="I281" s="84"/>
      <c r="J281" s="84"/>
      <c r="K281" s="81"/>
      <c r="L281" s="85"/>
      <c r="M281" s="81"/>
      <c r="N281" s="82"/>
      <c r="O281" s="82"/>
      <c r="P281" s="81"/>
      <c r="Q281" s="81"/>
      <c r="R281" s="81"/>
      <c r="S281" s="75" t="str">
        <f t="shared" si="29"/>
        <v/>
      </c>
      <c r="T281" s="81"/>
      <c r="U281" s="81"/>
      <c r="V281" s="82"/>
      <c r="W281" s="81"/>
      <c r="X281" s="81"/>
    </row>
    <row r="282" spans="1:24" ht="15" customHeight="1">
      <c r="A282" s="75" t="str">
        <f t="shared" si="28"/>
        <v/>
      </c>
      <c r="B282" s="81"/>
      <c r="C282" s="81"/>
      <c r="D282" s="81"/>
      <c r="E282" s="81"/>
      <c r="F282" s="81"/>
      <c r="G282" s="81"/>
      <c r="H282" s="81"/>
      <c r="I282" s="84"/>
      <c r="J282" s="84"/>
      <c r="K282" s="81"/>
      <c r="L282" s="85"/>
      <c r="M282" s="81"/>
      <c r="N282" s="82"/>
      <c r="O282" s="82"/>
      <c r="P282" s="81"/>
      <c r="Q282" s="81"/>
      <c r="R282" s="81"/>
      <c r="S282" s="75" t="str">
        <f t="shared" si="29"/>
        <v/>
      </c>
      <c r="T282" s="81"/>
      <c r="U282" s="81"/>
      <c r="V282" s="82"/>
      <c r="W282" s="81"/>
      <c r="X282" s="81"/>
    </row>
    <row r="283" spans="1:24" ht="15" customHeight="1">
      <c r="A283" s="75" t="str">
        <f t="shared" si="28"/>
        <v/>
      </c>
      <c r="B283" s="81"/>
      <c r="C283" s="81"/>
      <c r="D283" s="81"/>
      <c r="E283" s="81"/>
      <c r="F283" s="81"/>
      <c r="G283" s="81"/>
      <c r="H283" s="81"/>
      <c r="I283" s="84"/>
      <c r="J283" s="84"/>
      <c r="K283" s="81"/>
      <c r="L283" s="85"/>
      <c r="M283" s="81"/>
      <c r="N283" s="82"/>
      <c r="O283" s="82"/>
      <c r="P283" s="81"/>
      <c r="Q283" s="81"/>
      <c r="R283" s="81"/>
      <c r="S283" s="75" t="str">
        <f t="shared" si="29"/>
        <v/>
      </c>
      <c r="T283" s="81"/>
      <c r="U283" s="81"/>
      <c r="V283" s="82"/>
      <c r="W283" s="81"/>
      <c r="X283" s="81"/>
    </row>
    <row r="284" spans="1:24" ht="15" customHeight="1">
      <c r="A284" s="75" t="str">
        <f t="shared" si="28"/>
        <v/>
      </c>
      <c r="B284" s="81"/>
      <c r="C284" s="81"/>
      <c r="D284" s="81"/>
      <c r="E284" s="81"/>
      <c r="F284" s="81"/>
      <c r="G284" s="81"/>
      <c r="H284" s="81"/>
      <c r="I284" s="84"/>
      <c r="J284" s="84"/>
      <c r="K284" s="81"/>
      <c r="L284" s="85"/>
      <c r="M284" s="81"/>
      <c r="N284" s="82"/>
      <c r="O284" s="82"/>
      <c r="P284" s="81"/>
      <c r="Q284" s="81"/>
      <c r="R284" s="81"/>
      <c r="S284" s="75" t="str">
        <f t="shared" si="29"/>
        <v/>
      </c>
      <c r="T284" s="81"/>
      <c r="U284" s="81"/>
      <c r="V284" s="82"/>
      <c r="W284" s="81"/>
      <c r="X284" s="81"/>
    </row>
    <row r="285" spans="1:24" ht="15" customHeight="1">
      <c r="A285" s="75" t="str">
        <f t="shared" si="28"/>
        <v/>
      </c>
      <c r="B285" s="81"/>
      <c r="C285" s="81"/>
      <c r="D285" s="81"/>
      <c r="E285" s="81"/>
      <c r="F285" s="81"/>
      <c r="G285" s="81"/>
      <c r="H285" s="81"/>
      <c r="I285" s="84"/>
      <c r="J285" s="84"/>
      <c r="K285" s="81"/>
      <c r="L285" s="85"/>
      <c r="M285" s="81"/>
      <c r="N285" s="82"/>
      <c r="O285" s="82"/>
      <c r="P285" s="81"/>
      <c r="Q285" s="81"/>
      <c r="R285" s="81"/>
      <c r="S285" s="75" t="str">
        <f t="shared" si="29"/>
        <v/>
      </c>
      <c r="T285" s="81"/>
      <c r="U285" s="81"/>
      <c r="V285" s="82"/>
      <c r="W285" s="81"/>
      <c r="X285" s="81"/>
    </row>
    <row r="286" spans="1:24" ht="15" customHeight="1">
      <c r="A286" s="75" t="str">
        <f t="shared" si="28"/>
        <v/>
      </c>
      <c r="B286" s="81"/>
      <c r="C286" s="81"/>
      <c r="D286" s="81"/>
      <c r="E286" s="81"/>
      <c r="F286" s="81"/>
      <c r="G286" s="81"/>
      <c r="H286" s="81"/>
      <c r="I286" s="84"/>
      <c r="J286" s="84"/>
      <c r="K286" s="81"/>
      <c r="L286" s="85"/>
      <c r="M286" s="81"/>
      <c r="N286" s="82"/>
      <c r="O286" s="82"/>
      <c r="P286" s="81"/>
      <c r="Q286" s="81"/>
      <c r="R286" s="81"/>
      <c r="S286" s="75" t="str">
        <f t="shared" si="29"/>
        <v/>
      </c>
      <c r="T286" s="81"/>
      <c r="U286" s="81"/>
      <c r="V286" s="82"/>
      <c r="W286" s="81"/>
      <c r="X286" s="81"/>
    </row>
    <row r="287" spans="1:24" ht="15" customHeight="1">
      <c r="A287" s="75" t="str">
        <f t="shared" si="28"/>
        <v/>
      </c>
      <c r="B287" s="81"/>
      <c r="C287" s="81"/>
      <c r="D287" s="81"/>
      <c r="E287" s="81"/>
      <c r="F287" s="81"/>
      <c r="G287" s="81"/>
      <c r="H287" s="81"/>
      <c r="I287" s="84"/>
      <c r="J287" s="84"/>
      <c r="K287" s="81"/>
      <c r="L287" s="85"/>
      <c r="M287" s="81"/>
      <c r="N287" s="82"/>
      <c r="O287" s="82"/>
      <c r="P287" s="81"/>
      <c r="Q287" s="81"/>
      <c r="R287" s="81"/>
      <c r="S287" s="75" t="str">
        <f t="shared" si="29"/>
        <v/>
      </c>
      <c r="T287" s="81"/>
      <c r="U287" s="81"/>
      <c r="V287" s="82"/>
      <c r="W287" s="81"/>
      <c r="X287" s="81"/>
    </row>
    <row r="288" spans="1:24" ht="15" customHeight="1">
      <c r="A288" s="75" t="str">
        <f t="shared" si="28"/>
        <v/>
      </c>
      <c r="B288" s="81"/>
      <c r="C288" s="81"/>
      <c r="D288" s="81"/>
      <c r="E288" s="81"/>
      <c r="F288" s="81"/>
      <c r="G288" s="81"/>
      <c r="H288" s="81"/>
      <c r="I288" s="84"/>
      <c r="J288" s="84"/>
      <c r="K288" s="81"/>
      <c r="L288" s="85"/>
      <c r="M288" s="81"/>
      <c r="N288" s="82"/>
      <c r="O288" s="82"/>
      <c r="P288" s="81"/>
      <c r="Q288" s="81"/>
      <c r="R288" s="81"/>
      <c r="S288" s="75" t="str">
        <f t="shared" si="29"/>
        <v/>
      </c>
      <c r="T288" s="81"/>
      <c r="U288" s="81"/>
      <c r="V288" s="82"/>
      <c r="W288" s="81"/>
      <c r="X288" s="81"/>
    </row>
    <row r="289" spans="1:24" ht="15" customHeight="1">
      <c r="A289" s="75" t="str">
        <f t="shared" si="28"/>
        <v/>
      </c>
      <c r="B289" s="81"/>
      <c r="C289" s="81"/>
      <c r="D289" s="81"/>
      <c r="E289" s="81"/>
      <c r="F289" s="81"/>
      <c r="G289" s="81"/>
      <c r="H289" s="81"/>
      <c r="I289" s="84"/>
      <c r="J289" s="84"/>
      <c r="K289" s="81"/>
      <c r="L289" s="85"/>
      <c r="M289" s="81"/>
      <c r="N289" s="82"/>
      <c r="O289" s="82"/>
      <c r="P289" s="81"/>
      <c r="Q289" s="81"/>
      <c r="R289" s="81"/>
      <c r="S289" s="75" t="str">
        <f t="shared" si="29"/>
        <v/>
      </c>
      <c r="T289" s="81"/>
      <c r="U289" s="81"/>
      <c r="V289" s="82"/>
      <c r="W289" s="81"/>
      <c r="X289" s="81"/>
    </row>
    <row r="290" spans="1:24" ht="15" customHeight="1">
      <c r="A290" s="75" t="str">
        <f t="shared" si="28"/>
        <v/>
      </c>
      <c r="B290" s="81"/>
      <c r="C290" s="81"/>
      <c r="D290" s="81"/>
      <c r="E290" s="81"/>
      <c r="F290" s="81"/>
      <c r="G290" s="81"/>
      <c r="H290" s="81"/>
      <c r="I290" s="84"/>
      <c r="J290" s="84"/>
      <c r="K290" s="81"/>
      <c r="L290" s="85"/>
      <c r="M290" s="81"/>
      <c r="N290" s="82"/>
      <c r="O290" s="82"/>
      <c r="P290" s="81"/>
      <c r="Q290" s="81"/>
      <c r="R290" s="81"/>
      <c r="S290" s="75" t="str">
        <f t="shared" si="29"/>
        <v/>
      </c>
      <c r="T290" s="81"/>
      <c r="U290" s="81"/>
      <c r="V290" s="82"/>
      <c r="W290" s="81"/>
      <c r="X290" s="81"/>
    </row>
    <row r="291" spans="1:24" ht="15" customHeight="1">
      <c r="A291" s="75" t="str">
        <f t="shared" si="28"/>
        <v/>
      </c>
      <c r="B291" s="81"/>
      <c r="C291" s="81"/>
      <c r="D291" s="81"/>
      <c r="E291" s="81"/>
      <c r="F291" s="81"/>
      <c r="G291" s="81"/>
      <c r="H291" s="81"/>
      <c r="I291" s="84"/>
      <c r="J291" s="84"/>
      <c r="K291" s="81"/>
      <c r="L291" s="85"/>
      <c r="M291" s="81"/>
      <c r="N291" s="82"/>
      <c r="O291" s="82"/>
      <c r="P291" s="81"/>
      <c r="Q291" s="81"/>
      <c r="R291" s="81"/>
      <c r="S291" s="75" t="str">
        <f t="shared" si="29"/>
        <v/>
      </c>
      <c r="T291" s="81"/>
      <c r="U291" s="81"/>
      <c r="V291" s="82"/>
      <c r="W291" s="81"/>
      <c r="X291" s="81"/>
    </row>
    <row r="292" spans="1:24" ht="15" customHeight="1">
      <c r="A292" s="75" t="str">
        <f t="shared" si="28"/>
        <v/>
      </c>
      <c r="B292" s="81"/>
      <c r="C292" s="81"/>
      <c r="D292" s="81"/>
      <c r="E292" s="81"/>
      <c r="F292" s="81"/>
      <c r="G292" s="81"/>
      <c r="H292" s="81"/>
      <c r="I292" s="84"/>
      <c r="J292" s="84"/>
      <c r="K292" s="81"/>
      <c r="L292" s="85"/>
      <c r="M292" s="81"/>
      <c r="N292" s="82"/>
      <c r="O292" s="82"/>
      <c r="P292" s="81"/>
      <c r="Q292" s="81"/>
      <c r="R292" s="81"/>
      <c r="S292" s="75" t="str">
        <f t="shared" si="29"/>
        <v/>
      </c>
      <c r="T292" s="81"/>
      <c r="U292" s="81"/>
      <c r="V292" s="82"/>
      <c r="W292" s="81"/>
      <c r="X292" s="81"/>
    </row>
    <row r="293" spans="1:24" ht="15" customHeight="1">
      <c r="A293" s="75" t="str">
        <f t="shared" si="28"/>
        <v/>
      </c>
      <c r="B293" s="81"/>
      <c r="C293" s="81"/>
      <c r="D293" s="81"/>
      <c r="E293" s="81"/>
      <c r="F293" s="81"/>
      <c r="G293" s="81"/>
      <c r="H293" s="81"/>
      <c r="I293" s="84"/>
      <c r="J293" s="84"/>
      <c r="K293" s="81"/>
      <c r="L293" s="85"/>
      <c r="M293" s="81"/>
      <c r="N293" s="82"/>
      <c r="O293" s="82"/>
      <c r="P293" s="81"/>
      <c r="Q293" s="81"/>
      <c r="R293" s="81"/>
      <c r="S293" s="75" t="str">
        <f t="shared" si="29"/>
        <v/>
      </c>
      <c r="T293" s="81"/>
      <c r="U293" s="81"/>
      <c r="V293" s="82"/>
      <c r="W293" s="81"/>
      <c r="X293" s="81"/>
    </row>
    <row r="294" spans="1:24" ht="15" customHeight="1">
      <c r="A294" s="75" t="str">
        <f t="shared" si="28"/>
        <v/>
      </c>
      <c r="B294" s="81"/>
      <c r="C294" s="81"/>
      <c r="D294" s="81"/>
      <c r="E294" s="81"/>
      <c r="F294" s="81"/>
      <c r="G294" s="81"/>
      <c r="H294" s="81"/>
      <c r="I294" s="84"/>
      <c r="J294" s="84"/>
      <c r="K294" s="81"/>
      <c r="L294" s="85"/>
      <c r="M294" s="81"/>
      <c r="N294" s="82"/>
      <c r="O294" s="82"/>
      <c r="P294" s="81"/>
      <c r="Q294" s="81"/>
      <c r="R294" s="81"/>
      <c r="S294" s="75" t="str">
        <f t="shared" si="29"/>
        <v/>
      </c>
      <c r="T294" s="81"/>
      <c r="U294" s="81"/>
      <c r="V294" s="82"/>
      <c r="W294" s="81"/>
      <c r="X294" s="81"/>
    </row>
    <row r="295" spans="1:24" ht="15" customHeight="1">
      <c r="A295" s="75" t="str">
        <f t="shared" si="28"/>
        <v/>
      </c>
      <c r="B295" s="81"/>
      <c r="C295" s="81"/>
      <c r="D295" s="81"/>
      <c r="E295" s="81"/>
      <c r="F295" s="81"/>
      <c r="G295" s="81"/>
      <c r="H295" s="81"/>
      <c r="I295" s="84"/>
      <c r="J295" s="84"/>
      <c r="K295" s="81"/>
      <c r="L295" s="85"/>
      <c r="M295" s="81"/>
      <c r="N295" s="82"/>
      <c r="O295" s="82"/>
      <c r="P295" s="81"/>
      <c r="Q295" s="81"/>
      <c r="R295" s="81"/>
      <c r="S295" s="75" t="str">
        <f t="shared" si="29"/>
        <v/>
      </c>
      <c r="T295" s="81"/>
      <c r="U295" s="81"/>
      <c r="V295" s="82"/>
      <c r="W295" s="81"/>
      <c r="X295" s="81"/>
    </row>
    <row r="296" spans="1:24" ht="15" customHeight="1">
      <c r="A296" s="75" t="str">
        <f t="shared" si="28"/>
        <v/>
      </c>
      <c r="B296" s="81"/>
      <c r="C296" s="81"/>
      <c r="D296" s="81"/>
      <c r="E296" s="81"/>
      <c r="F296" s="81"/>
      <c r="G296" s="81"/>
      <c r="H296" s="81"/>
      <c r="I296" s="84"/>
      <c r="J296" s="84"/>
      <c r="K296" s="81"/>
      <c r="L296" s="85"/>
      <c r="M296" s="81"/>
      <c r="N296" s="82"/>
      <c r="O296" s="82"/>
      <c r="P296" s="81"/>
      <c r="Q296" s="81"/>
      <c r="R296" s="81"/>
      <c r="S296" s="75" t="str">
        <f t="shared" si="29"/>
        <v/>
      </c>
      <c r="T296" s="81"/>
      <c r="U296" s="81"/>
      <c r="V296" s="82"/>
      <c r="W296" s="81"/>
      <c r="X296" s="81"/>
    </row>
    <row r="297" spans="1:24" ht="15" customHeight="1">
      <c r="A297" s="75" t="str">
        <f t="shared" si="28"/>
        <v/>
      </c>
      <c r="B297" s="81"/>
      <c r="C297" s="81"/>
      <c r="D297" s="81"/>
      <c r="E297" s="81"/>
      <c r="F297" s="81"/>
      <c r="G297" s="81"/>
      <c r="H297" s="81"/>
      <c r="I297" s="84"/>
      <c r="J297" s="84"/>
      <c r="K297" s="81"/>
      <c r="L297" s="85"/>
      <c r="M297" s="81"/>
      <c r="N297" s="82"/>
      <c r="O297" s="82"/>
      <c r="P297" s="81"/>
      <c r="Q297" s="81"/>
      <c r="R297" s="81"/>
      <c r="S297" s="75" t="str">
        <f t="shared" si="29"/>
        <v/>
      </c>
      <c r="T297" s="81"/>
      <c r="U297" s="81"/>
      <c r="V297" s="82"/>
      <c r="W297" s="81"/>
      <c r="X297" s="81"/>
    </row>
    <row r="298" spans="1:24" ht="15" customHeight="1">
      <c r="A298" s="75" t="str">
        <f t="shared" si="28"/>
        <v/>
      </c>
      <c r="B298" s="81"/>
      <c r="C298" s="81"/>
      <c r="D298" s="81"/>
      <c r="E298" s="81"/>
      <c r="F298" s="81"/>
      <c r="G298" s="81"/>
      <c r="H298" s="81"/>
      <c r="I298" s="84"/>
      <c r="J298" s="84"/>
      <c r="K298" s="81"/>
      <c r="L298" s="85"/>
      <c r="M298" s="81"/>
      <c r="N298" s="82"/>
      <c r="O298" s="82"/>
      <c r="P298" s="81"/>
      <c r="Q298" s="81"/>
      <c r="R298" s="81"/>
      <c r="S298" s="75" t="str">
        <f t="shared" si="29"/>
        <v/>
      </c>
      <c r="T298" s="81"/>
      <c r="U298" s="81"/>
      <c r="V298" s="82"/>
      <c r="W298" s="81"/>
      <c r="X298" s="81"/>
    </row>
    <row r="299" spans="1:24" ht="15" customHeight="1">
      <c r="A299" s="75" t="str">
        <f t="shared" si="28"/>
        <v/>
      </c>
      <c r="B299" s="81"/>
      <c r="C299" s="81"/>
      <c r="D299" s="81"/>
      <c r="E299" s="81"/>
      <c r="F299" s="81"/>
      <c r="G299" s="81"/>
      <c r="H299" s="81"/>
      <c r="I299" s="84"/>
      <c r="J299" s="84"/>
      <c r="K299" s="81"/>
      <c r="L299" s="85"/>
      <c r="M299" s="81"/>
      <c r="N299" s="82"/>
      <c r="O299" s="82"/>
      <c r="P299" s="81"/>
      <c r="Q299" s="81"/>
      <c r="R299" s="81"/>
      <c r="S299" s="75" t="str">
        <f t="shared" si="29"/>
        <v/>
      </c>
      <c r="T299" s="81"/>
      <c r="U299" s="81"/>
      <c r="V299" s="82"/>
      <c r="W299" s="81"/>
      <c r="X299" s="81"/>
    </row>
    <row r="300" spans="1:24" ht="15" customHeight="1">
      <c r="A300" s="75" t="str">
        <f t="shared" si="28"/>
        <v/>
      </c>
      <c r="B300" s="81"/>
      <c r="C300" s="81"/>
      <c r="D300" s="81"/>
      <c r="E300" s="81"/>
      <c r="F300" s="81"/>
      <c r="G300" s="81"/>
      <c r="H300" s="81"/>
      <c r="I300" s="84"/>
      <c r="J300" s="84"/>
      <c r="K300" s="81"/>
      <c r="L300" s="85"/>
      <c r="M300" s="81"/>
      <c r="N300" s="82"/>
      <c r="O300" s="82"/>
      <c r="P300" s="81"/>
      <c r="Q300" s="81"/>
      <c r="R300" s="81"/>
      <c r="S300" s="75" t="str">
        <f t="shared" si="29"/>
        <v/>
      </c>
      <c r="T300" s="81"/>
      <c r="U300" s="81"/>
      <c r="V300" s="82"/>
      <c r="W300" s="81"/>
      <c r="X300" s="81"/>
    </row>
    <row r="301" spans="1:24" ht="15" customHeight="1">
      <c r="A301" s="75" t="str">
        <f t="shared" si="28"/>
        <v/>
      </c>
      <c r="B301" s="81"/>
      <c r="C301" s="81"/>
      <c r="D301" s="81"/>
      <c r="E301" s="81"/>
      <c r="F301" s="81"/>
      <c r="G301" s="81"/>
      <c r="H301" s="81"/>
      <c r="I301" s="84"/>
      <c r="J301" s="84"/>
      <c r="K301" s="81"/>
      <c r="L301" s="85"/>
      <c r="M301" s="81"/>
      <c r="N301" s="82"/>
      <c r="O301" s="82"/>
      <c r="P301" s="81"/>
      <c r="Q301" s="81"/>
      <c r="R301" s="81"/>
      <c r="S301" s="75" t="str">
        <f t="shared" si="29"/>
        <v/>
      </c>
      <c r="T301" s="81"/>
      <c r="U301" s="81"/>
      <c r="V301" s="82"/>
      <c r="W301" s="81"/>
      <c r="X301" s="81"/>
    </row>
    <row r="302" spans="1:24" ht="15" customHeight="1">
      <c r="A302" s="75" t="str">
        <f t="shared" si="28"/>
        <v/>
      </c>
      <c r="B302" s="81"/>
      <c r="C302" s="81"/>
      <c r="D302" s="81"/>
      <c r="E302" s="81"/>
      <c r="F302" s="81"/>
      <c r="G302" s="81"/>
      <c r="H302" s="81"/>
      <c r="I302" s="84"/>
      <c r="J302" s="84"/>
      <c r="K302" s="81"/>
      <c r="L302" s="85"/>
      <c r="M302" s="81"/>
      <c r="N302" s="82"/>
      <c r="O302" s="82"/>
      <c r="P302" s="81"/>
      <c r="Q302" s="81"/>
      <c r="R302" s="81"/>
      <c r="S302" s="75" t="str">
        <f t="shared" si="29"/>
        <v/>
      </c>
      <c r="T302" s="81"/>
      <c r="U302" s="81"/>
      <c r="V302" s="82"/>
      <c r="W302" s="81"/>
      <c r="X302" s="81"/>
    </row>
    <row r="303" spans="1:24" ht="15" customHeight="1">
      <c r="A303" s="75" t="str">
        <f t="shared" si="28"/>
        <v/>
      </c>
      <c r="B303" s="81"/>
      <c r="C303" s="81"/>
      <c r="D303" s="81"/>
      <c r="E303" s="81"/>
      <c r="F303" s="81"/>
      <c r="G303" s="81"/>
      <c r="H303" s="81"/>
      <c r="I303" s="84"/>
      <c r="J303" s="84"/>
      <c r="K303" s="81"/>
      <c r="L303" s="85"/>
      <c r="M303" s="81"/>
      <c r="N303" s="82"/>
      <c r="O303" s="82"/>
      <c r="P303" s="81"/>
      <c r="Q303" s="81"/>
      <c r="R303" s="81"/>
      <c r="S303" s="75" t="str">
        <f t="shared" si="29"/>
        <v/>
      </c>
      <c r="T303" s="81"/>
      <c r="U303" s="81"/>
      <c r="V303" s="82"/>
      <c r="W303" s="81"/>
      <c r="X303" s="81"/>
    </row>
    <row r="306" spans="1:16" ht="19.5" customHeight="1">
      <c r="A306" s="296" t="s">
        <v>2031</v>
      </c>
      <c r="B306" s="262"/>
      <c r="C306" s="262"/>
      <c r="D306" s="262"/>
      <c r="E306" s="262"/>
      <c r="F306" s="262"/>
      <c r="G306" s="262"/>
      <c r="H306" s="262"/>
      <c r="I306" s="262"/>
      <c r="J306" s="262"/>
      <c r="K306" s="262"/>
      <c r="L306" s="262"/>
      <c r="M306" s="262"/>
      <c r="N306" s="262"/>
      <c r="O306" s="262"/>
      <c r="P306" s="262"/>
    </row>
    <row r="307" spans="1:16" ht="25.5" customHeight="1">
      <c r="A307" s="80" t="s">
        <v>2032</v>
      </c>
      <c r="B307" s="80" t="s">
        <v>2015</v>
      </c>
      <c r="C307" s="80" t="s">
        <v>1987</v>
      </c>
      <c r="D307" s="80" t="s">
        <v>872</v>
      </c>
      <c r="E307" s="80" t="s">
        <v>1735</v>
      </c>
      <c r="F307" s="80" t="s">
        <v>1439</v>
      </c>
      <c r="G307" s="80" t="s">
        <v>2033</v>
      </c>
      <c r="H307" s="80" t="s">
        <v>2034</v>
      </c>
      <c r="I307" s="80" t="s">
        <v>1408</v>
      </c>
      <c r="J307" s="80" t="s">
        <v>175</v>
      </c>
      <c r="K307" s="80" t="s">
        <v>1736</v>
      </c>
      <c r="L307" s="80" t="s">
        <v>1737</v>
      </c>
      <c r="M307" s="80" t="s">
        <v>2030</v>
      </c>
      <c r="N307" s="80" t="s">
        <v>2035</v>
      </c>
      <c r="O307" s="80" t="s">
        <v>2036</v>
      </c>
      <c r="P307" s="80" t="s">
        <v>2037</v>
      </c>
    </row>
    <row r="308" spans="1:16" ht="15" customHeight="1">
      <c r="A308" s="75" t="str">
        <f t="shared" ref="A308:A339" si="30">IF(D308="","","DEM"&amp;TEXT(ROW()-307,"00000"))</f>
        <v/>
      </c>
      <c r="B308" s="81"/>
      <c r="C308" s="81"/>
      <c r="D308" s="81"/>
      <c r="E308" s="84"/>
      <c r="F308" s="81"/>
      <c r="G308" s="82"/>
      <c r="H308" s="82"/>
      <c r="I308" s="81"/>
      <c r="J308" s="81"/>
      <c r="K308" s="84"/>
      <c r="L308" s="84"/>
      <c r="M308" s="82"/>
      <c r="N308" s="82"/>
      <c r="O308" s="81"/>
      <c r="P308" s="81"/>
    </row>
    <row r="309" spans="1:16" ht="15" customHeight="1">
      <c r="A309" s="75" t="str">
        <f t="shared" si="30"/>
        <v/>
      </c>
      <c r="B309" s="81"/>
      <c r="C309" s="81"/>
      <c r="D309" s="81"/>
      <c r="E309" s="84"/>
      <c r="F309" s="81"/>
      <c r="G309" s="82"/>
      <c r="H309" s="82"/>
      <c r="I309" s="81"/>
      <c r="J309" s="81"/>
      <c r="K309" s="84"/>
      <c r="L309" s="84"/>
      <c r="M309" s="82"/>
      <c r="N309" s="82"/>
      <c r="O309" s="81"/>
      <c r="P309" s="81"/>
    </row>
    <row r="310" spans="1:16" ht="15" customHeight="1">
      <c r="A310" s="75" t="str">
        <f t="shared" si="30"/>
        <v/>
      </c>
      <c r="B310" s="81"/>
      <c r="C310" s="81"/>
      <c r="D310" s="81"/>
      <c r="E310" s="84"/>
      <c r="F310" s="81"/>
      <c r="G310" s="82"/>
      <c r="H310" s="82"/>
      <c r="I310" s="81"/>
      <c r="J310" s="81"/>
      <c r="K310" s="84"/>
      <c r="L310" s="84"/>
      <c r="M310" s="82"/>
      <c r="N310" s="82"/>
      <c r="O310" s="81"/>
      <c r="P310" s="81"/>
    </row>
    <row r="311" spans="1:16" ht="15" customHeight="1">
      <c r="A311" s="75" t="str">
        <f t="shared" si="30"/>
        <v/>
      </c>
      <c r="B311" s="81"/>
      <c r="C311" s="81"/>
      <c r="D311" s="81"/>
      <c r="E311" s="84"/>
      <c r="F311" s="81"/>
      <c r="G311" s="82"/>
      <c r="H311" s="82"/>
      <c r="I311" s="81"/>
      <c r="J311" s="81"/>
      <c r="K311" s="84"/>
      <c r="L311" s="84"/>
      <c r="M311" s="82"/>
      <c r="N311" s="82"/>
      <c r="O311" s="81"/>
      <c r="P311" s="81"/>
    </row>
    <row r="312" spans="1:16" ht="15" customHeight="1">
      <c r="A312" s="75" t="str">
        <f t="shared" si="30"/>
        <v/>
      </c>
      <c r="B312" s="81"/>
      <c r="C312" s="81"/>
      <c r="D312" s="81"/>
      <c r="E312" s="84"/>
      <c r="F312" s="81"/>
      <c r="G312" s="82"/>
      <c r="H312" s="82"/>
      <c r="I312" s="81"/>
      <c r="J312" s="81"/>
      <c r="K312" s="84"/>
      <c r="L312" s="84"/>
      <c r="M312" s="82"/>
      <c r="N312" s="82"/>
      <c r="O312" s="81"/>
      <c r="P312" s="81"/>
    </row>
    <row r="313" spans="1:16" ht="15" customHeight="1">
      <c r="A313" s="75" t="str">
        <f t="shared" si="30"/>
        <v/>
      </c>
      <c r="B313" s="81"/>
      <c r="C313" s="81"/>
      <c r="D313" s="81"/>
      <c r="E313" s="84"/>
      <c r="F313" s="81"/>
      <c r="G313" s="82"/>
      <c r="H313" s="82"/>
      <c r="I313" s="81"/>
      <c r="J313" s="81"/>
      <c r="K313" s="84"/>
      <c r="L313" s="84"/>
      <c r="M313" s="82"/>
      <c r="N313" s="82"/>
      <c r="O313" s="81"/>
      <c r="P313" s="81"/>
    </row>
    <row r="314" spans="1:16" ht="15" customHeight="1">
      <c r="A314" s="75" t="str">
        <f t="shared" si="30"/>
        <v/>
      </c>
      <c r="B314" s="81"/>
      <c r="C314" s="81"/>
      <c r="D314" s="81"/>
      <c r="E314" s="84"/>
      <c r="F314" s="81"/>
      <c r="G314" s="82"/>
      <c r="H314" s="82"/>
      <c r="I314" s="81"/>
      <c r="J314" s="81"/>
      <c r="K314" s="84"/>
      <c r="L314" s="84"/>
      <c r="M314" s="82"/>
      <c r="N314" s="82"/>
      <c r="O314" s="81"/>
      <c r="P314" s="81"/>
    </row>
    <row r="315" spans="1:16" ht="15" customHeight="1">
      <c r="A315" s="75" t="str">
        <f t="shared" si="30"/>
        <v/>
      </c>
      <c r="B315" s="81"/>
      <c r="C315" s="81"/>
      <c r="D315" s="81"/>
      <c r="E315" s="84"/>
      <c r="F315" s="81"/>
      <c r="G315" s="82"/>
      <c r="H315" s="82"/>
      <c r="I315" s="81"/>
      <c r="J315" s="81"/>
      <c r="K315" s="84"/>
      <c r="L315" s="84"/>
      <c r="M315" s="82"/>
      <c r="N315" s="82"/>
      <c r="O315" s="81"/>
      <c r="P315" s="81"/>
    </row>
    <row r="316" spans="1:16" ht="15" customHeight="1">
      <c r="A316" s="75" t="str">
        <f t="shared" si="30"/>
        <v/>
      </c>
      <c r="B316" s="81"/>
      <c r="C316" s="81"/>
      <c r="D316" s="81"/>
      <c r="E316" s="84"/>
      <c r="F316" s="81"/>
      <c r="G316" s="82"/>
      <c r="H316" s="82"/>
      <c r="I316" s="81"/>
      <c r="J316" s="81"/>
      <c r="K316" s="84"/>
      <c r="L316" s="84"/>
      <c r="M316" s="82"/>
      <c r="N316" s="82"/>
      <c r="O316" s="81"/>
      <c r="P316" s="81"/>
    </row>
    <row r="317" spans="1:16" ht="15" customHeight="1">
      <c r="A317" s="75" t="str">
        <f t="shared" si="30"/>
        <v/>
      </c>
      <c r="B317" s="81"/>
      <c r="C317" s="81"/>
      <c r="D317" s="81"/>
      <c r="E317" s="84"/>
      <c r="F317" s="81"/>
      <c r="G317" s="82"/>
      <c r="H317" s="82"/>
      <c r="I317" s="81"/>
      <c r="J317" s="81"/>
      <c r="K317" s="84"/>
      <c r="L317" s="84"/>
      <c r="M317" s="82"/>
      <c r="N317" s="82"/>
      <c r="O317" s="81"/>
      <c r="P317" s="81"/>
    </row>
    <row r="318" spans="1:16" ht="15" customHeight="1">
      <c r="A318" s="75" t="str">
        <f t="shared" si="30"/>
        <v/>
      </c>
      <c r="B318" s="81"/>
      <c r="C318" s="81"/>
      <c r="D318" s="81"/>
      <c r="E318" s="84"/>
      <c r="F318" s="81"/>
      <c r="G318" s="82"/>
      <c r="H318" s="82"/>
      <c r="I318" s="81"/>
      <c r="J318" s="81"/>
      <c r="K318" s="84"/>
      <c r="L318" s="84"/>
      <c r="M318" s="82"/>
      <c r="N318" s="82"/>
      <c r="O318" s="81"/>
      <c r="P318" s="81"/>
    </row>
    <row r="319" spans="1:16" ht="15" customHeight="1">
      <c r="A319" s="75" t="str">
        <f t="shared" si="30"/>
        <v/>
      </c>
      <c r="B319" s="81"/>
      <c r="C319" s="81"/>
      <c r="D319" s="81"/>
      <c r="E319" s="84"/>
      <c r="F319" s="81"/>
      <c r="G319" s="82"/>
      <c r="H319" s="82"/>
      <c r="I319" s="81"/>
      <c r="J319" s="81"/>
      <c r="K319" s="84"/>
      <c r="L319" s="84"/>
      <c r="M319" s="82"/>
      <c r="N319" s="82"/>
      <c r="O319" s="81"/>
      <c r="P319" s="81"/>
    </row>
    <row r="320" spans="1:16" ht="15" customHeight="1">
      <c r="A320" s="75" t="str">
        <f t="shared" si="30"/>
        <v/>
      </c>
      <c r="B320" s="81"/>
      <c r="C320" s="81"/>
      <c r="D320" s="81"/>
      <c r="E320" s="84"/>
      <c r="F320" s="81"/>
      <c r="G320" s="82"/>
      <c r="H320" s="82"/>
      <c r="I320" s="81"/>
      <c r="J320" s="81"/>
      <c r="K320" s="84"/>
      <c r="L320" s="84"/>
      <c r="M320" s="82"/>
      <c r="N320" s="82"/>
      <c r="O320" s="81"/>
      <c r="P320" s="81"/>
    </row>
    <row r="321" spans="1:16" ht="15" customHeight="1">
      <c r="A321" s="75" t="str">
        <f t="shared" si="30"/>
        <v/>
      </c>
      <c r="B321" s="81"/>
      <c r="C321" s="81"/>
      <c r="D321" s="81"/>
      <c r="E321" s="84"/>
      <c r="F321" s="81"/>
      <c r="G321" s="82"/>
      <c r="H321" s="82"/>
      <c r="I321" s="81"/>
      <c r="J321" s="81"/>
      <c r="K321" s="84"/>
      <c r="L321" s="84"/>
      <c r="M321" s="82"/>
      <c r="N321" s="82"/>
      <c r="O321" s="81"/>
      <c r="P321" s="81"/>
    </row>
    <row r="322" spans="1:16" ht="15" customHeight="1">
      <c r="A322" s="75" t="str">
        <f t="shared" si="30"/>
        <v/>
      </c>
      <c r="B322" s="81"/>
      <c r="C322" s="81"/>
      <c r="D322" s="81"/>
      <c r="E322" s="84"/>
      <c r="F322" s="81"/>
      <c r="G322" s="82"/>
      <c r="H322" s="82"/>
      <c r="I322" s="81"/>
      <c r="J322" s="81"/>
      <c r="K322" s="84"/>
      <c r="L322" s="84"/>
      <c r="M322" s="82"/>
      <c r="N322" s="82"/>
      <c r="O322" s="81"/>
      <c r="P322" s="81"/>
    </row>
    <row r="323" spans="1:16" ht="15" customHeight="1">
      <c r="A323" s="75" t="str">
        <f t="shared" si="30"/>
        <v/>
      </c>
      <c r="B323" s="81"/>
      <c r="C323" s="81"/>
      <c r="D323" s="81"/>
      <c r="E323" s="84"/>
      <c r="F323" s="81"/>
      <c r="G323" s="82"/>
      <c r="H323" s="82"/>
      <c r="I323" s="81"/>
      <c r="J323" s="81"/>
      <c r="K323" s="84"/>
      <c r="L323" s="84"/>
      <c r="M323" s="82"/>
      <c r="N323" s="82"/>
      <c r="O323" s="81"/>
      <c r="P323" s="81"/>
    </row>
    <row r="324" spans="1:16" ht="15" customHeight="1">
      <c r="A324" s="75" t="str">
        <f t="shared" si="30"/>
        <v/>
      </c>
      <c r="B324" s="81"/>
      <c r="C324" s="81"/>
      <c r="D324" s="81"/>
      <c r="E324" s="84"/>
      <c r="F324" s="81"/>
      <c r="G324" s="82"/>
      <c r="H324" s="82"/>
      <c r="I324" s="81"/>
      <c r="J324" s="81"/>
      <c r="K324" s="84"/>
      <c r="L324" s="84"/>
      <c r="M324" s="82"/>
      <c r="N324" s="82"/>
      <c r="O324" s="81"/>
      <c r="P324" s="81"/>
    </row>
    <row r="325" spans="1:16" ht="15" customHeight="1">
      <c r="A325" s="75" t="str">
        <f t="shared" si="30"/>
        <v/>
      </c>
      <c r="B325" s="81"/>
      <c r="C325" s="81"/>
      <c r="D325" s="81"/>
      <c r="E325" s="84"/>
      <c r="F325" s="81"/>
      <c r="G325" s="82"/>
      <c r="H325" s="82"/>
      <c r="I325" s="81"/>
      <c r="J325" s="81"/>
      <c r="K325" s="84"/>
      <c r="L325" s="84"/>
      <c r="M325" s="82"/>
      <c r="N325" s="82"/>
      <c r="O325" s="81"/>
      <c r="P325" s="81"/>
    </row>
    <row r="326" spans="1:16" ht="15" customHeight="1">
      <c r="A326" s="75" t="str">
        <f t="shared" si="30"/>
        <v/>
      </c>
      <c r="B326" s="81"/>
      <c r="C326" s="81"/>
      <c r="D326" s="81"/>
      <c r="E326" s="84"/>
      <c r="F326" s="81"/>
      <c r="G326" s="82"/>
      <c r="H326" s="82"/>
      <c r="I326" s="81"/>
      <c r="J326" s="81"/>
      <c r="K326" s="84"/>
      <c r="L326" s="84"/>
      <c r="M326" s="82"/>
      <c r="N326" s="82"/>
      <c r="O326" s="81"/>
      <c r="P326" s="81"/>
    </row>
    <row r="327" spans="1:16" ht="15" customHeight="1">
      <c r="A327" s="75" t="str">
        <f t="shared" si="30"/>
        <v/>
      </c>
      <c r="B327" s="81"/>
      <c r="C327" s="81"/>
      <c r="D327" s="81"/>
      <c r="E327" s="84"/>
      <c r="F327" s="81"/>
      <c r="G327" s="82"/>
      <c r="H327" s="82"/>
      <c r="I327" s="81"/>
      <c r="J327" s="81"/>
      <c r="K327" s="84"/>
      <c r="L327" s="84"/>
      <c r="M327" s="82"/>
      <c r="N327" s="82"/>
      <c r="O327" s="81"/>
      <c r="P327" s="81"/>
    </row>
    <row r="328" spans="1:16" ht="15" customHeight="1">
      <c r="A328" s="75" t="str">
        <f t="shared" si="30"/>
        <v/>
      </c>
      <c r="B328" s="81"/>
      <c r="C328" s="81"/>
      <c r="D328" s="81"/>
      <c r="E328" s="84"/>
      <c r="F328" s="81"/>
      <c r="G328" s="82"/>
      <c r="H328" s="82"/>
      <c r="I328" s="81"/>
      <c r="J328" s="81"/>
      <c r="K328" s="84"/>
      <c r="L328" s="84"/>
      <c r="M328" s="82"/>
      <c r="N328" s="82"/>
      <c r="O328" s="81"/>
      <c r="P328" s="81"/>
    </row>
    <row r="329" spans="1:16" ht="15" customHeight="1">
      <c r="A329" s="75" t="str">
        <f t="shared" si="30"/>
        <v/>
      </c>
      <c r="B329" s="81"/>
      <c r="C329" s="81"/>
      <c r="D329" s="81"/>
      <c r="E329" s="84"/>
      <c r="F329" s="81"/>
      <c r="G329" s="82"/>
      <c r="H329" s="82"/>
      <c r="I329" s="81"/>
      <c r="J329" s="81"/>
      <c r="K329" s="84"/>
      <c r="L329" s="84"/>
      <c r="M329" s="82"/>
      <c r="N329" s="82"/>
      <c r="O329" s="81"/>
      <c r="P329" s="81"/>
    </row>
    <row r="330" spans="1:16" ht="15" customHeight="1">
      <c r="A330" s="75" t="str">
        <f t="shared" si="30"/>
        <v/>
      </c>
      <c r="B330" s="81"/>
      <c r="C330" s="81"/>
      <c r="D330" s="81"/>
      <c r="E330" s="84"/>
      <c r="F330" s="81"/>
      <c r="G330" s="82"/>
      <c r="H330" s="82"/>
      <c r="I330" s="81"/>
      <c r="J330" s="81"/>
      <c r="K330" s="84"/>
      <c r="L330" s="84"/>
      <c r="M330" s="82"/>
      <c r="N330" s="82"/>
      <c r="O330" s="81"/>
      <c r="P330" s="81"/>
    </row>
    <row r="331" spans="1:16" ht="15" customHeight="1">
      <c r="A331" s="75" t="str">
        <f t="shared" si="30"/>
        <v/>
      </c>
      <c r="B331" s="81"/>
      <c r="C331" s="81"/>
      <c r="D331" s="81"/>
      <c r="E331" s="84"/>
      <c r="F331" s="81"/>
      <c r="G331" s="82"/>
      <c r="H331" s="82"/>
      <c r="I331" s="81"/>
      <c r="J331" s="81"/>
      <c r="K331" s="84"/>
      <c r="L331" s="84"/>
      <c r="M331" s="82"/>
      <c r="N331" s="82"/>
      <c r="O331" s="81"/>
      <c r="P331" s="81"/>
    </row>
    <row r="332" spans="1:16" ht="15" customHeight="1">
      <c r="A332" s="75" t="str">
        <f t="shared" si="30"/>
        <v/>
      </c>
      <c r="B332" s="81"/>
      <c r="C332" s="81"/>
      <c r="D332" s="81"/>
      <c r="E332" s="84"/>
      <c r="F332" s="81"/>
      <c r="G332" s="82"/>
      <c r="H332" s="82"/>
      <c r="I332" s="81"/>
      <c r="J332" s="81"/>
      <c r="K332" s="84"/>
      <c r="L332" s="84"/>
      <c r="M332" s="82"/>
      <c r="N332" s="82"/>
      <c r="O332" s="81"/>
      <c r="P332" s="81"/>
    </row>
    <row r="333" spans="1:16" ht="15" customHeight="1">
      <c r="A333" s="75" t="str">
        <f t="shared" si="30"/>
        <v/>
      </c>
      <c r="B333" s="81"/>
      <c r="C333" s="81"/>
      <c r="D333" s="81"/>
      <c r="E333" s="84"/>
      <c r="F333" s="81"/>
      <c r="G333" s="82"/>
      <c r="H333" s="82"/>
      <c r="I333" s="81"/>
      <c r="J333" s="81"/>
      <c r="K333" s="84"/>
      <c r="L333" s="84"/>
      <c r="M333" s="82"/>
      <c r="N333" s="82"/>
      <c r="O333" s="81"/>
      <c r="P333" s="81"/>
    </row>
    <row r="334" spans="1:16" ht="15" customHeight="1">
      <c r="A334" s="75" t="str">
        <f t="shared" si="30"/>
        <v/>
      </c>
      <c r="B334" s="81"/>
      <c r="C334" s="81"/>
      <c r="D334" s="81"/>
      <c r="E334" s="84"/>
      <c r="F334" s="81"/>
      <c r="G334" s="82"/>
      <c r="H334" s="82"/>
      <c r="I334" s="81"/>
      <c r="J334" s="81"/>
      <c r="K334" s="84"/>
      <c r="L334" s="84"/>
      <c r="M334" s="82"/>
      <c r="N334" s="82"/>
      <c r="O334" s="81"/>
      <c r="P334" s="81"/>
    </row>
    <row r="335" spans="1:16" ht="15" customHeight="1">
      <c r="A335" s="75" t="str">
        <f t="shared" si="30"/>
        <v/>
      </c>
      <c r="B335" s="81"/>
      <c r="C335" s="81"/>
      <c r="D335" s="81"/>
      <c r="E335" s="84"/>
      <c r="F335" s="81"/>
      <c r="G335" s="82"/>
      <c r="H335" s="82"/>
      <c r="I335" s="81"/>
      <c r="J335" s="81"/>
      <c r="K335" s="84"/>
      <c r="L335" s="84"/>
      <c r="M335" s="82"/>
      <c r="N335" s="82"/>
      <c r="O335" s="81"/>
      <c r="P335" s="81"/>
    </row>
    <row r="336" spans="1:16" ht="15" customHeight="1">
      <c r="A336" s="75" t="str">
        <f t="shared" si="30"/>
        <v/>
      </c>
      <c r="B336" s="81"/>
      <c r="C336" s="81"/>
      <c r="D336" s="81"/>
      <c r="E336" s="84"/>
      <c r="F336" s="81"/>
      <c r="G336" s="82"/>
      <c r="H336" s="82"/>
      <c r="I336" s="81"/>
      <c r="J336" s="81"/>
      <c r="K336" s="84"/>
      <c r="L336" s="84"/>
      <c r="M336" s="82"/>
      <c r="N336" s="82"/>
      <c r="O336" s="81"/>
      <c r="P336" s="81"/>
    </row>
    <row r="337" spans="1:16" ht="15" customHeight="1">
      <c r="A337" s="75" t="str">
        <f t="shared" si="30"/>
        <v/>
      </c>
      <c r="B337" s="81"/>
      <c r="C337" s="81"/>
      <c r="D337" s="81"/>
      <c r="E337" s="84"/>
      <c r="F337" s="81"/>
      <c r="G337" s="82"/>
      <c r="H337" s="82"/>
      <c r="I337" s="81"/>
      <c r="J337" s="81"/>
      <c r="K337" s="84"/>
      <c r="L337" s="84"/>
      <c r="M337" s="82"/>
      <c r="N337" s="82"/>
      <c r="O337" s="81"/>
      <c r="P337" s="81"/>
    </row>
    <row r="338" spans="1:16" ht="15" customHeight="1">
      <c r="A338" s="75" t="str">
        <f t="shared" si="30"/>
        <v/>
      </c>
      <c r="B338" s="81"/>
      <c r="C338" s="81"/>
      <c r="D338" s="81"/>
      <c r="E338" s="84"/>
      <c r="F338" s="81"/>
      <c r="G338" s="82"/>
      <c r="H338" s="82"/>
      <c r="I338" s="81"/>
      <c r="J338" s="81"/>
      <c r="K338" s="84"/>
      <c r="L338" s="84"/>
      <c r="M338" s="82"/>
      <c r="N338" s="82"/>
      <c r="O338" s="81"/>
      <c r="P338" s="81"/>
    </row>
    <row r="339" spans="1:16" ht="15" customHeight="1">
      <c r="A339" s="75" t="str">
        <f t="shared" si="30"/>
        <v/>
      </c>
      <c r="B339" s="81"/>
      <c r="C339" s="81"/>
      <c r="D339" s="81"/>
      <c r="E339" s="84"/>
      <c r="F339" s="81"/>
      <c r="G339" s="82"/>
      <c r="H339" s="82"/>
      <c r="I339" s="81"/>
      <c r="J339" s="81"/>
      <c r="K339" s="84"/>
      <c r="L339" s="84"/>
      <c r="M339" s="82"/>
      <c r="N339" s="82"/>
      <c r="O339" s="81"/>
      <c r="P339" s="81"/>
    </row>
    <row r="340" spans="1:16" ht="15" customHeight="1">
      <c r="A340" s="75" t="str">
        <f t="shared" ref="A340:A367" si="31">IF(D340="","","DEM"&amp;TEXT(ROW()-307,"00000"))</f>
        <v/>
      </c>
      <c r="B340" s="81"/>
      <c r="C340" s="81"/>
      <c r="D340" s="81"/>
      <c r="E340" s="84"/>
      <c r="F340" s="81"/>
      <c r="G340" s="82"/>
      <c r="H340" s="82"/>
      <c r="I340" s="81"/>
      <c r="J340" s="81"/>
      <c r="K340" s="84"/>
      <c r="L340" s="84"/>
      <c r="M340" s="82"/>
      <c r="N340" s="82"/>
      <c r="O340" s="81"/>
      <c r="P340" s="81"/>
    </row>
    <row r="341" spans="1:16" ht="15" customHeight="1">
      <c r="A341" s="75" t="str">
        <f t="shared" si="31"/>
        <v/>
      </c>
      <c r="B341" s="81"/>
      <c r="C341" s="81"/>
      <c r="D341" s="81"/>
      <c r="E341" s="84"/>
      <c r="F341" s="81"/>
      <c r="G341" s="82"/>
      <c r="H341" s="82"/>
      <c r="I341" s="81"/>
      <c r="J341" s="81"/>
      <c r="K341" s="84"/>
      <c r="L341" s="84"/>
      <c r="M341" s="82"/>
      <c r="N341" s="82"/>
      <c r="O341" s="81"/>
      <c r="P341" s="81"/>
    </row>
    <row r="342" spans="1:16" ht="15" customHeight="1">
      <c r="A342" s="75" t="str">
        <f t="shared" si="31"/>
        <v/>
      </c>
      <c r="B342" s="81"/>
      <c r="C342" s="81"/>
      <c r="D342" s="81"/>
      <c r="E342" s="84"/>
      <c r="F342" s="81"/>
      <c r="G342" s="82"/>
      <c r="H342" s="82"/>
      <c r="I342" s="81"/>
      <c r="J342" s="81"/>
      <c r="K342" s="84"/>
      <c r="L342" s="84"/>
      <c r="M342" s="82"/>
      <c r="N342" s="82"/>
      <c r="O342" s="81"/>
      <c r="P342" s="81"/>
    </row>
    <row r="343" spans="1:16" ht="15" customHeight="1">
      <c r="A343" s="75" t="str">
        <f t="shared" si="31"/>
        <v/>
      </c>
      <c r="B343" s="81"/>
      <c r="C343" s="81"/>
      <c r="D343" s="81"/>
      <c r="E343" s="84"/>
      <c r="F343" s="81"/>
      <c r="G343" s="82"/>
      <c r="H343" s="82"/>
      <c r="I343" s="81"/>
      <c r="J343" s="81"/>
      <c r="K343" s="84"/>
      <c r="L343" s="84"/>
      <c r="M343" s="82"/>
      <c r="N343" s="82"/>
      <c r="O343" s="81"/>
      <c r="P343" s="81"/>
    </row>
    <row r="344" spans="1:16" ht="15" customHeight="1">
      <c r="A344" s="75" t="str">
        <f t="shared" si="31"/>
        <v/>
      </c>
      <c r="B344" s="81"/>
      <c r="C344" s="81"/>
      <c r="D344" s="81"/>
      <c r="E344" s="84"/>
      <c r="F344" s="81"/>
      <c r="G344" s="82"/>
      <c r="H344" s="82"/>
      <c r="I344" s="81"/>
      <c r="J344" s="81"/>
      <c r="K344" s="84"/>
      <c r="L344" s="84"/>
      <c r="M344" s="82"/>
      <c r="N344" s="82"/>
      <c r="O344" s="81"/>
      <c r="P344" s="81"/>
    </row>
    <row r="345" spans="1:16" ht="15" customHeight="1">
      <c r="A345" s="75" t="str">
        <f t="shared" si="31"/>
        <v/>
      </c>
      <c r="B345" s="81"/>
      <c r="C345" s="81"/>
      <c r="D345" s="81"/>
      <c r="E345" s="84"/>
      <c r="F345" s="81"/>
      <c r="G345" s="82"/>
      <c r="H345" s="82"/>
      <c r="I345" s="81"/>
      <c r="J345" s="81"/>
      <c r="K345" s="84"/>
      <c r="L345" s="84"/>
      <c r="M345" s="82"/>
      <c r="N345" s="82"/>
      <c r="O345" s="81"/>
      <c r="P345" s="81"/>
    </row>
    <row r="346" spans="1:16" ht="15" customHeight="1">
      <c r="A346" s="75" t="str">
        <f t="shared" si="31"/>
        <v/>
      </c>
      <c r="B346" s="81"/>
      <c r="C346" s="81"/>
      <c r="D346" s="81"/>
      <c r="E346" s="84"/>
      <c r="F346" s="81"/>
      <c r="G346" s="82"/>
      <c r="H346" s="82"/>
      <c r="I346" s="81"/>
      <c r="J346" s="81"/>
      <c r="K346" s="84"/>
      <c r="L346" s="84"/>
      <c r="M346" s="82"/>
      <c r="N346" s="82"/>
      <c r="O346" s="81"/>
      <c r="P346" s="81"/>
    </row>
    <row r="347" spans="1:16" ht="15" customHeight="1">
      <c r="A347" s="75" t="str">
        <f t="shared" si="31"/>
        <v/>
      </c>
      <c r="B347" s="81"/>
      <c r="C347" s="81"/>
      <c r="D347" s="81"/>
      <c r="E347" s="84"/>
      <c r="F347" s="81"/>
      <c r="G347" s="82"/>
      <c r="H347" s="82"/>
      <c r="I347" s="81"/>
      <c r="J347" s="81"/>
      <c r="K347" s="84"/>
      <c r="L347" s="84"/>
      <c r="M347" s="82"/>
      <c r="N347" s="82"/>
      <c r="O347" s="81"/>
      <c r="P347" s="81"/>
    </row>
    <row r="348" spans="1:16" ht="15" customHeight="1">
      <c r="A348" s="75" t="str">
        <f t="shared" si="31"/>
        <v/>
      </c>
      <c r="B348" s="81"/>
      <c r="C348" s="81"/>
      <c r="D348" s="81"/>
      <c r="E348" s="84"/>
      <c r="F348" s="81"/>
      <c r="G348" s="82"/>
      <c r="H348" s="82"/>
      <c r="I348" s="81"/>
      <c r="J348" s="81"/>
      <c r="K348" s="84"/>
      <c r="L348" s="84"/>
      <c r="M348" s="82"/>
      <c r="N348" s="82"/>
      <c r="O348" s="81"/>
      <c r="P348" s="81"/>
    </row>
    <row r="349" spans="1:16" ht="15" customHeight="1">
      <c r="A349" s="75" t="str">
        <f t="shared" si="31"/>
        <v/>
      </c>
      <c r="B349" s="81"/>
      <c r="C349" s="81"/>
      <c r="D349" s="81"/>
      <c r="E349" s="84"/>
      <c r="F349" s="81"/>
      <c r="G349" s="82"/>
      <c r="H349" s="82"/>
      <c r="I349" s="81"/>
      <c r="J349" s="81"/>
      <c r="K349" s="84"/>
      <c r="L349" s="84"/>
      <c r="M349" s="82"/>
      <c r="N349" s="82"/>
      <c r="O349" s="81"/>
      <c r="P349" s="81"/>
    </row>
    <row r="350" spans="1:16" ht="15" customHeight="1">
      <c r="A350" s="75" t="str">
        <f t="shared" si="31"/>
        <v/>
      </c>
      <c r="B350" s="81"/>
      <c r="C350" s="81"/>
      <c r="D350" s="81"/>
      <c r="E350" s="84"/>
      <c r="F350" s="81"/>
      <c r="G350" s="82"/>
      <c r="H350" s="82"/>
      <c r="I350" s="81"/>
      <c r="J350" s="81"/>
      <c r="K350" s="84"/>
      <c r="L350" s="84"/>
      <c r="M350" s="82"/>
      <c r="N350" s="82"/>
      <c r="O350" s="81"/>
      <c r="P350" s="81"/>
    </row>
    <row r="351" spans="1:16" ht="15" customHeight="1">
      <c r="A351" s="75" t="str">
        <f t="shared" si="31"/>
        <v/>
      </c>
      <c r="B351" s="81"/>
      <c r="C351" s="81"/>
      <c r="D351" s="81"/>
      <c r="E351" s="84"/>
      <c r="F351" s="81"/>
      <c r="G351" s="82"/>
      <c r="H351" s="82"/>
      <c r="I351" s="81"/>
      <c r="J351" s="81"/>
      <c r="K351" s="84"/>
      <c r="L351" s="84"/>
      <c r="M351" s="82"/>
      <c r="N351" s="82"/>
      <c r="O351" s="81"/>
      <c r="P351" s="81"/>
    </row>
    <row r="352" spans="1:16" ht="15" customHeight="1">
      <c r="A352" s="75" t="str">
        <f t="shared" si="31"/>
        <v/>
      </c>
      <c r="B352" s="81"/>
      <c r="C352" s="81"/>
      <c r="D352" s="81"/>
      <c r="E352" s="84"/>
      <c r="F352" s="81"/>
      <c r="G352" s="82"/>
      <c r="H352" s="82"/>
      <c r="I352" s="81"/>
      <c r="J352" s="81"/>
      <c r="K352" s="84"/>
      <c r="L352" s="84"/>
      <c r="M352" s="82"/>
      <c r="N352" s="82"/>
      <c r="O352" s="81"/>
      <c r="P352" s="81"/>
    </row>
    <row r="353" spans="1:16" ht="15" customHeight="1">
      <c r="A353" s="75" t="str">
        <f t="shared" si="31"/>
        <v/>
      </c>
      <c r="B353" s="81"/>
      <c r="C353" s="81"/>
      <c r="D353" s="81"/>
      <c r="E353" s="84"/>
      <c r="F353" s="81"/>
      <c r="G353" s="82"/>
      <c r="H353" s="82"/>
      <c r="I353" s="81"/>
      <c r="J353" s="81"/>
      <c r="K353" s="84"/>
      <c r="L353" s="84"/>
      <c r="M353" s="82"/>
      <c r="N353" s="82"/>
      <c r="O353" s="81"/>
      <c r="P353" s="81"/>
    </row>
    <row r="354" spans="1:16" ht="15" customHeight="1">
      <c r="A354" s="75" t="str">
        <f t="shared" si="31"/>
        <v/>
      </c>
      <c r="B354" s="81"/>
      <c r="C354" s="81"/>
      <c r="D354" s="81"/>
      <c r="E354" s="84"/>
      <c r="F354" s="81"/>
      <c r="G354" s="82"/>
      <c r="H354" s="82"/>
      <c r="I354" s="81"/>
      <c r="J354" s="81"/>
      <c r="K354" s="84"/>
      <c r="L354" s="84"/>
      <c r="M354" s="82"/>
      <c r="N354" s="82"/>
      <c r="O354" s="81"/>
      <c r="P354" s="81"/>
    </row>
    <row r="355" spans="1:16" ht="15" customHeight="1">
      <c r="A355" s="75" t="str">
        <f t="shared" si="31"/>
        <v/>
      </c>
      <c r="B355" s="81"/>
      <c r="C355" s="81"/>
      <c r="D355" s="81"/>
      <c r="E355" s="84"/>
      <c r="F355" s="81"/>
      <c r="G355" s="82"/>
      <c r="H355" s="82"/>
      <c r="I355" s="81"/>
      <c r="J355" s="81"/>
      <c r="K355" s="84"/>
      <c r="L355" s="84"/>
      <c r="M355" s="82"/>
      <c r="N355" s="82"/>
      <c r="O355" s="81"/>
      <c r="P355" s="81"/>
    </row>
    <row r="356" spans="1:16" ht="15" customHeight="1">
      <c r="A356" s="75" t="str">
        <f t="shared" si="31"/>
        <v/>
      </c>
      <c r="B356" s="81"/>
      <c r="C356" s="81"/>
      <c r="D356" s="81"/>
      <c r="E356" s="84"/>
      <c r="F356" s="81"/>
      <c r="G356" s="82"/>
      <c r="H356" s="82"/>
      <c r="I356" s="81"/>
      <c r="J356" s="81"/>
      <c r="K356" s="84"/>
      <c r="L356" s="84"/>
      <c r="M356" s="82"/>
      <c r="N356" s="82"/>
      <c r="O356" s="81"/>
      <c r="P356" s="81"/>
    </row>
    <row r="357" spans="1:16" ht="15" customHeight="1">
      <c r="A357" s="75" t="str">
        <f t="shared" si="31"/>
        <v/>
      </c>
      <c r="B357" s="81"/>
      <c r="C357" s="81"/>
      <c r="D357" s="81"/>
      <c r="E357" s="84"/>
      <c r="F357" s="81"/>
      <c r="G357" s="82"/>
      <c r="H357" s="82"/>
      <c r="I357" s="81"/>
      <c r="J357" s="81"/>
      <c r="K357" s="84"/>
      <c r="L357" s="84"/>
      <c r="M357" s="82"/>
      <c r="N357" s="82"/>
      <c r="O357" s="81"/>
      <c r="P357" s="81"/>
    </row>
    <row r="358" spans="1:16" ht="15" customHeight="1">
      <c r="A358" s="75" t="str">
        <f t="shared" si="31"/>
        <v/>
      </c>
      <c r="B358" s="81"/>
      <c r="C358" s="81"/>
      <c r="D358" s="81"/>
      <c r="E358" s="84"/>
      <c r="F358" s="81"/>
      <c r="G358" s="82"/>
      <c r="H358" s="82"/>
      <c r="I358" s="81"/>
      <c r="J358" s="81"/>
      <c r="K358" s="84"/>
      <c r="L358" s="84"/>
      <c r="M358" s="82"/>
      <c r="N358" s="82"/>
      <c r="O358" s="81"/>
      <c r="P358" s="81"/>
    </row>
    <row r="359" spans="1:16" ht="15" customHeight="1">
      <c r="A359" s="75" t="str">
        <f t="shared" si="31"/>
        <v/>
      </c>
      <c r="B359" s="81"/>
      <c r="C359" s="81"/>
      <c r="D359" s="81"/>
      <c r="E359" s="84"/>
      <c r="F359" s="81"/>
      <c r="G359" s="82"/>
      <c r="H359" s="82"/>
      <c r="I359" s="81"/>
      <c r="J359" s="81"/>
      <c r="K359" s="84"/>
      <c r="L359" s="84"/>
      <c r="M359" s="82"/>
      <c r="N359" s="82"/>
      <c r="O359" s="81"/>
      <c r="P359" s="81"/>
    </row>
    <row r="360" spans="1:16" ht="15" customHeight="1">
      <c r="A360" s="75" t="str">
        <f t="shared" si="31"/>
        <v/>
      </c>
      <c r="B360" s="81"/>
      <c r="C360" s="81"/>
      <c r="D360" s="81"/>
      <c r="E360" s="84"/>
      <c r="F360" s="81"/>
      <c r="G360" s="82"/>
      <c r="H360" s="82"/>
      <c r="I360" s="81"/>
      <c r="J360" s="81"/>
      <c r="K360" s="84"/>
      <c r="L360" s="84"/>
      <c r="M360" s="82"/>
      <c r="N360" s="82"/>
      <c r="O360" s="81"/>
      <c r="P360" s="81"/>
    </row>
    <row r="361" spans="1:16" ht="15" customHeight="1">
      <c r="A361" s="75" t="str">
        <f t="shared" si="31"/>
        <v/>
      </c>
      <c r="B361" s="81"/>
      <c r="C361" s="81"/>
      <c r="D361" s="81"/>
      <c r="E361" s="84"/>
      <c r="F361" s="81"/>
      <c r="G361" s="82"/>
      <c r="H361" s="82"/>
      <c r="I361" s="81"/>
      <c r="J361" s="81"/>
      <c r="K361" s="84"/>
      <c r="L361" s="84"/>
      <c r="M361" s="82"/>
      <c r="N361" s="82"/>
      <c r="O361" s="81"/>
      <c r="P361" s="81"/>
    </row>
    <row r="362" spans="1:16" ht="15" customHeight="1">
      <c r="A362" s="75" t="str">
        <f t="shared" si="31"/>
        <v/>
      </c>
      <c r="B362" s="81"/>
      <c r="C362" s="81"/>
      <c r="D362" s="81"/>
      <c r="E362" s="84"/>
      <c r="F362" s="81"/>
      <c r="G362" s="82"/>
      <c r="H362" s="82"/>
      <c r="I362" s="81"/>
      <c r="J362" s="81"/>
      <c r="K362" s="84"/>
      <c r="L362" s="84"/>
      <c r="M362" s="82"/>
      <c r="N362" s="82"/>
      <c r="O362" s="81"/>
      <c r="P362" s="81"/>
    </row>
    <row r="363" spans="1:16" ht="15" customHeight="1">
      <c r="A363" s="75" t="str">
        <f t="shared" si="31"/>
        <v/>
      </c>
      <c r="B363" s="81"/>
      <c r="C363" s="81"/>
      <c r="D363" s="81"/>
      <c r="E363" s="84"/>
      <c r="F363" s="81"/>
      <c r="G363" s="82"/>
      <c r="H363" s="82"/>
      <c r="I363" s="81"/>
      <c r="J363" s="81"/>
      <c r="K363" s="84"/>
      <c r="L363" s="84"/>
      <c r="M363" s="82"/>
      <c r="N363" s="82"/>
      <c r="O363" s="81"/>
      <c r="P363" s="81"/>
    </row>
    <row r="364" spans="1:16" ht="15" customHeight="1">
      <c r="A364" s="75" t="str">
        <f t="shared" si="31"/>
        <v/>
      </c>
      <c r="B364" s="81"/>
      <c r="C364" s="81"/>
      <c r="D364" s="81"/>
      <c r="E364" s="84"/>
      <c r="F364" s="81"/>
      <c r="G364" s="82"/>
      <c r="H364" s="82"/>
      <c r="I364" s="81"/>
      <c r="J364" s="81"/>
      <c r="K364" s="84"/>
      <c r="L364" s="84"/>
      <c r="M364" s="82"/>
      <c r="N364" s="82"/>
      <c r="O364" s="81"/>
      <c r="P364" s="81"/>
    </row>
    <row r="365" spans="1:16" ht="15" customHeight="1">
      <c r="A365" s="75" t="str">
        <f t="shared" si="31"/>
        <v/>
      </c>
      <c r="B365" s="81"/>
      <c r="C365" s="81"/>
      <c r="D365" s="81"/>
      <c r="E365" s="84"/>
      <c r="F365" s="81"/>
      <c r="G365" s="82"/>
      <c r="H365" s="82"/>
      <c r="I365" s="81"/>
      <c r="J365" s="81"/>
      <c r="K365" s="84"/>
      <c r="L365" s="84"/>
      <c r="M365" s="82"/>
      <c r="N365" s="82"/>
      <c r="O365" s="81"/>
      <c r="P365" s="81"/>
    </row>
    <row r="366" spans="1:16" ht="15" customHeight="1">
      <c r="A366" s="75" t="str">
        <f t="shared" si="31"/>
        <v/>
      </c>
      <c r="B366" s="81"/>
      <c r="C366" s="81"/>
      <c r="D366" s="81"/>
      <c r="E366" s="84"/>
      <c r="F366" s="81"/>
      <c r="G366" s="82"/>
      <c r="H366" s="82"/>
      <c r="I366" s="81"/>
      <c r="J366" s="81"/>
      <c r="K366" s="84"/>
      <c r="L366" s="84"/>
      <c r="M366" s="82"/>
      <c r="N366" s="82"/>
      <c r="O366" s="81"/>
      <c r="P366" s="81"/>
    </row>
    <row r="367" spans="1:16" ht="15" customHeight="1">
      <c r="A367" s="75" t="str">
        <f t="shared" si="31"/>
        <v/>
      </c>
      <c r="B367" s="81"/>
      <c r="C367" s="81"/>
      <c r="D367" s="81"/>
      <c r="E367" s="84"/>
      <c r="F367" s="81"/>
      <c r="G367" s="82"/>
      <c r="H367" s="82"/>
      <c r="I367" s="81"/>
      <c r="J367" s="81"/>
      <c r="K367" s="84"/>
      <c r="L367" s="84"/>
      <c r="M367" s="82"/>
      <c r="N367" s="82"/>
      <c r="O367" s="81"/>
      <c r="P367" s="81"/>
    </row>
    <row r="370" spans="1:9" ht="19.5" customHeight="1">
      <c r="A370" s="296" t="s">
        <v>2038</v>
      </c>
      <c r="B370" s="262"/>
      <c r="C370" s="262"/>
      <c r="D370" s="262"/>
      <c r="E370" s="262"/>
      <c r="F370" s="262"/>
      <c r="G370" s="262"/>
      <c r="H370" s="262"/>
      <c r="I370" s="262"/>
    </row>
    <row r="371" spans="1:9" ht="25.5" customHeight="1">
      <c r="A371" s="80" t="s">
        <v>2039</v>
      </c>
      <c r="B371" s="80" t="s">
        <v>1987</v>
      </c>
      <c r="C371" s="80" t="s">
        <v>2032</v>
      </c>
      <c r="D371" s="80" t="s">
        <v>872</v>
      </c>
      <c r="E371" s="80" t="s">
        <v>1745</v>
      </c>
      <c r="F371" s="80" t="s">
        <v>2040</v>
      </c>
      <c r="G371" s="80" t="s">
        <v>2041</v>
      </c>
      <c r="H371" s="80" t="s">
        <v>1737</v>
      </c>
      <c r="I371" s="80" t="s">
        <v>175</v>
      </c>
    </row>
    <row r="372" spans="1:9" ht="15" customHeight="1">
      <c r="A372" s="75" t="str">
        <f t="shared" ref="A372:A411" si="32">IF(B372="","","DEC"&amp;TEXT(ROW()-371,"00000"))</f>
        <v/>
      </c>
      <c r="B372" s="81"/>
      <c r="C372" s="81"/>
      <c r="D372" s="81"/>
      <c r="E372" s="82"/>
      <c r="F372" s="82"/>
      <c r="G372" s="84"/>
      <c r="H372" s="84"/>
      <c r="I372" s="81"/>
    </row>
    <row r="373" spans="1:9" ht="15" customHeight="1">
      <c r="A373" s="75" t="str">
        <f t="shared" si="32"/>
        <v/>
      </c>
      <c r="B373" s="81"/>
      <c r="C373" s="81"/>
      <c r="D373" s="81"/>
      <c r="E373" s="82"/>
      <c r="F373" s="82"/>
      <c r="G373" s="84"/>
      <c r="H373" s="84"/>
      <c r="I373" s="81"/>
    </row>
    <row r="374" spans="1:9" ht="15" customHeight="1">
      <c r="A374" s="75" t="str">
        <f t="shared" si="32"/>
        <v/>
      </c>
      <c r="B374" s="81"/>
      <c r="C374" s="81"/>
      <c r="D374" s="81"/>
      <c r="E374" s="82"/>
      <c r="F374" s="82"/>
      <c r="G374" s="84"/>
      <c r="H374" s="84"/>
      <c r="I374" s="81"/>
    </row>
    <row r="375" spans="1:9" ht="15" customHeight="1">
      <c r="A375" s="75" t="str">
        <f t="shared" si="32"/>
        <v/>
      </c>
      <c r="B375" s="81"/>
      <c r="C375" s="81"/>
      <c r="D375" s="81"/>
      <c r="E375" s="82"/>
      <c r="F375" s="82"/>
      <c r="G375" s="84"/>
      <c r="H375" s="84"/>
      <c r="I375" s="81"/>
    </row>
    <row r="376" spans="1:9" ht="15" customHeight="1">
      <c r="A376" s="75" t="str">
        <f t="shared" si="32"/>
        <v/>
      </c>
      <c r="B376" s="81"/>
      <c r="C376" s="81"/>
      <c r="D376" s="81"/>
      <c r="E376" s="82"/>
      <c r="F376" s="82"/>
      <c r="G376" s="84"/>
      <c r="H376" s="84"/>
      <c r="I376" s="81"/>
    </row>
    <row r="377" spans="1:9" ht="15" customHeight="1">
      <c r="A377" s="75" t="str">
        <f t="shared" si="32"/>
        <v/>
      </c>
      <c r="B377" s="81"/>
      <c r="C377" s="81"/>
      <c r="D377" s="81"/>
      <c r="E377" s="82"/>
      <c r="F377" s="82"/>
      <c r="G377" s="84"/>
      <c r="H377" s="84"/>
      <c r="I377" s="81"/>
    </row>
    <row r="378" spans="1:9" ht="15" customHeight="1">
      <c r="A378" s="75" t="str">
        <f t="shared" si="32"/>
        <v/>
      </c>
      <c r="B378" s="81"/>
      <c r="C378" s="81"/>
      <c r="D378" s="81"/>
      <c r="E378" s="82"/>
      <c r="F378" s="82"/>
      <c r="G378" s="84"/>
      <c r="H378" s="84"/>
      <c r="I378" s="81"/>
    </row>
    <row r="379" spans="1:9" ht="15" customHeight="1">
      <c r="A379" s="75" t="str">
        <f t="shared" si="32"/>
        <v/>
      </c>
      <c r="B379" s="81"/>
      <c r="C379" s="81"/>
      <c r="D379" s="81"/>
      <c r="E379" s="82"/>
      <c r="F379" s="82"/>
      <c r="G379" s="84"/>
      <c r="H379" s="84"/>
      <c r="I379" s="81"/>
    </row>
    <row r="380" spans="1:9" ht="15" customHeight="1">
      <c r="A380" s="75" t="str">
        <f t="shared" si="32"/>
        <v/>
      </c>
      <c r="B380" s="81"/>
      <c r="C380" s="81"/>
      <c r="D380" s="81"/>
      <c r="E380" s="82"/>
      <c r="F380" s="82"/>
      <c r="G380" s="84"/>
      <c r="H380" s="84"/>
      <c r="I380" s="81"/>
    </row>
    <row r="381" spans="1:9" ht="15" customHeight="1">
      <c r="A381" s="75" t="str">
        <f t="shared" si="32"/>
        <v/>
      </c>
      <c r="B381" s="81"/>
      <c r="C381" s="81"/>
      <c r="D381" s="81"/>
      <c r="E381" s="82"/>
      <c r="F381" s="82"/>
      <c r="G381" s="84"/>
      <c r="H381" s="84"/>
      <c r="I381" s="81"/>
    </row>
    <row r="382" spans="1:9" ht="15" customHeight="1">
      <c r="A382" s="75" t="str">
        <f t="shared" si="32"/>
        <v/>
      </c>
      <c r="B382" s="81"/>
      <c r="C382" s="81"/>
      <c r="D382" s="81"/>
      <c r="E382" s="82"/>
      <c r="F382" s="82"/>
      <c r="G382" s="84"/>
      <c r="H382" s="84"/>
      <c r="I382" s="81"/>
    </row>
    <row r="383" spans="1:9" ht="15" customHeight="1">
      <c r="A383" s="75" t="str">
        <f t="shared" si="32"/>
        <v/>
      </c>
      <c r="B383" s="81"/>
      <c r="C383" s="81"/>
      <c r="D383" s="81"/>
      <c r="E383" s="82"/>
      <c r="F383" s="82"/>
      <c r="G383" s="84"/>
      <c r="H383" s="84"/>
      <c r="I383" s="81"/>
    </row>
    <row r="384" spans="1:9" ht="15" customHeight="1">
      <c r="A384" s="75" t="str">
        <f t="shared" si="32"/>
        <v/>
      </c>
      <c r="B384" s="81"/>
      <c r="C384" s="81"/>
      <c r="D384" s="81"/>
      <c r="E384" s="82"/>
      <c r="F384" s="82"/>
      <c r="G384" s="84"/>
      <c r="H384" s="84"/>
      <c r="I384" s="81"/>
    </row>
    <row r="385" spans="1:9" ht="15" customHeight="1">
      <c r="A385" s="75" t="str">
        <f t="shared" si="32"/>
        <v/>
      </c>
      <c r="B385" s="81"/>
      <c r="C385" s="81"/>
      <c r="D385" s="81"/>
      <c r="E385" s="82"/>
      <c r="F385" s="82"/>
      <c r="G385" s="84"/>
      <c r="H385" s="84"/>
      <c r="I385" s="81"/>
    </row>
    <row r="386" spans="1:9" ht="15" customHeight="1">
      <c r="A386" s="75" t="str">
        <f t="shared" si="32"/>
        <v/>
      </c>
      <c r="B386" s="81"/>
      <c r="C386" s="81"/>
      <c r="D386" s="81"/>
      <c r="E386" s="82"/>
      <c r="F386" s="82"/>
      <c r="G386" s="84"/>
      <c r="H386" s="84"/>
      <c r="I386" s="81"/>
    </row>
    <row r="387" spans="1:9" ht="15" customHeight="1">
      <c r="A387" s="75" t="str">
        <f t="shared" si="32"/>
        <v/>
      </c>
      <c r="B387" s="81"/>
      <c r="C387" s="81"/>
      <c r="D387" s="81"/>
      <c r="E387" s="82"/>
      <c r="F387" s="82"/>
      <c r="G387" s="84"/>
      <c r="H387" s="84"/>
      <c r="I387" s="81"/>
    </row>
    <row r="388" spans="1:9" ht="15" customHeight="1">
      <c r="A388" s="75" t="str">
        <f t="shared" si="32"/>
        <v/>
      </c>
      <c r="B388" s="81"/>
      <c r="C388" s="81"/>
      <c r="D388" s="81"/>
      <c r="E388" s="82"/>
      <c r="F388" s="82"/>
      <c r="G388" s="84"/>
      <c r="H388" s="84"/>
      <c r="I388" s="81"/>
    </row>
    <row r="389" spans="1:9" ht="15" customHeight="1">
      <c r="A389" s="75" t="str">
        <f t="shared" si="32"/>
        <v/>
      </c>
      <c r="B389" s="81"/>
      <c r="C389" s="81"/>
      <c r="D389" s="81"/>
      <c r="E389" s="82"/>
      <c r="F389" s="82"/>
      <c r="G389" s="84"/>
      <c r="H389" s="84"/>
      <c r="I389" s="81"/>
    </row>
    <row r="390" spans="1:9" ht="15" customHeight="1">
      <c r="A390" s="75" t="str">
        <f t="shared" si="32"/>
        <v/>
      </c>
      <c r="B390" s="81"/>
      <c r="C390" s="81"/>
      <c r="D390" s="81"/>
      <c r="E390" s="82"/>
      <c r="F390" s="82"/>
      <c r="G390" s="84"/>
      <c r="H390" s="84"/>
      <c r="I390" s="81"/>
    </row>
    <row r="391" spans="1:9" ht="15" customHeight="1">
      <c r="A391" s="75" t="str">
        <f t="shared" si="32"/>
        <v/>
      </c>
      <c r="B391" s="81"/>
      <c r="C391" s="81"/>
      <c r="D391" s="81"/>
      <c r="E391" s="82"/>
      <c r="F391" s="82"/>
      <c r="G391" s="84"/>
      <c r="H391" s="84"/>
      <c r="I391" s="81"/>
    </row>
    <row r="392" spans="1:9" ht="15" customHeight="1">
      <c r="A392" s="75" t="str">
        <f t="shared" si="32"/>
        <v/>
      </c>
      <c r="B392" s="81"/>
      <c r="C392" s="81"/>
      <c r="D392" s="81"/>
      <c r="E392" s="82"/>
      <c r="F392" s="82"/>
      <c r="G392" s="84"/>
      <c r="H392" s="84"/>
      <c r="I392" s="81"/>
    </row>
    <row r="393" spans="1:9" ht="15" customHeight="1">
      <c r="A393" s="75" t="str">
        <f t="shared" si="32"/>
        <v/>
      </c>
      <c r="B393" s="81"/>
      <c r="C393" s="81"/>
      <c r="D393" s="81"/>
      <c r="E393" s="82"/>
      <c r="F393" s="82"/>
      <c r="G393" s="84"/>
      <c r="H393" s="84"/>
      <c r="I393" s="81"/>
    </row>
    <row r="394" spans="1:9" ht="15" customHeight="1">
      <c r="A394" s="75" t="str">
        <f t="shared" si="32"/>
        <v/>
      </c>
      <c r="B394" s="81"/>
      <c r="C394" s="81"/>
      <c r="D394" s="81"/>
      <c r="E394" s="82"/>
      <c r="F394" s="82"/>
      <c r="G394" s="84"/>
      <c r="H394" s="84"/>
      <c r="I394" s="81"/>
    </row>
    <row r="395" spans="1:9" ht="15" customHeight="1">
      <c r="A395" s="75" t="str">
        <f t="shared" si="32"/>
        <v/>
      </c>
      <c r="B395" s="81"/>
      <c r="C395" s="81"/>
      <c r="D395" s="81"/>
      <c r="E395" s="82"/>
      <c r="F395" s="82"/>
      <c r="G395" s="84"/>
      <c r="H395" s="84"/>
      <c r="I395" s="81"/>
    </row>
    <row r="396" spans="1:9" ht="15" customHeight="1">
      <c r="A396" s="75" t="str">
        <f t="shared" si="32"/>
        <v/>
      </c>
      <c r="B396" s="81"/>
      <c r="C396" s="81"/>
      <c r="D396" s="81"/>
      <c r="E396" s="82"/>
      <c r="F396" s="82"/>
      <c r="G396" s="84"/>
      <c r="H396" s="84"/>
      <c r="I396" s="81"/>
    </row>
    <row r="397" spans="1:9" ht="15" customHeight="1">
      <c r="A397" s="75" t="str">
        <f t="shared" si="32"/>
        <v/>
      </c>
      <c r="B397" s="81"/>
      <c r="C397" s="81"/>
      <c r="D397" s="81"/>
      <c r="E397" s="82"/>
      <c r="F397" s="82"/>
      <c r="G397" s="84"/>
      <c r="H397" s="84"/>
      <c r="I397" s="81"/>
    </row>
    <row r="398" spans="1:9" ht="15" customHeight="1">
      <c r="A398" s="75" t="str">
        <f t="shared" si="32"/>
        <v/>
      </c>
      <c r="B398" s="81"/>
      <c r="C398" s="81"/>
      <c r="D398" s="81"/>
      <c r="E398" s="82"/>
      <c r="F398" s="82"/>
      <c r="G398" s="84"/>
      <c r="H398" s="84"/>
      <c r="I398" s="81"/>
    </row>
    <row r="399" spans="1:9" ht="15" customHeight="1">
      <c r="A399" s="75" t="str">
        <f t="shared" si="32"/>
        <v/>
      </c>
      <c r="B399" s="81"/>
      <c r="C399" s="81"/>
      <c r="D399" s="81"/>
      <c r="E399" s="82"/>
      <c r="F399" s="82"/>
      <c r="G399" s="84"/>
      <c r="H399" s="84"/>
      <c r="I399" s="81"/>
    </row>
    <row r="400" spans="1:9" ht="15" customHeight="1">
      <c r="A400" s="75" t="str">
        <f t="shared" si="32"/>
        <v/>
      </c>
      <c r="B400" s="81"/>
      <c r="C400" s="81"/>
      <c r="D400" s="81"/>
      <c r="E400" s="82"/>
      <c r="F400" s="82"/>
      <c r="G400" s="84"/>
      <c r="H400" s="84"/>
      <c r="I400" s="81"/>
    </row>
    <row r="401" spans="1:12" ht="15" customHeight="1">
      <c r="A401" s="75" t="str">
        <f t="shared" si="32"/>
        <v/>
      </c>
      <c r="B401" s="81"/>
      <c r="C401" s="81"/>
      <c r="D401" s="81"/>
      <c r="E401" s="82"/>
      <c r="F401" s="82"/>
      <c r="G401" s="84"/>
      <c r="H401" s="84"/>
      <c r="I401" s="81"/>
    </row>
    <row r="402" spans="1:12" ht="15" customHeight="1">
      <c r="A402" s="75" t="str">
        <f t="shared" si="32"/>
        <v/>
      </c>
      <c r="B402" s="81"/>
      <c r="C402" s="81"/>
      <c r="D402" s="81"/>
      <c r="E402" s="82"/>
      <c r="F402" s="82"/>
      <c r="G402" s="84"/>
      <c r="H402" s="84"/>
      <c r="I402" s="81"/>
    </row>
    <row r="403" spans="1:12" ht="15" customHeight="1">
      <c r="A403" s="75" t="str">
        <f t="shared" si="32"/>
        <v/>
      </c>
      <c r="B403" s="81"/>
      <c r="C403" s="81"/>
      <c r="D403" s="81"/>
      <c r="E403" s="82"/>
      <c r="F403" s="82"/>
      <c r="G403" s="84"/>
      <c r="H403" s="84"/>
      <c r="I403" s="81"/>
    </row>
    <row r="404" spans="1:12" ht="15" customHeight="1">
      <c r="A404" s="75" t="str">
        <f t="shared" si="32"/>
        <v/>
      </c>
      <c r="B404" s="81"/>
      <c r="C404" s="81"/>
      <c r="D404" s="81"/>
      <c r="E404" s="82"/>
      <c r="F404" s="82"/>
      <c r="G404" s="84"/>
      <c r="H404" s="84"/>
      <c r="I404" s="81"/>
    </row>
    <row r="405" spans="1:12" ht="15" customHeight="1">
      <c r="A405" s="75" t="str">
        <f t="shared" si="32"/>
        <v/>
      </c>
      <c r="B405" s="81"/>
      <c r="C405" s="81"/>
      <c r="D405" s="81"/>
      <c r="E405" s="82"/>
      <c r="F405" s="82"/>
      <c r="G405" s="84"/>
      <c r="H405" s="84"/>
      <c r="I405" s="81"/>
    </row>
    <row r="406" spans="1:12" ht="15" customHeight="1">
      <c r="A406" s="75" t="str">
        <f t="shared" si="32"/>
        <v/>
      </c>
      <c r="B406" s="81"/>
      <c r="C406" s="81"/>
      <c r="D406" s="81"/>
      <c r="E406" s="82"/>
      <c r="F406" s="82"/>
      <c r="G406" s="84"/>
      <c r="H406" s="84"/>
      <c r="I406" s="81"/>
    </row>
    <row r="407" spans="1:12" ht="15" customHeight="1">
      <c r="A407" s="75" t="str">
        <f t="shared" si="32"/>
        <v/>
      </c>
      <c r="B407" s="81"/>
      <c r="C407" s="81"/>
      <c r="D407" s="81"/>
      <c r="E407" s="82"/>
      <c r="F407" s="82"/>
      <c r="G407" s="84"/>
      <c r="H407" s="84"/>
      <c r="I407" s="81"/>
    </row>
    <row r="408" spans="1:12" ht="15" customHeight="1">
      <c r="A408" s="75" t="str">
        <f t="shared" si="32"/>
        <v/>
      </c>
      <c r="B408" s="81"/>
      <c r="C408" s="81"/>
      <c r="D408" s="81"/>
      <c r="E408" s="82"/>
      <c r="F408" s="82"/>
      <c r="G408" s="84"/>
      <c r="H408" s="84"/>
      <c r="I408" s="81"/>
    </row>
    <row r="409" spans="1:12" ht="15" customHeight="1">
      <c r="A409" s="75" t="str">
        <f t="shared" si="32"/>
        <v/>
      </c>
      <c r="B409" s="81"/>
      <c r="C409" s="81"/>
      <c r="D409" s="81"/>
      <c r="E409" s="82"/>
      <c r="F409" s="82"/>
      <c r="G409" s="84"/>
      <c r="H409" s="84"/>
      <c r="I409" s="81"/>
    </row>
    <row r="410" spans="1:12" ht="15" customHeight="1">
      <c r="A410" s="75" t="str">
        <f t="shared" si="32"/>
        <v/>
      </c>
      <c r="B410" s="81"/>
      <c r="C410" s="81"/>
      <c r="D410" s="81"/>
      <c r="E410" s="82"/>
      <c r="F410" s="82"/>
      <c r="G410" s="84"/>
      <c r="H410" s="84"/>
      <c r="I410" s="81"/>
    </row>
    <row r="411" spans="1:12" ht="15" customHeight="1">
      <c r="A411" s="75" t="str">
        <f t="shared" si="32"/>
        <v/>
      </c>
      <c r="B411" s="81"/>
      <c r="C411" s="81"/>
      <c r="D411" s="81"/>
      <c r="E411" s="82"/>
      <c r="F411" s="82"/>
      <c r="G411" s="84"/>
      <c r="H411" s="84"/>
      <c r="I411" s="81"/>
    </row>
    <row r="414" spans="1:12" ht="19.5" customHeight="1">
      <c r="A414" s="296" t="s">
        <v>2042</v>
      </c>
      <c r="B414" s="262"/>
      <c r="C414" s="262"/>
      <c r="D414" s="262"/>
      <c r="E414" s="262"/>
      <c r="F414" s="262"/>
      <c r="G414" s="262"/>
      <c r="H414" s="262"/>
      <c r="I414" s="262"/>
      <c r="J414" s="262"/>
      <c r="K414" s="262"/>
      <c r="L414" s="262"/>
    </row>
    <row r="415" spans="1:12" ht="25.5" customHeight="1">
      <c r="A415" s="80" t="s">
        <v>1987</v>
      </c>
      <c r="B415" s="80" t="s">
        <v>2043</v>
      </c>
      <c r="C415" s="80" t="s">
        <v>872</v>
      </c>
      <c r="D415" s="80" t="s">
        <v>1939</v>
      </c>
      <c r="E415" s="80" t="s">
        <v>1935</v>
      </c>
      <c r="F415" s="80" t="s">
        <v>1936</v>
      </c>
      <c r="G415" s="80" t="s">
        <v>2044</v>
      </c>
      <c r="H415" s="80" t="s">
        <v>1439</v>
      </c>
      <c r="I415" s="80" t="s">
        <v>2045</v>
      </c>
      <c r="J415" s="80" t="s">
        <v>2046</v>
      </c>
      <c r="K415" s="80" t="s">
        <v>175</v>
      </c>
      <c r="L415" s="80" t="s">
        <v>1940</v>
      </c>
    </row>
    <row r="416" spans="1:12" ht="15" customHeight="1">
      <c r="A416" s="81"/>
      <c r="B416" s="81"/>
      <c r="C416" s="81"/>
      <c r="D416" s="82"/>
      <c r="E416" s="82"/>
      <c r="F416" s="82"/>
      <c r="G416" s="84"/>
      <c r="H416" s="81"/>
      <c r="I416" s="81"/>
      <c r="J416" s="81"/>
      <c r="K416" s="81"/>
      <c r="L416" s="75" t="str">
        <f t="shared" ref="L416:L445" ca="1" si="33">IF(F416="","",F416-TODAY())</f>
        <v/>
      </c>
    </row>
    <row r="417" spans="1:12" ht="15" customHeight="1">
      <c r="A417" s="81"/>
      <c r="B417" s="81"/>
      <c r="C417" s="81"/>
      <c r="D417" s="82"/>
      <c r="E417" s="82"/>
      <c r="F417" s="82"/>
      <c r="G417" s="84"/>
      <c r="H417" s="81"/>
      <c r="I417" s="81"/>
      <c r="J417" s="81"/>
      <c r="K417" s="81"/>
      <c r="L417" s="75" t="str">
        <f t="shared" ca="1" si="33"/>
        <v/>
      </c>
    </row>
    <row r="418" spans="1:12" ht="15" customHeight="1">
      <c r="A418" s="81"/>
      <c r="B418" s="81"/>
      <c r="C418" s="81"/>
      <c r="D418" s="82"/>
      <c r="E418" s="82"/>
      <c r="F418" s="82"/>
      <c r="G418" s="84"/>
      <c r="H418" s="81"/>
      <c r="I418" s="81"/>
      <c r="J418" s="81"/>
      <c r="K418" s="81"/>
      <c r="L418" s="75" t="str">
        <f t="shared" ca="1" si="33"/>
        <v/>
      </c>
    </row>
    <row r="419" spans="1:12" ht="15" customHeight="1">
      <c r="A419" s="81"/>
      <c r="B419" s="81"/>
      <c r="C419" s="81"/>
      <c r="D419" s="82"/>
      <c r="E419" s="82"/>
      <c r="F419" s="82"/>
      <c r="G419" s="84"/>
      <c r="H419" s="81"/>
      <c r="I419" s="81"/>
      <c r="J419" s="81"/>
      <c r="K419" s="81"/>
      <c r="L419" s="75" t="str">
        <f t="shared" ca="1" si="33"/>
        <v/>
      </c>
    </row>
    <row r="420" spans="1:12" ht="15" customHeight="1">
      <c r="A420" s="81"/>
      <c r="B420" s="81"/>
      <c r="C420" s="81"/>
      <c r="D420" s="82"/>
      <c r="E420" s="82"/>
      <c r="F420" s="82"/>
      <c r="G420" s="84"/>
      <c r="H420" s="81"/>
      <c r="I420" s="81"/>
      <c r="J420" s="81"/>
      <c r="K420" s="81"/>
      <c r="L420" s="75" t="str">
        <f t="shared" ca="1" si="33"/>
        <v/>
      </c>
    </row>
    <row r="421" spans="1:12" ht="15" customHeight="1">
      <c r="A421" s="81"/>
      <c r="B421" s="81"/>
      <c r="C421" s="81"/>
      <c r="D421" s="82"/>
      <c r="E421" s="82"/>
      <c r="F421" s="82"/>
      <c r="G421" s="84"/>
      <c r="H421" s="81"/>
      <c r="I421" s="81"/>
      <c r="J421" s="81"/>
      <c r="K421" s="81"/>
      <c r="L421" s="75" t="str">
        <f t="shared" ca="1" si="33"/>
        <v/>
      </c>
    </row>
    <row r="422" spans="1:12" ht="15" customHeight="1">
      <c r="A422" s="81"/>
      <c r="B422" s="81"/>
      <c r="C422" s="81"/>
      <c r="D422" s="82"/>
      <c r="E422" s="82"/>
      <c r="F422" s="82"/>
      <c r="G422" s="84"/>
      <c r="H422" s="81"/>
      <c r="I422" s="81"/>
      <c r="J422" s="81"/>
      <c r="K422" s="81"/>
      <c r="L422" s="75" t="str">
        <f t="shared" ca="1" si="33"/>
        <v/>
      </c>
    </row>
    <row r="423" spans="1:12" ht="15" customHeight="1">
      <c r="A423" s="81"/>
      <c r="B423" s="81"/>
      <c r="C423" s="81"/>
      <c r="D423" s="82"/>
      <c r="E423" s="82"/>
      <c r="F423" s="82"/>
      <c r="G423" s="84"/>
      <c r="H423" s="81"/>
      <c r="I423" s="81"/>
      <c r="J423" s="81"/>
      <c r="K423" s="81"/>
      <c r="L423" s="75" t="str">
        <f t="shared" ca="1" si="33"/>
        <v/>
      </c>
    </row>
    <row r="424" spans="1:12" ht="15" customHeight="1">
      <c r="A424" s="81"/>
      <c r="B424" s="81"/>
      <c r="C424" s="81"/>
      <c r="D424" s="82"/>
      <c r="E424" s="82"/>
      <c r="F424" s="82"/>
      <c r="G424" s="84"/>
      <c r="H424" s="81"/>
      <c r="I424" s="81"/>
      <c r="J424" s="81"/>
      <c r="K424" s="81"/>
      <c r="L424" s="75" t="str">
        <f t="shared" ca="1" si="33"/>
        <v/>
      </c>
    </row>
    <row r="425" spans="1:12" ht="15" customHeight="1">
      <c r="A425" s="81"/>
      <c r="B425" s="81"/>
      <c r="C425" s="81"/>
      <c r="D425" s="82"/>
      <c r="E425" s="82"/>
      <c r="F425" s="82"/>
      <c r="G425" s="84"/>
      <c r="H425" s="81"/>
      <c r="I425" s="81"/>
      <c r="J425" s="81"/>
      <c r="K425" s="81"/>
      <c r="L425" s="75" t="str">
        <f t="shared" ca="1" si="33"/>
        <v/>
      </c>
    </row>
    <row r="426" spans="1:12" ht="15" customHeight="1">
      <c r="A426" s="81"/>
      <c r="B426" s="81"/>
      <c r="C426" s="81"/>
      <c r="D426" s="82"/>
      <c r="E426" s="82"/>
      <c r="F426" s="82"/>
      <c r="G426" s="84"/>
      <c r="H426" s="81"/>
      <c r="I426" s="81"/>
      <c r="J426" s="81"/>
      <c r="K426" s="81"/>
      <c r="L426" s="75" t="str">
        <f t="shared" ca="1" si="33"/>
        <v/>
      </c>
    </row>
    <row r="427" spans="1:12" ht="15" customHeight="1">
      <c r="A427" s="81"/>
      <c r="B427" s="81"/>
      <c r="C427" s="81"/>
      <c r="D427" s="82"/>
      <c r="E427" s="82"/>
      <c r="F427" s="82"/>
      <c r="G427" s="84"/>
      <c r="H427" s="81"/>
      <c r="I427" s="81"/>
      <c r="J427" s="81"/>
      <c r="K427" s="81"/>
      <c r="L427" s="75" t="str">
        <f t="shared" ca="1" si="33"/>
        <v/>
      </c>
    </row>
    <row r="428" spans="1:12" ht="15" customHeight="1">
      <c r="A428" s="81"/>
      <c r="B428" s="81"/>
      <c r="C428" s="81"/>
      <c r="D428" s="82"/>
      <c r="E428" s="82"/>
      <c r="F428" s="82"/>
      <c r="G428" s="84"/>
      <c r="H428" s="81"/>
      <c r="I428" s="81"/>
      <c r="J428" s="81"/>
      <c r="K428" s="81"/>
      <c r="L428" s="75" t="str">
        <f t="shared" ca="1" si="33"/>
        <v/>
      </c>
    </row>
    <row r="429" spans="1:12" ht="15" customHeight="1">
      <c r="A429" s="81"/>
      <c r="B429" s="81"/>
      <c r="C429" s="81"/>
      <c r="D429" s="82"/>
      <c r="E429" s="82"/>
      <c r="F429" s="82"/>
      <c r="G429" s="84"/>
      <c r="H429" s="81"/>
      <c r="I429" s="81"/>
      <c r="J429" s="81"/>
      <c r="K429" s="81"/>
      <c r="L429" s="75" t="str">
        <f t="shared" ca="1" si="33"/>
        <v/>
      </c>
    </row>
    <row r="430" spans="1:12" ht="15" customHeight="1">
      <c r="A430" s="81"/>
      <c r="B430" s="81"/>
      <c r="C430" s="81"/>
      <c r="D430" s="82"/>
      <c r="E430" s="82"/>
      <c r="F430" s="82"/>
      <c r="G430" s="84"/>
      <c r="H430" s="81"/>
      <c r="I430" s="81"/>
      <c r="J430" s="81"/>
      <c r="K430" s="81"/>
      <c r="L430" s="75" t="str">
        <f t="shared" ca="1" si="33"/>
        <v/>
      </c>
    </row>
    <row r="431" spans="1:12" ht="15" customHeight="1">
      <c r="A431" s="81"/>
      <c r="B431" s="81"/>
      <c r="C431" s="81"/>
      <c r="D431" s="82"/>
      <c r="E431" s="82"/>
      <c r="F431" s="82"/>
      <c r="G431" s="84"/>
      <c r="H431" s="81"/>
      <c r="I431" s="81"/>
      <c r="J431" s="81"/>
      <c r="K431" s="81"/>
      <c r="L431" s="75" t="str">
        <f t="shared" ca="1" si="33"/>
        <v/>
      </c>
    </row>
    <row r="432" spans="1:12" ht="15" customHeight="1">
      <c r="A432" s="81"/>
      <c r="B432" s="81"/>
      <c r="C432" s="81"/>
      <c r="D432" s="82"/>
      <c r="E432" s="82"/>
      <c r="F432" s="82"/>
      <c r="G432" s="84"/>
      <c r="H432" s="81"/>
      <c r="I432" s="81"/>
      <c r="J432" s="81"/>
      <c r="K432" s="81"/>
      <c r="L432" s="75" t="str">
        <f t="shared" ca="1" si="33"/>
        <v/>
      </c>
    </row>
    <row r="433" spans="1:12" ht="15" customHeight="1">
      <c r="A433" s="81"/>
      <c r="B433" s="81"/>
      <c r="C433" s="81"/>
      <c r="D433" s="82"/>
      <c r="E433" s="82"/>
      <c r="F433" s="82"/>
      <c r="G433" s="84"/>
      <c r="H433" s="81"/>
      <c r="I433" s="81"/>
      <c r="J433" s="81"/>
      <c r="K433" s="81"/>
      <c r="L433" s="75" t="str">
        <f t="shared" ca="1" si="33"/>
        <v/>
      </c>
    </row>
    <row r="434" spans="1:12" ht="15" customHeight="1">
      <c r="A434" s="81"/>
      <c r="B434" s="81"/>
      <c r="C434" s="81"/>
      <c r="D434" s="82"/>
      <c r="E434" s="82"/>
      <c r="F434" s="82"/>
      <c r="G434" s="84"/>
      <c r="H434" s="81"/>
      <c r="I434" s="81"/>
      <c r="J434" s="81"/>
      <c r="K434" s="81"/>
      <c r="L434" s="75" t="str">
        <f t="shared" ca="1" si="33"/>
        <v/>
      </c>
    </row>
    <row r="435" spans="1:12" ht="15" customHeight="1">
      <c r="A435" s="81"/>
      <c r="B435" s="81"/>
      <c r="C435" s="81"/>
      <c r="D435" s="82"/>
      <c r="E435" s="82"/>
      <c r="F435" s="82"/>
      <c r="G435" s="84"/>
      <c r="H435" s="81"/>
      <c r="I435" s="81"/>
      <c r="J435" s="81"/>
      <c r="K435" s="81"/>
      <c r="L435" s="75" t="str">
        <f t="shared" ca="1" si="33"/>
        <v/>
      </c>
    </row>
    <row r="436" spans="1:12" ht="15" customHeight="1">
      <c r="A436" s="81"/>
      <c r="B436" s="81"/>
      <c r="C436" s="81"/>
      <c r="D436" s="82"/>
      <c r="E436" s="82"/>
      <c r="F436" s="82"/>
      <c r="G436" s="84"/>
      <c r="H436" s="81"/>
      <c r="I436" s="81"/>
      <c r="J436" s="81"/>
      <c r="K436" s="81"/>
      <c r="L436" s="75" t="str">
        <f t="shared" ca="1" si="33"/>
        <v/>
      </c>
    </row>
    <row r="437" spans="1:12" ht="15" customHeight="1">
      <c r="A437" s="81"/>
      <c r="B437" s="81"/>
      <c r="C437" s="81"/>
      <c r="D437" s="82"/>
      <c r="E437" s="82"/>
      <c r="F437" s="82"/>
      <c r="G437" s="84"/>
      <c r="H437" s="81"/>
      <c r="I437" s="81"/>
      <c r="J437" s="81"/>
      <c r="K437" s="81"/>
      <c r="L437" s="75" t="str">
        <f t="shared" ca="1" si="33"/>
        <v/>
      </c>
    </row>
    <row r="438" spans="1:12" ht="15" customHeight="1">
      <c r="A438" s="81"/>
      <c r="B438" s="81"/>
      <c r="C438" s="81"/>
      <c r="D438" s="82"/>
      <c r="E438" s="82"/>
      <c r="F438" s="82"/>
      <c r="G438" s="84"/>
      <c r="H438" s="81"/>
      <c r="I438" s="81"/>
      <c r="J438" s="81"/>
      <c r="K438" s="81"/>
      <c r="L438" s="75" t="str">
        <f t="shared" ca="1" si="33"/>
        <v/>
      </c>
    </row>
    <row r="439" spans="1:12" ht="15" customHeight="1">
      <c r="A439" s="81"/>
      <c r="B439" s="81"/>
      <c r="C439" s="81"/>
      <c r="D439" s="82"/>
      <c r="E439" s="82"/>
      <c r="F439" s="82"/>
      <c r="G439" s="84"/>
      <c r="H439" s="81"/>
      <c r="I439" s="81"/>
      <c r="J439" s="81"/>
      <c r="K439" s="81"/>
      <c r="L439" s="75" t="str">
        <f t="shared" ca="1" si="33"/>
        <v/>
      </c>
    </row>
    <row r="440" spans="1:12" ht="15" customHeight="1">
      <c r="A440" s="81"/>
      <c r="B440" s="81"/>
      <c r="C440" s="81"/>
      <c r="D440" s="82"/>
      <c r="E440" s="82"/>
      <c r="F440" s="82"/>
      <c r="G440" s="84"/>
      <c r="H440" s="81"/>
      <c r="I440" s="81"/>
      <c r="J440" s="81"/>
      <c r="K440" s="81"/>
      <c r="L440" s="75" t="str">
        <f t="shared" ca="1" si="33"/>
        <v/>
      </c>
    </row>
    <row r="441" spans="1:12" ht="15" customHeight="1">
      <c r="A441" s="81"/>
      <c r="B441" s="81"/>
      <c r="C441" s="81"/>
      <c r="D441" s="82"/>
      <c r="E441" s="82"/>
      <c r="F441" s="82"/>
      <c r="G441" s="84"/>
      <c r="H441" s="81"/>
      <c r="I441" s="81"/>
      <c r="J441" s="81"/>
      <c r="K441" s="81"/>
      <c r="L441" s="75" t="str">
        <f t="shared" ca="1" si="33"/>
        <v/>
      </c>
    </row>
    <row r="442" spans="1:12" ht="15" customHeight="1">
      <c r="A442" s="81"/>
      <c r="B442" s="81"/>
      <c r="C442" s="81"/>
      <c r="D442" s="82"/>
      <c r="E442" s="82"/>
      <c r="F442" s="82"/>
      <c r="G442" s="84"/>
      <c r="H442" s="81"/>
      <c r="I442" s="81"/>
      <c r="J442" s="81"/>
      <c r="K442" s="81"/>
      <c r="L442" s="75" t="str">
        <f t="shared" ca="1" si="33"/>
        <v/>
      </c>
    </row>
    <row r="443" spans="1:12" ht="15" customHeight="1">
      <c r="A443" s="81"/>
      <c r="B443" s="81"/>
      <c r="C443" s="81"/>
      <c r="D443" s="82"/>
      <c r="E443" s="82"/>
      <c r="F443" s="82"/>
      <c r="G443" s="84"/>
      <c r="H443" s="81"/>
      <c r="I443" s="81"/>
      <c r="J443" s="81"/>
      <c r="K443" s="81"/>
      <c r="L443" s="75" t="str">
        <f t="shared" ca="1" si="33"/>
        <v/>
      </c>
    </row>
    <row r="444" spans="1:12" ht="15" customHeight="1">
      <c r="A444" s="81"/>
      <c r="B444" s="81"/>
      <c r="C444" s="81"/>
      <c r="D444" s="82"/>
      <c r="E444" s="82"/>
      <c r="F444" s="82"/>
      <c r="G444" s="84"/>
      <c r="H444" s="81"/>
      <c r="I444" s="81"/>
      <c r="J444" s="81"/>
      <c r="K444" s="81"/>
      <c r="L444" s="75" t="str">
        <f t="shared" ca="1" si="33"/>
        <v/>
      </c>
    </row>
    <row r="445" spans="1:12" ht="15" customHeight="1">
      <c r="A445" s="81"/>
      <c r="B445" s="81"/>
      <c r="C445" s="81"/>
      <c r="D445" s="82"/>
      <c r="E445" s="82"/>
      <c r="F445" s="82"/>
      <c r="G445" s="84"/>
      <c r="H445" s="81"/>
      <c r="I445" s="81"/>
      <c r="J445" s="81"/>
      <c r="K445" s="81"/>
      <c r="L445" s="75" t="str">
        <f t="shared" ca="1" si="33"/>
        <v/>
      </c>
    </row>
    <row r="448" spans="1:12" ht="19.5" customHeight="1">
      <c r="A448" s="296" t="s">
        <v>2047</v>
      </c>
      <c r="B448" s="262"/>
      <c r="C448" s="262"/>
      <c r="D448" s="262"/>
      <c r="E448" s="262"/>
      <c r="F448" s="262"/>
      <c r="G448" s="262"/>
    </row>
    <row r="449" spans="1:7" ht="25.5" customHeight="1">
      <c r="A449" s="80" t="s">
        <v>1987</v>
      </c>
      <c r="B449" s="80" t="s">
        <v>872</v>
      </c>
      <c r="C449" s="80" t="s">
        <v>2048</v>
      </c>
      <c r="D449" s="80" t="s">
        <v>1479</v>
      </c>
      <c r="E449" s="80" t="s">
        <v>2034</v>
      </c>
      <c r="F449" s="80" t="s">
        <v>2033</v>
      </c>
      <c r="G449" s="80" t="s">
        <v>175</v>
      </c>
    </row>
    <row r="450" spans="1:7" ht="15" customHeight="1">
      <c r="A450" s="81"/>
      <c r="B450" s="81"/>
      <c r="C450" s="81"/>
      <c r="D450" s="81"/>
      <c r="E450" s="82"/>
      <c r="F450" s="82"/>
      <c r="G450" s="81"/>
    </row>
    <row r="451" spans="1:7" ht="15" customHeight="1">
      <c r="A451" s="81"/>
      <c r="B451" s="81"/>
      <c r="C451" s="81"/>
      <c r="D451" s="81"/>
      <c r="E451" s="82"/>
      <c r="F451" s="82"/>
      <c r="G451" s="81"/>
    </row>
    <row r="452" spans="1:7" ht="15" customHeight="1">
      <c r="A452" s="81"/>
      <c r="B452" s="81"/>
      <c r="C452" s="81"/>
      <c r="D452" s="81"/>
      <c r="E452" s="82"/>
      <c r="F452" s="82"/>
      <c r="G452" s="81"/>
    </row>
    <row r="453" spans="1:7" ht="15" customHeight="1">
      <c r="A453" s="81"/>
      <c r="B453" s="81"/>
      <c r="C453" s="81"/>
      <c r="D453" s="81"/>
      <c r="E453" s="82"/>
      <c r="F453" s="82"/>
      <c r="G453" s="81"/>
    </row>
    <row r="454" spans="1:7" ht="15" customHeight="1">
      <c r="A454" s="81"/>
      <c r="B454" s="81"/>
      <c r="C454" s="81"/>
      <c r="D454" s="81"/>
      <c r="E454" s="82"/>
      <c r="F454" s="82"/>
      <c r="G454" s="81"/>
    </row>
    <row r="455" spans="1:7" ht="15" customHeight="1">
      <c r="A455" s="81"/>
      <c r="B455" s="81"/>
      <c r="C455" s="81"/>
      <c r="D455" s="81"/>
      <c r="E455" s="82"/>
      <c r="F455" s="82"/>
      <c r="G455" s="81"/>
    </row>
    <row r="456" spans="1:7" ht="15" customHeight="1">
      <c r="A456" s="81"/>
      <c r="B456" s="81"/>
      <c r="C456" s="81"/>
      <c r="D456" s="81"/>
      <c r="E456" s="82"/>
      <c r="F456" s="82"/>
      <c r="G456" s="81"/>
    </row>
    <row r="457" spans="1:7" ht="15" customHeight="1">
      <c r="A457" s="81"/>
      <c r="B457" s="81"/>
      <c r="C457" s="81"/>
      <c r="D457" s="81"/>
      <c r="E457" s="82"/>
      <c r="F457" s="82"/>
      <c r="G457" s="81"/>
    </row>
    <row r="458" spans="1:7" ht="15" customHeight="1">
      <c r="A458" s="81"/>
      <c r="B458" s="81"/>
      <c r="C458" s="81"/>
      <c r="D458" s="81"/>
      <c r="E458" s="82"/>
      <c r="F458" s="82"/>
      <c r="G458" s="81"/>
    </row>
    <row r="459" spans="1:7" ht="15" customHeight="1">
      <c r="A459" s="81"/>
      <c r="B459" s="81"/>
      <c r="C459" s="81"/>
      <c r="D459" s="81"/>
      <c r="E459" s="82"/>
      <c r="F459" s="82"/>
      <c r="G459" s="81"/>
    </row>
    <row r="460" spans="1:7" ht="15" customHeight="1">
      <c r="A460" s="81"/>
      <c r="B460" s="81"/>
      <c r="C460" s="81"/>
      <c r="D460" s="81"/>
      <c r="E460" s="82"/>
      <c r="F460" s="82"/>
      <c r="G460" s="81"/>
    </row>
    <row r="461" spans="1:7" ht="15" customHeight="1">
      <c r="A461" s="81"/>
      <c r="B461" s="81"/>
      <c r="C461" s="81"/>
      <c r="D461" s="81"/>
      <c r="E461" s="82"/>
      <c r="F461" s="82"/>
      <c r="G461" s="81"/>
    </row>
    <row r="462" spans="1:7" ht="15" customHeight="1">
      <c r="A462" s="81"/>
      <c r="B462" s="81"/>
      <c r="C462" s="81"/>
      <c r="D462" s="81"/>
      <c r="E462" s="82"/>
      <c r="F462" s="82"/>
      <c r="G462" s="81"/>
    </row>
    <row r="463" spans="1:7" ht="15" customHeight="1">
      <c r="A463" s="81"/>
      <c r="B463" s="81"/>
      <c r="C463" s="81"/>
      <c r="D463" s="81"/>
      <c r="E463" s="82"/>
      <c r="F463" s="82"/>
      <c r="G463" s="81"/>
    </row>
    <row r="464" spans="1:7" ht="15" customHeight="1">
      <c r="A464" s="81"/>
      <c r="B464" s="81"/>
      <c r="C464" s="81"/>
      <c r="D464" s="81"/>
      <c r="E464" s="82"/>
      <c r="F464" s="82"/>
      <c r="G464" s="81"/>
    </row>
    <row r="465" spans="1:7" ht="15" customHeight="1">
      <c r="A465" s="81"/>
      <c r="B465" s="81"/>
      <c r="C465" s="81"/>
      <c r="D465" s="81"/>
      <c r="E465" s="82"/>
      <c r="F465" s="82"/>
      <c r="G465" s="81"/>
    </row>
    <row r="466" spans="1:7" ht="15" customHeight="1">
      <c r="A466" s="81"/>
      <c r="B466" s="81"/>
      <c r="C466" s="81"/>
      <c r="D466" s="81"/>
      <c r="E466" s="82"/>
      <c r="F466" s="82"/>
      <c r="G466" s="81"/>
    </row>
    <row r="467" spans="1:7" ht="15" customHeight="1">
      <c r="A467" s="81"/>
      <c r="B467" s="81"/>
      <c r="C467" s="81"/>
      <c r="D467" s="81"/>
      <c r="E467" s="82"/>
      <c r="F467" s="82"/>
      <c r="G467" s="81"/>
    </row>
    <row r="468" spans="1:7" ht="15" customHeight="1">
      <c r="A468" s="81"/>
      <c r="B468" s="81"/>
      <c r="C468" s="81"/>
      <c r="D468" s="81"/>
      <c r="E468" s="82"/>
      <c r="F468" s="82"/>
      <c r="G468" s="81"/>
    </row>
    <row r="469" spans="1:7" ht="15" customHeight="1">
      <c r="A469" s="81"/>
      <c r="B469" s="81"/>
      <c r="C469" s="81"/>
      <c r="D469" s="81"/>
      <c r="E469" s="82"/>
      <c r="F469" s="82"/>
      <c r="G469" s="81"/>
    </row>
    <row r="470" spans="1:7" ht="15" customHeight="1">
      <c r="A470" s="81"/>
      <c r="B470" s="81"/>
      <c r="C470" s="81"/>
      <c r="D470" s="81"/>
      <c r="E470" s="82"/>
      <c r="F470" s="82"/>
      <c r="G470" s="81"/>
    </row>
    <row r="471" spans="1:7" ht="15" customHeight="1">
      <c r="A471" s="81"/>
      <c r="B471" s="81"/>
      <c r="C471" s="81"/>
      <c r="D471" s="81"/>
      <c r="E471" s="82"/>
      <c r="F471" s="82"/>
      <c r="G471" s="81"/>
    </row>
    <row r="472" spans="1:7" ht="15" customHeight="1">
      <c r="A472" s="81"/>
      <c r="B472" s="81"/>
      <c r="C472" s="81"/>
      <c r="D472" s="81"/>
      <c r="E472" s="82"/>
      <c r="F472" s="82"/>
      <c r="G472" s="81"/>
    </row>
    <row r="473" spans="1:7" ht="15" customHeight="1">
      <c r="A473" s="81"/>
      <c r="B473" s="81"/>
      <c r="C473" s="81"/>
      <c r="D473" s="81"/>
      <c r="E473" s="82"/>
      <c r="F473" s="82"/>
      <c r="G473" s="81"/>
    </row>
    <row r="474" spans="1:7" ht="15" customHeight="1">
      <c r="A474" s="81"/>
      <c r="B474" s="81"/>
      <c r="C474" s="81"/>
      <c r="D474" s="81"/>
      <c r="E474" s="82"/>
      <c r="F474" s="82"/>
      <c r="G474" s="81"/>
    </row>
    <row r="475" spans="1:7" ht="15" customHeight="1">
      <c r="A475" s="81"/>
      <c r="B475" s="81"/>
      <c r="C475" s="81"/>
      <c r="D475" s="81"/>
      <c r="E475" s="82"/>
      <c r="F475" s="82"/>
      <c r="G475" s="81"/>
    </row>
    <row r="476" spans="1:7" ht="15" customHeight="1">
      <c r="A476" s="81"/>
      <c r="B476" s="81"/>
      <c r="C476" s="81"/>
      <c r="D476" s="81"/>
      <c r="E476" s="82"/>
      <c r="F476" s="82"/>
      <c r="G476" s="81"/>
    </row>
    <row r="477" spans="1:7" ht="15" customHeight="1">
      <c r="A477" s="81"/>
      <c r="B477" s="81"/>
      <c r="C477" s="81"/>
      <c r="D477" s="81"/>
      <c r="E477" s="82"/>
      <c r="F477" s="82"/>
      <c r="G477" s="81"/>
    </row>
    <row r="478" spans="1:7" ht="15" customHeight="1">
      <c r="A478" s="81"/>
      <c r="B478" s="81"/>
      <c r="C478" s="81"/>
      <c r="D478" s="81"/>
      <c r="E478" s="82"/>
      <c r="F478" s="82"/>
      <c r="G478" s="81"/>
    </row>
    <row r="479" spans="1:7" ht="15" customHeight="1">
      <c r="A479" s="81"/>
      <c r="B479" s="81"/>
      <c r="C479" s="81"/>
      <c r="D479" s="81"/>
      <c r="E479" s="82"/>
      <c r="F479" s="82"/>
      <c r="G479" s="81"/>
    </row>
    <row r="482" spans="1:6" ht="19.5" customHeight="1">
      <c r="A482" s="296" t="s">
        <v>2049</v>
      </c>
      <c r="B482" s="262"/>
      <c r="C482" s="262"/>
      <c r="D482" s="262"/>
      <c r="E482" s="262"/>
      <c r="F482" s="262"/>
    </row>
    <row r="483" spans="1:6" ht="25.5" customHeight="1">
      <c r="A483" s="80" t="s">
        <v>1987</v>
      </c>
      <c r="B483" s="80" t="s">
        <v>1428</v>
      </c>
      <c r="C483" s="80" t="s">
        <v>1945</v>
      </c>
      <c r="D483" s="80" t="s">
        <v>1408</v>
      </c>
      <c r="E483" s="80" t="s">
        <v>1626</v>
      </c>
      <c r="F483" s="80" t="s">
        <v>1959</v>
      </c>
    </row>
    <row r="484" spans="1:6" ht="15" customHeight="1">
      <c r="A484" s="81"/>
      <c r="B484" s="82"/>
      <c r="C484" s="81"/>
      <c r="D484" s="81"/>
      <c r="E484" s="81"/>
      <c r="F484" s="81"/>
    </row>
    <row r="485" spans="1:6" ht="15" customHeight="1">
      <c r="A485" s="81"/>
      <c r="B485" s="82"/>
      <c r="C485" s="81"/>
      <c r="D485" s="81"/>
      <c r="E485" s="81"/>
      <c r="F485" s="81"/>
    </row>
    <row r="486" spans="1:6" ht="15" customHeight="1">
      <c r="A486" s="81"/>
      <c r="B486" s="82"/>
      <c r="C486" s="81"/>
      <c r="D486" s="81"/>
      <c r="E486" s="81"/>
      <c r="F486" s="81"/>
    </row>
    <row r="487" spans="1:6" ht="15" customHeight="1">
      <c r="A487" s="81"/>
      <c r="B487" s="82"/>
      <c r="C487" s="81"/>
      <c r="D487" s="81"/>
      <c r="E487" s="81"/>
      <c r="F487" s="81"/>
    </row>
    <row r="488" spans="1:6" ht="15" customHeight="1">
      <c r="A488" s="81"/>
      <c r="B488" s="82"/>
      <c r="C488" s="81"/>
      <c r="D488" s="81"/>
      <c r="E488" s="81"/>
      <c r="F488" s="81"/>
    </row>
    <row r="489" spans="1:6" ht="15" customHeight="1">
      <c r="A489" s="81"/>
      <c r="B489" s="82"/>
      <c r="C489" s="81"/>
      <c r="D489" s="81"/>
      <c r="E489" s="81"/>
      <c r="F489" s="81"/>
    </row>
    <row r="490" spans="1:6" ht="15" customHeight="1">
      <c r="A490" s="81"/>
      <c r="B490" s="82"/>
      <c r="C490" s="81"/>
      <c r="D490" s="81"/>
      <c r="E490" s="81"/>
      <c r="F490" s="81"/>
    </row>
    <row r="491" spans="1:6" ht="15" customHeight="1">
      <c r="A491" s="81"/>
      <c r="B491" s="82"/>
      <c r="C491" s="81"/>
      <c r="D491" s="81"/>
      <c r="E491" s="81"/>
      <c r="F491" s="81"/>
    </row>
    <row r="492" spans="1:6" ht="15" customHeight="1">
      <c r="A492" s="81"/>
      <c r="B492" s="82"/>
      <c r="C492" s="81"/>
      <c r="D492" s="81"/>
      <c r="E492" s="81"/>
      <c r="F492" s="81"/>
    </row>
    <row r="493" spans="1:6" ht="15" customHeight="1">
      <c r="A493" s="81"/>
      <c r="B493" s="82"/>
      <c r="C493" s="81"/>
      <c r="D493" s="81"/>
      <c r="E493" s="81"/>
      <c r="F493" s="81"/>
    </row>
    <row r="494" spans="1:6" ht="15" customHeight="1">
      <c r="A494" s="81"/>
      <c r="B494" s="82"/>
      <c r="C494" s="81"/>
      <c r="D494" s="81"/>
      <c r="E494" s="81"/>
      <c r="F494" s="81"/>
    </row>
    <row r="495" spans="1:6" ht="15" customHeight="1">
      <c r="A495" s="81"/>
      <c r="B495" s="82"/>
      <c r="C495" s="81"/>
      <c r="D495" s="81"/>
      <c r="E495" s="81"/>
      <c r="F495" s="81"/>
    </row>
    <row r="496" spans="1:6" ht="15" customHeight="1">
      <c r="A496" s="81"/>
      <c r="B496" s="82"/>
      <c r="C496" s="81"/>
      <c r="D496" s="81"/>
      <c r="E496" s="81"/>
      <c r="F496" s="81"/>
    </row>
    <row r="497" spans="1:6" ht="15" customHeight="1">
      <c r="A497" s="81"/>
      <c r="B497" s="82"/>
      <c r="C497" s="81"/>
      <c r="D497" s="81"/>
      <c r="E497" s="81"/>
      <c r="F497" s="81"/>
    </row>
    <row r="498" spans="1:6" ht="15" customHeight="1">
      <c r="A498" s="81"/>
      <c r="B498" s="82"/>
      <c r="C498" s="81"/>
      <c r="D498" s="81"/>
      <c r="E498" s="81"/>
      <c r="F498" s="81"/>
    </row>
    <row r="499" spans="1:6" ht="15" customHeight="1">
      <c r="A499" s="81"/>
      <c r="B499" s="82"/>
      <c r="C499" s="81"/>
      <c r="D499" s="81"/>
      <c r="E499" s="81"/>
      <c r="F499" s="81"/>
    </row>
    <row r="500" spans="1:6" ht="15" customHeight="1">
      <c r="A500" s="81"/>
      <c r="B500" s="82"/>
      <c r="C500" s="81"/>
      <c r="D500" s="81"/>
      <c r="E500" s="81"/>
      <c r="F500" s="81"/>
    </row>
    <row r="501" spans="1:6" ht="15" customHeight="1">
      <c r="A501" s="81"/>
      <c r="B501" s="82"/>
      <c r="C501" s="81"/>
      <c r="D501" s="81"/>
      <c r="E501" s="81"/>
      <c r="F501" s="81"/>
    </row>
    <row r="502" spans="1:6" ht="15" customHeight="1">
      <c r="A502" s="81"/>
      <c r="B502" s="82"/>
      <c r="C502" s="81"/>
      <c r="D502" s="81"/>
      <c r="E502" s="81"/>
      <c r="F502" s="81"/>
    </row>
    <row r="503" spans="1:6" ht="15" customHeight="1">
      <c r="A503" s="81"/>
      <c r="B503" s="82"/>
      <c r="C503" s="81"/>
      <c r="D503" s="81"/>
      <c r="E503" s="81"/>
      <c r="F503" s="81"/>
    </row>
    <row r="504" spans="1:6" ht="15" customHeight="1">
      <c r="A504" s="81"/>
      <c r="B504" s="82"/>
      <c r="C504" s="81"/>
      <c r="D504" s="81"/>
      <c r="E504" s="81"/>
      <c r="F504" s="81"/>
    </row>
    <row r="505" spans="1:6" ht="15" customHeight="1">
      <c r="A505" s="81"/>
      <c r="B505" s="82"/>
      <c r="C505" s="81"/>
      <c r="D505" s="81"/>
      <c r="E505" s="81"/>
      <c r="F505" s="81"/>
    </row>
    <row r="506" spans="1:6" ht="15" customHeight="1">
      <c r="A506" s="81"/>
      <c r="B506" s="82"/>
      <c r="C506" s="81"/>
      <c r="D506" s="81"/>
      <c r="E506" s="81"/>
      <c r="F506" s="81"/>
    </row>
    <row r="507" spans="1:6" ht="15" customHeight="1">
      <c r="A507" s="81"/>
      <c r="B507" s="82"/>
      <c r="C507" s="81"/>
      <c r="D507" s="81"/>
      <c r="E507" s="81"/>
      <c r="F507" s="81"/>
    </row>
    <row r="508" spans="1:6" ht="15" customHeight="1">
      <c r="A508" s="81"/>
      <c r="B508" s="82"/>
      <c r="C508" s="81"/>
      <c r="D508" s="81"/>
      <c r="E508" s="81"/>
      <c r="F508" s="81"/>
    </row>
    <row r="509" spans="1:6" ht="15" customHeight="1">
      <c r="A509" s="81"/>
      <c r="B509" s="82"/>
      <c r="C509" s="81"/>
      <c r="D509" s="81"/>
      <c r="E509" s="81"/>
      <c r="F509" s="81"/>
    </row>
    <row r="510" spans="1:6" ht="15" customHeight="1">
      <c r="A510" s="81"/>
      <c r="B510" s="82"/>
      <c r="C510" s="81"/>
      <c r="D510" s="81"/>
      <c r="E510" s="81"/>
      <c r="F510" s="81"/>
    </row>
    <row r="511" spans="1:6" ht="15" customHeight="1">
      <c r="A511" s="81"/>
      <c r="B511" s="82"/>
      <c r="C511" s="81"/>
      <c r="D511" s="81"/>
      <c r="E511" s="81"/>
      <c r="F511" s="81"/>
    </row>
    <row r="512" spans="1:6" ht="15" customHeight="1">
      <c r="A512" s="81"/>
      <c r="B512" s="82"/>
      <c r="C512" s="81"/>
      <c r="D512" s="81"/>
      <c r="E512" s="81"/>
      <c r="F512" s="81"/>
    </row>
    <row r="513" spans="1:6" ht="15" customHeight="1">
      <c r="A513" s="81"/>
      <c r="B513" s="82"/>
      <c r="C513" s="81"/>
      <c r="D513" s="81"/>
      <c r="E513" s="81"/>
      <c r="F513" s="81"/>
    </row>
    <row r="514" spans="1:6" ht="15" customHeight="1">
      <c r="A514" s="81"/>
      <c r="B514" s="82"/>
      <c r="C514" s="81"/>
      <c r="D514" s="81"/>
      <c r="E514" s="81"/>
      <c r="F514" s="81"/>
    </row>
    <row r="515" spans="1:6" ht="15" customHeight="1">
      <c r="A515" s="81"/>
      <c r="B515" s="82"/>
      <c r="C515" s="81"/>
      <c r="D515" s="81"/>
      <c r="E515" s="81"/>
      <c r="F515" s="81"/>
    </row>
    <row r="516" spans="1:6" ht="15" customHeight="1">
      <c r="A516" s="81"/>
      <c r="B516" s="82"/>
      <c r="C516" s="81"/>
      <c r="D516" s="81"/>
      <c r="E516" s="81"/>
      <c r="F516" s="81"/>
    </row>
    <row r="517" spans="1:6" ht="15" customHeight="1">
      <c r="A517" s="81"/>
      <c r="B517" s="82"/>
      <c r="C517" s="81"/>
      <c r="D517" s="81"/>
      <c r="E517" s="81"/>
      <c r="F517" s="81"/>
    </row>
    <row r="518" spans="1:6" ht="15" customHeight="1">
      <c r="A518" s="81"/>
      <c r="B518" s="82"/>
      <c r="C518" s="81"/>
      <c r="D518" s="81"/>
      <c r="E518" s="81"/>
      <c r="F518" s="81"/>
    </row>
    <row r="519" spans="1:6" ht="15" customHeight="1">
      <c r="A519" s="81"/>
      <c r="B519" s="82"/>
      <c r="C519" s="81"/>
      <c r="D519" s="81"/>
      <c r="E519" s="81"/>
      <c r="F519" s="81"/>
    </row>
    <row r="520" spans="1:6" ht="15" customHeight="1">
      <c r="A520" s="81"/>
      <c r="B520" s="82"/>
      <c r="C520" s="81"/>
      <c r="D520" s="81"/>
      <c r="E520" s="81"/>
      <c r="F520" s="81"/>
    </row>
    <row r="521" spans="1:6" ht="15" customHeight="1">
      <c r="A521" s="81"/>
      <c r="B521" s="82"/>
      <c r="C521" s="81"/>
      <c r="D521" s="81"/>
      <c r="E521" s="81"/>
      <c r="F521" s="81"/>
    </row>
    <row r="522" spans="1:6" ht="15" customHeight="1">
      <c r="A522" s="81"/>
      <c r="B522" s="82"/>
      <c r="C522" s="81"/>
      <c r="D522" s="81"/>
      <c r="E522" s="81"/>
      <c r="F522" s="81"/>
    </row>
    <row r="523" spans="1:6" ht="15" customHeight="1">
      <c r="A523" s="81"/>
      <c r="B523" s="82"/>
      <c r="C523" s="81"/>
      <c r="D523" s="81"/>
      <c r="E523" s="81"/>
      <c r="F523" s="81"/>
    </row>
    <row r="526" spans="1:6" ht="19.5" customHeight="1">
      <c r="A526" s="296" t="s">
        <v>2050</v>
      </c>
      <c r="B526" s="262"/>
      <c r="C526" s="262"/>
      <c r="D526" s="262"/>
      <c r="E526" s="262"/>
      <c r="F526" s="262"/>
    </row>
    <row r="527" spans="1:6" ht="25.5" customHeight="1">
      <c r="A527" s="80" t="s">
        <v>1987</v>
      </c>
      <c r="B527" s="80" t="s">
        <v>1427</v>
      </c>
      <c r="C527" s="80" t="s">
        <v>1603</v>
      </c>
      <c r="D527" s="80" t="s">
        <v>1428</v>
      </c>
      <c r="E527" s="80" t="s">
        <v>175</v>
      </c>
      <c r="F527" s="80" t="s">
        <v>1942</v>
      </c>
    </row>
    <row r="528" spans="1:6" ht="15" customHeight="1">
      <c r="A528" s="81"/>
      <c r="B528" s="81"/>
      <c r="C528" s="81"/>
      <c r="D528" s="82"/>
      <c r="E528" s="81"/>
      <c r="F528" s="81"/>
    </row>
    <row r="529" spans="1:6" ht="15" customHeight="1">
      <c r="A529" s="81"/>
      <c r="B529" s="81"/>
      <c r="C529" s="81"/>
      <c r="D529" s="82"/>
      <c r="E529" s="81"/>
      <c r="F529" s="81"/>
    </row>
    <row r="530" spans="1:6" ht="15" customHeight="1">
      <c r="A530" s="81"/>
      <c r="B530" s="81"/>
      <c r="C530" s="81"/>
      <c r="D530" s="82"/>
      <c r="E530" s="81"/>
      <c r="F530" s="81"/>
    </row>
    <row r="531" spans="1:6" ht="15" customHeight="1">
      <c r="A531" s="81"/>
      <c r="B531" s="81"/>
      <c r="C531" s="81"/>
      <c r="D531" s="82"/>
      <c r="E531" s="81"/>
      <c r="F531" s="81"/>
    </row>
    <row r="532" spans="1:6" ht="15" customHeight="1">
      <c r="A532" s="81"/>
      <c r="B532" s="81"/>
      <c r="C532" s="81"/>
      <c r="D532" s="82"/>
      <c r="E532" s="81"/>
      <c r="F532" s="81"/>
    </row>
    <row r="533" spans="1:6" ht="15" customHeight="1">
      <c r="A533" s="81"/>
      <c r="B533" s="81"/>
      <c r="C533" s="81"/>
      <c r="D533" s="82"/>
      <c r="E533" s="81"/>
      <c r="F533" s="81"/>
    </row>
    <row r="534" spans="1:6" ht="15" customHeight="1">
      <c r="A534" s="81"/>
      <c r="B534" s="81"/>
      <c r="C534" s="81"/>
      <c r="D534" s="82"/>
      <c r="E534" s="81"/>
      <c r="F534" s="81"/>
    </row>
    <row r="535" spans="1:6" ht="15" customHeight="1">
      <c r="A535" s="81"/>
      <c r="B535" s="81"/>
      <c r="C535" s="81"/>
      <c r="D535" s="82"/>
      <c r="E535" s="81"/>
      <c r="F535" s="81"/>
    </row>
    <row r="536" spans="1:6" ht="15" customHeight="1">
      <c r="A536" s="81"/>
      <c r="B536" s="81"/>
      <c r="C536" s="81"/>
      <c r="D536" s="82"/>
      <c r="E536" s="81"/>
      <c r="F536" s="81"/>
    </row>
    <row r="537" spans="1:6" ht="15" customHeight="1">
      <c r="A537" s="81"/>
      <c r="B537" s="81"/>
      <c r="C537" s="81"/>
      <c r="D537" s="82"/>
      <c r="E537" s="81"/>
      <c r="F537" s="81"/>
    </row>
    <row r="538" spans="1:6" ht="15" customHeight="1">
      <c r="A538" s="81"/>
      <c r="B538" s="81"/>
      <c r="C538" s="81"/>
      <c r="D538" s="82"/>
      <c r="E538" s="81"/>
      <c r="F538" s="81"/>
    </row>
    <row r="539" spans="1:6" ht="15" customHeight="1">
      <c r="A539" s="81"/>
      <c r="B539" s="81"/>
      <c r="C539" s="81"/>
      <c r="D539" s="82"/>
      <c r="E539" s="81"/>
      <c r="F539" s="81"/>
    </row>
    <row r="540" spans="1:6" ht="15" customHeight="1">
      <c r="A540" s="81"/>
      <c r="B540" s="81"/>
      <c r="C540" s="81"/>
      <c r="D540" s="82"/>
      <c r="E540" s="81"/>
      <c r="F540" s="81"/>
    </row>
    <row r="541" spans="1:6" ht="15" customHeight="1">
      <c r="A541" s="81"/>
      <c r="B541" s="81"/>
      <c r="C541" s="81"/>
      <c r="D541" s="82"/>
      <c r="E541" s="81"/>
      <c r="F541" s="81"/>
    </row>
    <row r="542" spans="1:6" ht="15" customHeight="1">
      <c r="A542" s="81"/>
      <c r="B542" s="81"/>
      <c r="C542" s="81"/>
      <c r="D542" s="82"/>
      <c r="E542" s="81"/>
      <c r="F542" s="81"/>
    </row>
    <row r="543" spans="1:6" ht="15" customHeight="1">
      <c r="A543" s="81"/>
      <c r="B543" s="81"/>
      <c r="C543" s="81"/>
      <c r="D543" s="82"/>
      <c r="E543" s="81"/>
      <c r="F543" s="81"/>
    </row>
    <row r="544" spans="1:6" ht="15" customHeight="1">
      <c r="A544" s="81"/>
      <c r="B544" s="81"/>
      <c r="C544" s="81"/>
      <c r="D544" s="82"/>
      <c r="E544" s="81"/>
      <c r="F544" s="81"/>
    </row>
    <row r="545" spans="1:6" ht="15" customHeight="1">
      <c r="A545" s="81"/>
      <c r="B545" s="81"/>
      <c r="C545" s="81"/>
      <c r="D545" s="82"/>
      <c r="E545" s="81"/>
      <c r="F545" s="81"/>
    </row>
    <row r="546" spans="1:6" ht="15" customHeight="1">
      <c r="A546" s="81"/>
      <c r="B546" s="81"/>
      <c r="C546" s="81"/>
      <c r="D546" s="82"/>
      <c r="E546" s="81"/>
      <c r="F546" s="81"/>
    </row>
    <row r="547" spans="1:6" ht="15" customHeight="1">
      <c r="A547" s="81"/>
      <c r="B547" s="81"/>
      <c r="C547" s="81"/>
      <c r="D547" s="82"/>
      <c r="E547" s="81"/>
      <c r="F547" s="81"/>
    </row>
    <row r="548" spans="1:6" ht="15" customHeight="1">
      <c r="A548" s="81"/>
      <c r="B548" s="81"/>
      <c r="C548" s="81"/>
      <c r="D548" s="82"/>
      <c r="E548" s="81"/>
      <c r="F548" s="81"/>
    </row>
    <row r="549" spans="1:6" ht="15" customHeight="1">
      <c r="A549" s="81"/>
      <c r="B549" s="81"/>
      <c r="C549" s="81"/>
      <c r="D549" s="82"/>
      <c r="E549" s="81"/>
      <c r="F549" s="81"/>
    </row>
    <row r="550" spans="1:6" ht="15" customHeight="1">
      <c r="A550" s="81"/>
      <c r="B550" s="81"/>
      <c r="C550" s="81"/>
      <c r="D550" s="82"/>
      <c r="E550" s="81"/>
      <c r="F550" s="81"/>
    </row>
    <row r="551" spans="1:6" ht="15" customHeight="1">
      <c r="A551" s="81"/>
      <c r="B551" s="81"/>
      <c r="C551" s="81"/>
      <c r="D551" s="82"/>
      <c r="E551" s="81"/>
      <c r="F551" s="81"/>
    </row>
    <row r="552" spans="1:6" ht="15" customHeight="1">
      <c r="A552" s="81"/>
      <c r="B552" s="81"/>
      <c r="C552" s="81"/>
      <c r="D552" s="82"/>
      <c r="E552" s="81"/>
      <c r="F552" s="81"/>
    </row>
    <row r="553" spans="1:6" ht="15" customHeight="1">
      <c r="A553" s="81"/>
      <c r="B553" s="81"/>
      <c r="C553" s="81"/>
      <c r="D553" s="82"/>
      <c r="E553" s="81"/>
      <c r="F553" s="81"/>
    </row>
    <row r="554" spans="1:6" ht="15" customHeight="1">
      <c r="A554" s="81"/>
      <c r="B554" s="81"/>
      <c r="C554" s="81"/>
      <c r="D554" s="82"/>
      <c r="E554" s="81"/>
      <c r="F554" s="81"/>
    </row>
    <row r="555" spans="1:6" ht="15" customHeight="1">
      <c r="A555" s="81"/>
      <c r="B555" s="81"/>
      <c r="C555" s="81"/>
      <c r="D555" s="82"/>
      <c r="E555" s="81"/>
      <c r="F555" s="81"/>
    </row>
    <row r="556" spans="1:6" ht="15" customHeight="1">
      <c r="A556" s="81"/>
      <c r="B556" s="81"/>
      <c r="C556" s="81"/>
      <c r="D556" s="82"/>
      <c r="E556" s="81"/>
      <c r="F556" s="81"/>
    </row>
    <row r="557" spans="1:6" ht="15" customHeight="1">
      <c r="A557" s="81"/>
      <c r="B557" s="81"/>
      <c r="C557" s="81"/>
      <c r="D557" s="82"/>
      <c r="E557" s="81"/>
      <c r="F557" s="81"/>
    </row>
    <row r="560" spans="1:6" ht="19.5" customHeight="1">
      <c r="A560" s="296" t="s">
        <v>2051</v>
      </c>
      <c r="B560" s="262"/>
    </row>
    <row r="561" spans="1:2" ht="15" customHeight="1">
      <c r="A561" s="86" t="s">
        <v>1716</v>
      </c>
      <c r="B561" s="86" t="s">
        <v>2052</v>
      </c>
    </row>
    <row r="562" spans="1:2" ht="15" customHeight="1">
      <c r="A562" s="87" t="s">
        <v>2053</v>
      </c>
      <c r="B562" s="76">
        <f>SUM(tbl_Donateurs_Demandes[Montant demande])</f>
        <v>0</v>
      </c>
    </row>
    <row r="563" spans="1:2" ht="15" customHeight="1">
      <c r="A563" s="87" t="s">
        <v>2054</v>
      </c>
      <c r="B563" s="76">
        <f>SUM(tbl_Donateurs_Demandes[Montant accorde])</f>
        <v>0</v>
      </c>
    </row>
    <row r="564" spans="1:2" ht="15" customHeight="1">
      <c r="A564" s="87" t="s">
        <v>2055</v>
      </c>
      <c r="B564" s="76">
        <f>SUM(tbl_Donateurs_Decaissements[Montant recu])</f>
        <v>0</v>
      </c>
    </row>
    <row r="565" spans="1:2" ht="15" customHeight="1">
      <c r="A565" s="87" t="s">
        <v>2056</v>
      </c>
      <c r="B565" s="76">
        <f>SUM(tbl_Donateurs_Demandes[Montant accorde])-SUM(tbl_Donateurs_Decaissements[Montant recu])</f>
        <v>0</v>
      </c>
    </row>
    <row r="566" spans="1:2" ht="15" customHeight="1">
      <c r="A566" s="87" t="s">
        <v>2057</v>
      </c>
      <c r="B566" s="88">
        <f>COUNTIF(tbl_Donateurs_Demandes[Statut],"Approuvee")+COUNTIF(tbl_Donateurs_Demandes[Statut],"Financement recu")</f>
        <v>0</v>
      </c>
    </row>
    <row r="569" spans="1:2" ht="19.5" customHeight="1">
      <c r="A569" s="296" t="s">
        <v>2058</v>
      </c>
      <c r="B569" s="262"/>
    </row>
    <row r="570" spans="1:2" ht="15" customHeight="1">
      <c r="A570" s="86" t="s">
        <v>1716</v>
      </c>
      <c r="B570" s="86" t="s">
        <v>1280</v>
      </c>
    </row>
    <row r="571" spans="1:2" ht="15" customHeight="1">
      <c r="A571" s="87" t="s">
        <v>2059</v>
      </c>
      <c r="B571" s="88">
        <f>COUNTIF(tbl_Donateurs_Opportunites[ID Donateur],"&lt;&gt;")</f>
        <v>0</v>
      </c>
    </row>
    <row r="572" spans="1:2" ht="15" customHeight="1">
      <c r="A572" s="87" t="s">
        <v>1973</v>
      </c>
      <c r="B572" s="88">
        <f>COUNTIF(tbl_Donateurs_Opportunites[Statut],"Ouverte")</f>
        <v>0</v>
      </c>
    </row>
    <row r="573" spans="1:2" ht="15" customHeight="1">
      <c r="A573" s="87" t="s">
        <v>2060</v>
      </c>
      <c r="B573" s="88">
        <f>COUNTIF(tbl_Donateurs_Opportunites[Statut],"A venir")</f>
        <v>0</v>
      </c>
    </row>
    <row r="574" spans="1:2" ht="15" customHeight="1">
      <c r="A574" s="87" t="s">
        <v>2061</v>
      </c>
      <c r="B574" s="88">
        <f>COUNTIF(tbl_Donateurs_Opportunites[Statut],"Cloturee")</f>
        <v>0</v>
      </c>
    </row>
    <row r="575" spans="1:2" ht="15" customHeight="1">
      <c r="A575" s="87" t="s">
        <v>2062</v>
      </c>
      <c r="B575" s="88">
        <f>COUNTIF(tbl_Donateurs_Opportunites[Candidater],"Oui")</f>
        <v>0</v>
      </c>
    </row>
    <row r="576" spans="1:2" ht="15" customHeight="1">
      <c r="A576" s="87" t="s">
        <v>1974</v>
      </c>
      <c r="B576" s="88">
        <f>COUNTIFS(tbl_Donateurs_Demandes[Statut],"&lt;&gt;A preparer",tbl_Donateurs_Demandes[Statut],"&lt;&gt;En preparation")</f>
        <v>60</v>
      </c>
    </row>
    <row r="577" spans="1:5" ht="15" customHeight="1">
      <c r="A577" s="87" t="s">
        <v>2063</v>
      </c>
      <c r="B577" s="88">
        <f>COUNTIF(tbl_Donateurs_Demandes[Statut],"Approuvee")+COUNTIF(tbl_Donateurs_Demandes[Statut],"Financement recu")</f>
        <v>0</v>
      </c>
    </row>
    <row r="578" spans="1:5" ht="15" customHeight="1">
      <c r="A578" s="87" t="s">
        <v>2064</v>
      </c>
      <c r="B578" s="88">
        <f>COUNTIF(tbl_Donateurs_Demandes[Statut],"Rejetee")</f>
        <v>0</v>
      </c>
    </row>
    <row r="579" spans="1:5" ht="15" customHeight="1">
      <c r="A579" s="87" t="s">
        <v>2065</v>
      </c>
      <c r="B579" s="77">
        <f>IFERROR((COUNTIF(tbl_Donateurs_Demandes[Statut],"Approuvee")+COUNTIF(tbl_Donateurs_Demandes[Statut],"Financement recu"))/COUNTIFS(tbl_Donateurs_Demandes[Statut],"&lt;&gt;A preparer",tbl_Donateurs_Demandes[Statut],"&lt;&gt;En preparation"),"")</f>
        <v>0</v>
      </c>
    </row>
    <row r="581" spans="1:5" ht="19.5" customHeight="1">
      <c r="A581" s="296" t="s">
        <v>2066</v>
      </c>
      <c r="B581" s="262"/>
      <c r="C581" s="262"/>
      <c r="D581" s="262"/>
      <c r="E581" s="262"/>
    </row>
    <row r="582" spans="1:5" ht="23.25" customHeight="1">
      <c r="A582" s="80" t="s">
        <v>1400</v>
      </c>
      <c r="B582" s="80" t="s">
        <v>2067</v>
      </c>
      <c r="C582" s="80" t="s">
        <v>2068</v>
      </c>
      <c r="D582" s="80" t="s">
        <v>1975</v>
      </c>
      <c r="E582" s="80" t="s">
        <v>2069</v>
      </c>
    </row>
    <row r="583" spans="1:5" ht="15" customHeight="1">
      <c r="A583" s="87" t="s">
        <v>11</v>
      </c>
      <c r="B583" s="75">
        <f>COUNTIF(tbl_Donateurs_Opportunites[Domaine],A583)</f>
        <v>0</v>
      </c>
      <c r="C583" s="75">
        <f>COUNTIFS(tbl_Donateurs[Domaine finance principal],A583)</f>
        <v>0</v>
      </c>
      <c r="D583" s="75">
        <f>COUNTIFS(tbl_Donateurs[Domaine finance principal],A583,tbl_Donateurs[Statut du donateur],"Financement obtenu")</f>
        <v>0</v>
      </c>
      <c r="E583" s="76">
        <f>SUMIFS(tbl_Donateurs[Montant total accorde (FCFA)],tbl_Donateurs[Domaine finance principal],A583)</f>
        <v>0</v>
      </c>
    </row>
    <row r="584" spans="1:5" ht="15" customHeight="1">
      <c r="A584" s="87" t="s">
        <v>15</v>
      </c>
      <c r="B584" s="75">
        <f>COUNTIF(tbl_Donateurs_Opportunites[Domaine],A584)</f>
        <v>0</v>
      </c>
      <c r="C584" s="75">
        <f>COUNTIFS(tbl_Donateurs[Domaine finance principal],A584)</f>
        <v>0</v>
      </c>
      <c r="D584" s="75">
        <f>COUNTIFS(tbl_Donateurs[Domaine finance principal],A584,tbl_Donateurs[Statut du donateur],"Financement obtenu")</f>
        <v>0</v>
      </c>
      <c r="E584" s="76">
        <f>SUMIFS(tbl_Donateurs[Montant total accorde (FCFA)],tbl_Donateurs[Domaine finance principal],A584)</f>
        <v>0</v>
      </c>
    </row>
    <row r="585" spans="1:5" ht="15" customHeight="1">
      <c r="A585" s="87" t="s">
        <v>19</v>
      </c>
      <c r="B585" s="75">
        <f>COUNTIF(tbl_Donateurs_Opportunites[Domaine],A585)</f>
        <v>0</v>
      </c>
      <c r="C585" s="75">
        <f>COUNTIFS(tbl_Donateurs[Domaine finance principal],A585)</f>
        <v>0</v>
      </c>
      <c r="D585" s="75">
        <f>COUNTIFS(tbl_Donateurs[Domaine finance principal],A585,tbl_Donateurs[Statut du donateur],"Financement obtenu")</f>
        <v>0</v>
      </c>
      <c r="E585" s="76">
        <f>SUMIFS(tbl_Donateurs[Montant total accorde (FCFA)],tbl_Donateurs[Domaine finance principal],A585)</f>
        <v>0</v>
      </c>
    </row>
    <row r="586" spans="1:5" ht="15" customHeight="1">
      <c r="A586" s="87" t="s">
        <v>24</v>
      </c>
      <c r="B586" s="75">
        <f>COUNTIF(tbl_Donateurs_Opportunites[Domaine],A586)</f>
        <v>0</v>
      </c>
      <c r="C586" s="75">
        <f>COUNTIFS(tbl_Donateurs[Domaine finance principal],A586)</f>
        <v>0</v>
      </c>
      <c r="D586" s="75">
        <f>COUNTIFS(tbl_Donateurs[Domaine finance principal],A586,tbl_Donateurs[Statut du donateur],"Financement obtenu")</f>
        <v>0</v>
      </c>
      <c r="E586" s="76">
        <f>SUMIFS(tbl_Donateurs[Montant total accorde (FCFA)],tbl_Donateurs[Domaine finance principal],A586)</f>
        <v>0</v>
      </c>
    </row>
    <row r="587" spans="1:5" ht="15" customHeight="1">
      <c r="A587" s="87" t="s">
        <v>32</v>
      </c>
      <c r="B587" s="75">
        <f>COUNTIF(tbl_Donateurs_Opportunites[Domaine],A587)</f>
        <v>0</v>
      </c>
      <c r="C587" s="75">
        <f>COUNTIFS(tbl_Donateurs[Domaine finance principal],A587)</f>
        <v>0</v>
      </c>
      <c r="D587" s="75">
        <f>COUNTIFS(tbl_Donateurs[Domaine finance principal],A587,tbl_Donateurs[Statut du donateur],"Financement obtenu")</f>
        <v>0</v>
      </c>
      <c r="E587" s="76">
        <f>SUMIFS(tbl_Donateurs[Montant total accorde (FCFA)],tbl_Donateurs[Domaine finance principal],A587)</f>
        <v>0</v>
      </c>
    </row>
    <row r="588" spans="1:5" ht="15" customHeight="1">
      <c r="A588" s="87" t="s">
        <v>34</v>
      </c>
      <c r="B588" s="75">
        <f>COUNTIF(tbl_Donateurs_Opportunites[Domaine],A588)</f>
        <v>0</v>
      </c>
      <c r="C588" s="75">
        <f>COUNTIFS(tbl_Donateurs[Domaine finance principal],A588)</f>
        <v>0</v>
      </c>
      <c r="D588" s="75">
        <f>COUNTIFS(tbl_Donateurs[Domaine finance principal],A588,tbl_Donateurs[Statut du donateur],"Financement obtenu")</f>
        <v>0</v>
      </c>
      <c r="E588" s="76">
        <f>SUMIFS(tbl_Donateurs[Montant total accorde (FCFA)],tbl_Donateurs[Domaine finance principal],A588)</f>
        <v>0</v>
      </c>
    </row>
    <row r="589" spans="1:5" ht="15" customHeight="1">
      <c r="A589" s="87" t="s">
        <v>36</v>
      </c>
      <c r="B589" s="75">
        <f>COUNTIF(tbl_Donateurs_Opportunites[Domaine],A589)</f>
        <v>0</v>
      </c>
      <c r="C589" s="75">
        <f>COUNTIFS(tbl_Donateurs[Domaine finance principal],A589)</f>
        <v>0</v>
      </c>
      <c r="D589" s="75">
        <f>COUNTIFS(tbl_Donateurs[Domaine finance principal],A589,tbl_Donateurs[Statut du donateur],"Financement obtenu")</f>
        <v>0</v>
      </c>
      <c r="E589" s="76">
        <f>SUMIFS(tbl_Donateurs[Montant total accorde (FCFA)],tbl_Donateurs[Domaine finance principal],A589)</f>
        <v>0</v>
      </c>
    </row>
    <row r="590" spans="1:5" ht="15" customHeight="1">
      <c r="A590" s="87" t="s">
        <v>38</v>
      </c>
      <c r="B590" s="75">
        <f>COUNTIF(tbl_Donateurs_Opportunites[Domaine],A590)</f>
        <v>0</v>
      </c>
      <c r="C590" s="75">
        <f>COUNTIFS(tbl_Donateurs[Domaine finance principal],A590)</f>
        <v>0</v>
      </c>
      <c r="D590" s="75">
        <f>COUNTIFS(tbl_Donateurs[Domaine finance principal],A590,tbl_Donateurs[Statut du donateur],"Financement obtenu")</f>
        <v>0</v>
      </c>
      <c r="E590" s="76">
        <f>SUMIFS(tbl_Donateurs[Montant total accorde (FCFA)],tbl_Donateurs[Domaine finance principal],A590)</f>
        <v>0</v>
      </c>
    </row>
    <row r="591" spans="1:5" ht="15" customHeight="1">
      <c r="A591" s="87" t="s">
        <v>46</v>
      </c>
      <c r="B591" s="75">
        <f>COUNTIF(tbl_Donateurs_Opportunites[Domaine],A591)</f>
        <v>0</v>
      </c>
      <c r="C591" s="75">
        <f>COUNTIFS(tbl_Donateurs[Domaine finance principal],A591)</f>
        <v>0</v>
      </c>
      <c r="D591" s="75">
        <f>COUNTIFS(tbl_Donateurs[Domaine finance principal],A591,tbl_Donateurs[Statut du donateur],"Financement obtenu")</f>
        <v>0</v>
      </c>
      <c r="E591" s="76">
        <f>SUMIFS(tbl_Donateurs[Montant total accorde (FCFA)],tbl_Donateurs[Domaine finance principal],A591)</f>
        <v>0</v>
      </c>
    </row>
    <row r="592" spans="1:5" ht="15" customHeight="1">
      <c r="A592" s="87" t="s">
        <v>48</v>
      </c>
      <c r="B592" s="75">
        <f>COUNTIF(tbl_Donateurs_Opportunites[Domaine],A592)</f>
        <v>0</v>
      </c>
      <c r="C592" s="75">
        <f>COUNTIFS(tbl_Donateurs[Domaine finance principal],A592)</f>
        <v>0</v>
      </c>
      <c r="D592" s="75">
        <f>COUNTIFS(tbl_Donateurs[Domaine finance principal],A592,tbl_Donateurs[Statut du donateur],"Financement obtenu")</f>
        <v>0</v>
      </c>
      <c r="E592" s="76">
        <f>SUMIFS(tbl_Donateurs[Montant total accorde (FCFA)],tbl_Donateurs[Domaine finance principal],A592)</f>
        <v>0</v>
      </c>
    </row>
    <row r="593" spans="1:5" ht="15" customHeight="1">
      <c r="A593" s="87" t="s">
        <v>50</v>
      </c>
      <c r="B593" s="75">
        <f>COUNTIF(tbl_Donateurs_Opportunites[Domaine],A593)</f>
        <v>0</v>
      </c>
      <c r="C593" s="75">
        <f>COUNTIFS(tbl_Donateurs[Domaine finance principal],A593)</f>
        <v>0</v>
      </c>
      <c r="D593" s="75">
        <f>COUNTIFS(tbl_Donateurs[Domaine finance principal],A593,tbl_Donateurs[Statut du donateur],"Financement obtenu")</f>
        <v>0</v>
      </c>
      <c r="E593" s="76">
        <f>SUMIFS(tbl_Donateurs[Montant total accorde (FCFA)],tbl_Donateurs[Domaine finance principal],A593)</f>
        <v>0</v>
      </c>
    </row>
    <row r="594" spans="1:5" ht="15" customHeight="1">
      <c r="A594" s="87" t="s">
        <v>52</v>
      </c>
      <c r="B594" s="75">
        <f>COUNTIF(tbl_Donateurs_Opportunites[Domaine],A594)</f>
        <v>0</v>
      </c>
      <c r="C594" s="75">
        <f>COUNTIFS(tbl_Donateurs[Domaine finance principal],A594)</f>
        <v>0</v>
      </c>
      <c r="D594" s="75">
        <f>COUNTIFS(tbl_Donateurs[Domaine finance principal],A594,tbl_Donateurs[Statut du donateur],"Financement obtenu")</f>
        <v>0</v>
      </c>
      <c r="E594" s="76">
        <f>SUMIFS(tbl_Donateurs[Montant total accorde (FCFA)],tbl_Donateurs[Domaine finance principal],A594)</f>
        <v>0</v>
      </c>
    </row>
    <row r="595" spans="1:5" ht="15" customHeight="1">
      <c r="A595" s="87" t="s">
        <v>53</v>
      </c>
      <c r="B595" s="75">
        <f>COUNTIF(tbl_Donateurs_Opportunites[Domaine],A595)</f>
        <v>0</v>
      </c>
      <c r="C595" s="75">
        <f>COUNTIFS(tbl_Donateurs[Domaine finance principal],A595)</f>
        <v>0</v>
      </c>
      <c r="D595" s="75">
        <f>COUNTIFS(tbl_Donateurs[Domaine finance principal],A595,tbl_Donateurs[Statut du donateur],"Financement obtenu")</f>
        <v>0</v>
      </c>
      <c r="E595" s="76">
        <f>SUMIFS(tbl_Donateurs[Montant total accorde (FCFA)],tbl_Donateurs[Domaine finance principal],A595)</f>
        <v>0</v>
      </c>
    </row>
    <row r="596" spans="1:5" ht="15" customHeight="1">
      <c r="A596" s="87" t="s">
        <v>60</v>
      </c>
      <c r="B596" s="75">
        <f>COUNTIF(tbl_Donateurs_Opportunites[Domaine],A596)</f>
        <v>0</v>
      </c>
      <c r="C596" s="75">
        <f>COUNTIFS(tbl_Donateurs[Domaine finance principal],A596)</f>
        <v>0</v>
      </c>
      <c r="D596" s="75">
        <f>COUNTIFS(tbl_Donateurs[Domaine finance principal],A596,tbl_Donateurs[Statut du donateur],"Financement obtenu")</f>
        <v>0</v>
      </c>
      <c r="E596" s="76">
        <f>SUMIFS(tbl_Donateurs[Montant total accorde (FCFA)],tbl_Donateurs[Domaine finance principal],A596)</f>
        <v>0</v>
      </c>
    </row>
    <row r="597" spans="1:5" ht="15" customHeight="1">
      <c r="A597" s="87" t="s">
        <v>61</v>
      </c>
      <c r="B597" s="75">
        <f>COUNTIF(tbl_Donateurs_Opportunites[Domaine],A597)</f>
        <v>0</v>
      </c>
      <c r="C597" s="75">
        <f>COUNTIFS(tbl_Donateurs[Domaine finance principal],A597)</f>
        <v>0</v>
      </c>
      <c r="D597" s="75">
        <f>COUNTIFS(tbl_Donateurs[Domaine finance principal],A597,tbl_Donateurs[Statut du donateur],"Financement obtenu")</f>
        <v>0</v>
      </c>
      <c r="E597" s="76">
        <f>SUMIFS(tbl_Donateurs[Montant total accorde (FCFA)],tbl_Donateurs[Domaine finance principal],A597)</f>
        <v>0</v>
      </c>
    </row>
    <row r="598" spans="1:5" ht="15" customHeight="1">
      <c r="A598" s="87" t="s">
        <v>62</v>
      </c>
      <c r="B598" s="75">
        <f>COUNTIF(tbl_Donateurs_Opportunites[Domaine],A598)</f>
        <v>0</v>
      </c>
      <c r="C598" s="75">
        <f>COUNTIFS(tbl_Donateurs[Domaine finance principal],A598)</f>
        <v>0</v>
      </c>
      <c r="D598" s="75">
        <f>COUNTIFS(tbl_Donateurs[Domaine finance principal],A598,tbl_Donateurs[Statut du donateur],"Financement obtenu")</f>
        <v>0</v>
      </c>
      <c r="E598" s="76">
        <f>SUMIFS(tbl_Donateurs[Montant total accorde (FCFA)],tbl_Donateurs[Domaine finance principal],A598)</f>
        <v>0</v>
      </c>
    </row>
    <row r="599" spans="1:5" ht="15" customHeight="1">
      <c r="A599" s="87" t="s">
        <v>63</v>
      </c>
      <c r="B599" s="75">
        <f>COUNTIF(tbl_Donateurs_Opportunites[Domaine],A599)</f>
        <v>0</v>
      </c>
      <c r="C599" s="75">
        <f>COUNTIFS(tbl_Donateurs[Domaine finance principal],A599)</f>
        <v>0</v>
      </c>
      <c r="D599" s="75">
        <f>COUNTIFS(tbl_Donateurs[Domaine finance principal],A599,tbl_Donateurs[Statut du donateur],"Financement obtenu")</f>
        <v>0</v>
      </c>
      <c r="E599" s="76">
        <f>SUMIFS(tbl_Donateurs[Montant total accorde (FCFA)],tbl_Donateurs[Domaine finance principal],A599)</f>
        <v>0</v>
      </c>
    </row>
    <row r="600" spans="1:5" ht="15" customHeight="1">
      <c r="A600" s="87" t="s">
        <v>64</v>
      </c>
      <c r="B600" s="75">
        <f>COUNTIF(tbl_Donateurs_Opportunites[Domaine],A600)</f>
        <v>0</v>
      </c>
      <c r="C600" s="75">
        <f>COUNTIFS(tbl_Donateurs[Domaine finance principal],A600)</f>
        <v>0</v>
      </c>
      <c r="D600" s="75">
        <f>COUNTIFS(tbl_Donateurs[Domaine finance principal],A600,tbl_Donateurs[Statut du donateur],"Financement obtenu")</f>
        <v>0</v>
      </c>
      <c r="E600" s="76">
        <f>SUMIFS(tbl_Donateurs[Montant total accorde (FCFA)],tbl_Donateurs[Domaine finance principal],A600)</f>
        <v>0</v>
      </c>
    </row>
    <row r="601" spans="1:5" ht="15" customHeight="1">
      <c r="A601" s="87" t="s">
        <v>67</v>
      </c>
      <c r="B601" s="75">
        <f>COUNTIF(tbl_Donateurs_Opportunites[Domaine],A601)</f>
        <v>0</v>
      </c>
      <c r="C601" s="75">
        <f>COUNTIFS(tbl_Donateurs[Domaine finance principal],A601)</f>
        <v>0</v>
      </c>
      <c r="D601" s="75">
        <f>COUNTIFS(tbl_Donateurs[Domaine finance principal],A601,tbl_Donateurs[Statut du donateur],"Financement obtenu")</f>
        <v>0</v>
      </c>
      <c r="E601" s="76">
        <f>SUMIFS(tbl_Donateurs[Montant total accorde (FCFA)],tbl_Donateurs[Domaine finance principal],A601)</f>
        <v>0</v>
      </c>
    </row>
    <row r="602" spans="1:5" ht="15" customHeight="1">
      <c r="A602" s="87" t="s">
        <v>68</v>
      </c>
      <c r="B602" s="75">
        <f>COUNTIF(tbl_Donateurs_Opportunites[Domaine],A602)</f>
        <v>0</v>
      </c>
      <c r="C602" s="75">
        <f>COUNTIFS(tbl_Donateurs[Domaine finance principal],A602)</f>
        <v>0</v>
      </c>
      <c r="D602" s="75">
        <f>COUNTIFS(tbl_Donateurs[Domaine finance principal],A602,tbl_Donateurs[Statut du donateur],"Financement obtenu")</f>
        <v>0</v>
      </c>
      <c r="E602" s="76">
        <f>SUMIFS(tbl_Donateurs[Montant total accorde (FCFA)],tbl_Donateurs[Domaine finance principal],A602)</f>
        <v>0</v>
      </c>
    </row>
    <row r="603" spans="1:5" ht="15" customHeight="1">
      <c r="A603" s="87" t="s">
        <v>69</v>
      </c>
      <c r="B603" s="75">
        <f>COUNTIF(tbl_Donateurs_Opportunites[Domaine],A603)</f>
        <v>0</v>
      </c>
      <c r="C603" s="75">
        <f>COUNTIFS(tbl_Donateurs[Domaine finance principal],A603)</f>
        <v>0</v>
      </c>
      <c r="D603" s="75">
        <f>COUNTIFS(tbl_Donateurs[Domaine finance principal],A603,tbl_Donateurs[Statut du donateur],"Financement obtenu")</f>
        <v>0</v>
      </c>
      <c r="E603" s="76">
        <f>SUMIFS(tbl_Donateurs[Montant total accorde (FCFA)],tbl_Donateurs[Domaine finance principal],A603)</f>
        <v>0</v>
      </c>
    </row>
    <row r="604" spans="1:5" ht="15" customHeight="1">
      <c r="A604" s="87" t="s">
        <v>70</v>
      </c>
      <c r="B604" s="75">
        <f>COUNTIF(tbl_Donateurs_Opportunites[Domaine],A604)</f>
        <v>0</v>
      </c>
      <c r="C604" s="75">
        <f>COUNTIFS(tbl_Donateurs[Domaine finance principal],A604)</f>
        <v>0</v>
      </c>
      <c r="D604" s="75">
        <f>COUNTIFS(tbl_Donateurs[Domaine finance principal],A604,tbl_Donateurs[Statut du donateur],"Financement obtenu")</f>
        <v>0</v>
      </c>
      <c r="E604" s="76">
        <f>SUMIFS(tbl_Donateurs[Montant total accorde (FCFA)],tbl_Donateurs[Domaine finance principal],A604)</f>
        <v>0</v>
      </c>
    </row>
    <row r="605" spans="1:5" ht="15" customHeight="1">
      <c r="A605" s="87" t="s">
        <v>71</v>
      </c>
      <c r="B605" s="75">
        <f>COUNTIF(tbl_Donateurs_Opportunites[Domaine],A605)</f>
        <v>0</v>
      </c>
      <c r="C605" s="75">
        <f>COUNTIFS(tbl_Donateurs[Domaine finance principal],A605)</f>
        <v>0</v>
      </c>
      <c r="D605" s="75">
        <f>COUNTIFS(tbl_Donateurs[Domaine finance principal],A605,tbl_Donateurs[Statut du donateur],"Financement obtenu")</f>
        <v>0</v>
      </c>
      <c r="E605" s="76">
        <f>SUMIFS(tbl_Donateurs[Montant total accorde (FCFA)],tbl_Donateurs[Domaine finance principal],A605)</f>
        <v>0</v>
      </c>
    </row>
    <row r="606" spans="1:5" ht="15" customHeight="1">
      <c r="A606" s="87" t="s">
        <v>72</v>
      </c>
      <c r="B606" s="75">
        <f>COUNTIF(tbl_Donateurs_Opportunites[Domaine],A606)</f>
        <v>0</v>
      </c>
      <c r="C606" s="75">
        <f>COUNTIFS(tbl_Donateurs[Domaine finance principal],A606)</f>
        <v>0</v>
      </c>
      <c r="D606" s="75">
        <f>COUNTIFS(tbl_Donateurs[Domaine finance principal],A606,tbl_Donateurs[Statut du donateur],"Financement obtenu")</f>
        <v>0</v>
      </c>
      <c r="E606" s="76">
        <f>SUMIFS(tbl_Donateurs[Montant total accorde (FCFA)],tbl_Donateurs[Domaine finance principal],A606)</f>
        <v>0</v>
      </c>
    </row>
    <row r="607" spans="1:5" ht="15" customHeight="1">
      <c r="A607" s="87" t="s">
        <v>73</v>
      </c>
      <c r="B607" s="75">
        <f>COUNTIF(tbl_Donateurs_Opportunites[Domaine],A607)</f>
        <v>0</v>
      </c>
      <c r="C607" s="75">
        <f>COUNTIFS(tbl_Donateurs[Domaine finance principal],A607)</f>
        <v>0</v>
      </c>
      <c r="D607" s="75">
        <f>COUNTIFS(tbl_Donateurs[Domaine finance principal],A607,tbl_Donateurs[Statut du donateur],"Financement obtenu")</f>
        <v>0</v>
      </c>
      <c r="E607" s="76">
        <f>SUMIFS(tbl_Donateurs[Montant total accorde (FCFA)],tbl_Donateurs[Domaine finance principal],A607)</f>
        <v>0</v>
      </c>
    </row>
    <row r="608" spans="1:5" ht="15" customHeight="1">
      <c r="A608" s="87" t="s">
        <v>74</v>
      </c>
      <c r="B608" s="75">
        <f>COUNTIF(tbl_Donateurs_Opportunites[Domaine],A608)</f>
        <v>0</v>
      </c>
      <c r="C608" s="75">
        <f>COUNTIFS(tbl_Donateurs[Domaine finance principal],A608)</f>
        <v>0</v>
      </c>
      <c r="D608" s="75">
        <f>COUNTIFS(tbl_Donateurs[Domaine finance principal],A608,tbl_Donateurs[Statut du donateur],"Financement obtenu")</f>
        <v>0</v>
      </c>
      <c r="E608" s="76">
        <f>SUMIFS(tbl_Donateurs[Montant total accorde (FCFA)],tbl_Donateurs[Domaine finance principal],A608)</f>
        <v>0</v>
      </c>
    </row>
    <row r="609" spans="1:5" ht="15" customHeight="1">
      <c r="A609" s="87" t="s">
        <v>75</v>
      </c>
      <c r="B609" s="75">
        <f>COUNTIF(tbl_Donateurs_Opportunites[Domaine],A609)</f>
        <v>0</v>
      </c>
      <c r="C609" s="75">
        <f>COUNTIFS(tbl_Donateurs[Domaine finance principal],A609)</f>
        <v>0</v>
      </c>
      <c r="D609" s="75">
        <f>COUNTIFS(tbl_Donateurs[Domaine finance principal],A609,tbl_Donateurs[Statut du donateur],"Financement obtenu")</f>
        <v>0</v>
      </c>
      <c r="E609" s="76">
        <f>SUMIFS(tbl_Donateurs[Montant total accorde (FCFA)],tbl_Donateurs[Domaine finance principal],A609)</f>
        <v>0</v>
      </c>
    </row>
    <row r="610" spans="1:5" ht="15" customHeight="1">
      <c r="A610" s="87" t="s">
        <v>76</v>
      </c>
      <c r="B610" s="75">
        <f>COUNTIF(tbl_Donateurs_Opportunites[Domaine],A610)</f>
        <v>0</v>
      </c>
      <c r="C610" s="75">
        <f>COUNTIFS(tbl_Donateurs[Domaine finance principal],A610)</f>
        <v>0</v>
      </c>
      <c r="D610" s="75">
        <f>COUNTIFS(tbl_Donateurs[Domaine finance principal],A610,tbl_Donateurs[Statut du donateur],"Financement obtenu")</f>
        <v>0</v>
      </c>
      <c r="E610" s="76">
        <f>SUMIFS(tbl_Donateurs[Montant total accorde (FCFA)],tbl_Donateurs[Domaine finance principal],A610)</f>
        <v>0</v>
      </c>
    </row>
    <row r="611" spans="1:5" ht="15" customHeight="1">
      <c r="A611" s="87" t="s">
        <v>77</v>
      </c>
      <c r="B611" s="75">
        <f>COUNTIF(tbl_Donateurs_Opportunites[Domaine],A611)</f>
        <v>0</v>
      </c>
      <c r="C611" s="75">
        <f>COUNTIFS(tbl_Donateurs[Domaine finance principal],A611)</f>
        <v>0</v>
      </c>
      <c r="D611" s="75">
        <f>COUNTIFS(tbl_Donateurs[Domaine finance principal],A611,tbl_Donateurs[Statut du donateur],"Financement obtenu")</f>
        <v>0</v>
      </c>
      <c r="E611" s="76">
        <f>SUMIFS(tbl_Donateurs[Montant total accorde (FCFA)],tbl_Donateurs[Domaine finance principal],A611)</f>
        <v>0</v>
      </c>
    </row>
    <row r="612" spans="1:5" ht="15" customHeight="1">
      <c r="A612" s="87" t="s">
        <v>78</v>
      </c>
      <c r="B612" s="75">
        <f>COUNTIF(tbl_Donateurs_Opportunites[Domaine],A612)</f>
        <v>0</v>
      </c>
      <c r="C612" s="75">
        <f>COUNTIFS(tbl_Donateurs[Domaine finance principal],A612)</f>
        <v>0</v>
      </c>
      <c r="D612" s="75">
        <f>COUNTIFS(tbl_Donateurs[Domaine finance principal],A612,tbl_Donateurs[Statut du donateur],"Financement obtenu")</f>
        <v>0</v>
      </c>
      <c r="E612" s="76">
        <f>SUMIFS(tbl_Donateurs[Montant total accorde (FCFA)],tbl_Donateurs[Domaine finance principal],A612)</f>
        <v>0</v>
      </c>
    </row>
    <row r="613" spans="1:5" ht="15" customHeight="1">
      <c r="A613" s="87" t="s">
        <v>79</v>
      </c>
      <c r="B613" s="75">
        <f>COUNTIF(tbl_Donateurs_Opportunites[Domaine],A613)</f>
        <v>0</v>
      </c>
      <c r="C613" s="75">
        <f>COUNTIFS(tbl_Donateurs[Domaine finance principal],A613)</f>
        <v>0</v>
      </c>
      <c r="D613" s="75">
        <f>COUNTIFS(tbl_Donateurs[Domaine finance principal],A613,tbl_Donateurs[Statut du donateur],"Financement obtenu")</f>
        <v>0</v>
      </c>
      <c r="E613" s="76">
        <f>SUMIFS(tbl_Donateurs[Montant total accorde (FCFA)],tbl_Donateurs[Domaine finance principal],A613)</f>
        <v>0</v>
      </c>
    </row>
    <row r="614" spans="1:5" ht="15" customHeight="1">
      <c r="A614" s="87" t="s">
        <v>80</v>
      </c>
      <c r="B614" s="75">
        <f>COUNTIF(tbl_Donateurs_Opportunites[Domaine],A614)</f>
        <v>0</v>
      </c>
      <c r="C614" s="75">
        <f>COUNTIFS(tbl_Donateurs[Domaine finance principal],A614)</f>
        <v>0</v>
      </c>
      <c r="D614" s="75">
        <f>COUNTIFS(tbl_Donateurs[Domaine finance principal],A614,tbl_Donateurs[Statut du donateur],"Financement obtenu")</f>
        <v>0</v>
      </c>
      <c r="E614" s="76">
        <f>SUMIFS(tbl_Donateurs[Montant total accorde (FCFA)],tbl_Donateurs[Domaine finance principal],A614)</f>
        <v>0</v>
      </c>
    </row>
    <row r="615" spans="1:5" ht="15" customHeight="1">
      <c r="A615" s="87" t="s">
        <v>81</v>
      </c>
      <c r="B615" s="75">
        <f>COUNTIF(tbl_Donateurs_Opportunites[Domaine],A615)</f>
        <v>0</v>
      </c>
      <c r="C615" s="75">
        <f>COUNTIFS(tbl_Donateurs[Domaine finance principal],A615)</f>
        <v>0</v>
      </c>
      <c r="D615" s="75">
        <f>COUNTIFS(tbl_Donateurs[Domaine finance principal],A615,tbl_Donateurs[Statut du donateur],"Financement obtenu")</f>
        <v>0</v>
      </c>
      <c r="E615" s="76">
        <f>SUMIFS(tbl_Donateurs[Montant total accorde (FCFA)],tbl_Donateurs[Domaine finance principal],A615)</f>
        <v>0</v>
      </c>
    </row>
    <row r="616" spans="1:5" ht="15" customHeight="1">
      <c r="A616" s="87" t="s">
        <v>83</v>
      </c>
      <c r="B616" s="75">
        <f>COUNTIF(tbl_Donateurs_Opportunites[Domaine],A616)</f>
        <v>0</v>
      </c>
      <c r="C616" s="75">
        <f>COUNTIFS(tbl_Donateurs[Domaine finance principal],A616)</f>
        <v>0</v>
      </c>
      <c r="D616" s="75">
        <f>COUNTIFS(tbl_Donateurs[Domaine finance principal],A616,tbl_Donateurs[Statut du donateur],"Financement obtenu")</f>
        <v>0</v>
      </c>
      <c r="E616" s="76">
        <f>SUMIFS(tbl_Donateurs[Montant total accorde (FCFA)],tbl_Donateurs[Domaine finance principal],A616)</f>
        <v>0</v>
      </c>
    </row>
    <row r="617" spans="1:5" ht="15" customHeight="1">
      <c r="A617" s="87" t="s">
        <v>88</v>
      </c>
      <c r="B617" s="75">
        <f>COUNTIF(tbl_Donateurs_Opportunites[Domaine],A617)</f>
        <v>0</v>
      </c>
      <c r="C617" s="75">
        <f>COUNTIFS(tbl_Donateurs[Domaine finance principal],A617)</f>
        <v>0</v>
      </c>
      <c r="D617" s="75">
        <f>COUNTIFS(tbl_Donateurs[Domaine finance principal],A617,tbl_Donateurs[Statut du donateur],"Financement obtenu")</f>
        <v>0</v>
      </c>
      <c r="E617" s="76">
        <f>SUMIFS(tbl_Donateurs[Montant total accorde (FCFA)],tbl_Donateurs[Domaine finance principal],A617)</f>
        <v>0</v>
      </c>
    </row>
    <row r="618" spans="1:5" ht="15" customHeight="1">
      <c r="A618" s="87" t="s">
        <v>91</v>
      </c>
      <c r="B618" s="75">
        <f>COUNTIF(tbl_Donateurs_Opportunites[Domaine],A618)</f>
        <v>0</v>
      </c>
      <c r="C618" s="75">
        <f>COUNTIFS(tbl_Donateurs[Domaine finance principal],A618)</f>
        <v>1</v>
      </c>
      <c r="D618" s="75">
        <f>COUNTIFS(tbl_Donateurs[Domaine finance principal],A618,tbl_Donateurs[Statut du donateur],"Financement obtenu")</f>
        <v>1</v>
      </c>
      <c r="E618" s="76">
        <f>SUMIFS(tbl_Donateurs[Montant total accorde (FCFA)],tbl_Donateurs[Domaine finance principal],A618)</f>
        <v>0</v>
      </c>
    </row>
    <row r="619" spans="1:5" ht="15" customHeight="1">
      <c r="A619" s="87" t="s">
        <v>94</v>
      </c>
      <c r="B619" s="75">
        <f>COUNTIF(tbl_Donateurs_Opportunites[Domaine],A619)</f>
        <v>0</v>
      </c>
      <c r="C619" s="75">
        <f>COUNTIFS(tbl_Donateurs[Domaine finance principal],A619)</f>
        <v>0</v>
      </c>
      <c r="D619" s="75">
        <f>COUNTIFS(tbl_Donateurs[Domaine finance principal],A619,tbl_Donateurs[Statut du donateur],"Financement obtenu")</f>
        <v>0</v>
      </c>
      <c r="E619" s="76">
        <f>SUMIFS(tbl_Donateurs[Montant total accorde (FCFA)],tbl_Donateurs[Domaine finance principal],A619)</f>
        <v>0</v>
      </c>
    </row>
    <row r="620" spans="1:5" ht="15" customHeight="1">
      <c r="A620" s="87" t="s">
        <v>96</v>
      </c>
      <c r="B620" s="75">
        <f>COUNTIF(tbl_Donateurs_Opportunites[Domaine],A620)</f>
        <v>0</v>
      </c>
      <c r="C620" s="75">
        <f>COUNTIFS(tbl_Donateurs[Domaine finance principal],A620)</f>
        <v>0</v>
      </c>
      <c r="D620" s="75">
        <f>COUNTIFS(tbl_Donateurs[Domaine finance principal],A620,tbl_Donateurs[Statut du donateur],"Financement obtenu")</f>
        <v>0</v>
      </c>
      <c r="E620" s="76">
        <f>SUMIFS(tbl_Donateurs[Montant total accorde (FCFA)],tbl_Donateurs[Domaine finance principal],A620)</f>
        <v>0</v>
      </c>
    </row>
    <row r="621" spans="1:5" ht="15" customHeight="1">
      <c r="A621" s="87" t="s">
        <v>98</v>
      </c>
      <c r="B621" s="75">
        <f>COUNTIF(tbl_Donateurs_Opportunites[Domaine],A621)</f>
        <v>0</v>
      </c>
      <c r="C621" s="75">
        <f>COUNTIFS(tbl_Donateurs[Domaine finance principal],A621)</f>
        <v>0</v>
      </c>
      <c r="D621" s="75">
        <f>COUNTIFS(tbl_Donateurs[Domaine finance principal],A621,tbl_Donateurs[Statut du donateur],"Financement obtenu")</f>
        <v>0</v>
      </c>
      <c r="E621" s="76">
        <f>SUMIFS(tbl_Donateurs[Montant total accorde (FCFA)],tbl_Donateurs[Domaine finance principal],A621)</f>
        <v>0</v>
      </c>
    </row>
    <row r="622" spans="1:5" ht="15" customHeight="1">
      <c r="A622" s="87" t="s">
        <v>100</v>
      </c>
      <c r="B622" s="75">
        <f>COUNTIF(tbl_Donateurs_Opportunites[Domaine],A622)</f>
        <v>0</v>
      </c>
      <c r="C622" s="75">
        <f>COUNTIFS(tbl_Donateurs[Domaine finance principal],A622)</f>
        <v>0</v>
      </c>
      <c r="D622" s="75">
        <f>COUNTIFS(tbl_Donateurs[Domaine finance principal],A622,tbl_Donateurs[Statut du donateur],"Financement obtenu")</f>
        <v>0</v>
      </c>
      <c r="E622" s="76">
        <f>SUMIFS(tbl_Donateurs[Montant total accorde (FCFA)],tbl_Donateurs[Domaine finance principal],A622)</f>
        <v>0</v>
      </c>
    </row>
  </sheetData>
  <mergeCells count="16">
    <mergeCell ref="A581:E581"/>
    <mergeCell ref="A370:I370"/>
    <mergeCell ref="A569:B569"/>
    <mergeCell ref="A526:F526"/>
    <mergeCell ref="A306:P306"/>
    <mergeCell ref="A482:F482"/>
    <mergeCell ref="A448:G448"/>
    <mergeCell ref="A560:B560"/>
    <mergeCell ref="A414:L414"/>
    <mergeCell ref="A208:J208"/>
    <mergeCell ref="A54:AX54"/>
    <mergeCell ref="A1:P1"/>
    <mergeCell ref="A2:R2"/>
    <mergeCell ref="A242:X242"/>
    <mergeCell ref="A10:R10"/>
    <mergeCell ref="A6:R6"/>
  </mergeCells>
  <dataValidations count="25">
    <dataValidation type="list" allowBlank="1" sqref="E56:E205">
      <formula1>Liste_TypesDonateurs</formula1>
      <formula2>0</formula2>
    </dataValidation>
    <dataValidation type="list" allowBlank="1" sqref="F56:F205 H244:H303">
      <formula1>Liste_TypesFinancement</formula1>
      <formula2>0</formula2>
    </dataValidation>
    <dataValidation type="list" allowBlank="1" sqref="P56:P205 E210:E239">
      <formula1>Liste_Fonctions</formula1>
      <formula2>0</formula2>
    </dataValidation>
    <dataValidation type="list" allowBlank="1" sqref="F244:F303 V56:W205">
      <formula1>Liste_Domaines</formula1>
      <formula2>0</formula2>
    </dataValidation>
    <dataValidation type="list" allowBlank="1" sqref="X56:X205 G244:G303">
      <formula1>Liste_ZonesGeo</formula1>
      <formula2>0</formula2>
    </dataValidation>
    <dataValidation type="list" allowBlank="1" sqref="AB56:AB205">
      <formula1>"Prospect,Contact etabli,En discussion,Actif,Financement obtenu,A relancer,Inactif,Suspendu,Termine"</formula1>
      <formula2>0</formula2>
    </dataValidation>
    <dataValidation type="list" allowBlank="1" sqref="AG56:AG205">
      <formula1>"Email,Telephone,Reunion,Visio,Courrier,Visite terrain,Reseaux sociaux,Autre"</formula1>
      <formula2>0</formula2>
    </dataValidation>
    <dataValidation type="list" allowBlank="1" sqref="AH56:AH205">
      <formula1>"A initier,En cours,Etablie,A relancer,Rompue"</formula1>
      <formula2>0</formula2>
    </dataValidation>
    <dataValidation type="list" allowBlank="1" sqref="B210:B239 A528:A557 A484:A523 A450:A479 A416:A445 B372:B411 C308:C367 B244:B303">
      <formula1>Liste_DonateursID</formula1>
      <formula2>0</formula2>
    </dataValidation>
    <dataValidation type="list" allowBlank="1" sqref="I210:I239 T244:T303">
      <formula1>"Oui,Non"</formula1>
      <formula2>0</formula2>
    </dataValidation>
    <dataValidation type="list" allowBlank="1" sqref="J210:J239">
      <formula1>Liste_StatutsGeneraux</formula1>
      <formula2>0</formula2>
    </dataValidation>
    <dataValidation type="list" allowBlank="1" sqref="K244:K303 H416:H445 F308:F367">
      <formula1>"FCFA,EUR,USD,GBP,Autre"</formula1>
      <formula2>0</formula2>
    </dataValidation>
    <dataValidation type="list" allowBlank="1" sqref="Q244:Q303">
      <formula1>"Oui,Non,A verifier"</formula1>
      <formula2>0</formula2>
    </dataValidation>
    <dataValidation type="list" allowBlank="1" sqref="X244:X303">
      <formula1>"A venir,Ouverte,En evaluation interne,Cloturee,Annulee"</formula1>
      <formula2>0</formula2>
    </dataValidation>
    <dataValidation type="list" allowBlank="1" sqref="B308:B367">
      <formula1>Liste_DonateursOpportunitesID</formula1>
      <formula2>0</formula2>
    </dataValidation>
    <dataValidation type="list" allowBlank="1" sqref="D308:D367 B450:B479 C416:C445 D372:D411">
      <formula1>Liste_ActivitesIDProjets</formula1>
      <formula2>0</formula2>
    </dataValidation>
    <dataValidation type="list" allowBlank="1" sqref="J308:J367">
      <formula1>"A preparer,En preparation,En validation,Soumise,En evaluation,Demande de complement,Preselectionnee,Approuvee,Rejetee,Retiree,Contractualisation,Financement recu"</formula1>
      <formula2>0</formula2>
    </dataValidation>
    <dataValidation type="list" allowBlank="1" sqref="C372:C411">
      <formula1>Liste_DonateursDemandesID</formula1>
      <formula2>0</formula2>
    </dataValidation>
    <dataValidation type="list" allowBlank="1" sqref="I372:I411">
      <formula1>"Prevu,Recu,En retard,Annule"</formula1>
      <formula2>0</formula2>
    </dataValidation>
    <dataValidation type="list" allowBlank="1" sqref="K416:K445">
      <formula1>"Active,En negociation,Expiree,Resiliee,A renouveler,Annulee"</formula1>
      <formula2>0</formula2>
    </dataValidation>
    <dataValidation type="list" allowBlank="1" sqref="C450:C479">
      <formula1>"Narratif,Financier,Intermediaire,Final"</formula1>
      <formula2>0</formula2>
    </dataValidation>
    <dataValidation type="list" allowBlank="1" sqref="D450:D479">
      <formula1>"Mensuel,Trimestriel,Semestriel,Annuel,Unique"</formula1>
      <formula2>0</formula2>
    </dataValidation>
    <dataValidation type="list" allowBlank="1" sqref="G450:G479">
      <formula1>"A preparer,En preparation,Soumis,Valide,A corriger,En retard,Termine"</formula1>
      <formula2>0</formula2>
    </dataValidation>
    <dataValidation type="list" allowBlank="1" sqref="C528:C557">
      <formula1>"Appel a projets,Formulaire de candidature,Proposition,Budget,Convention,Rapport,Correspondance,Preuve de financement,Autre"</formula1>
      <formula2>0</formula2>
    </dataValidation>
    <dataValidation type="list" allowBlank="1" sqref="E528:E557">
      <formula1>Liste_StatutsDocuments</formula1>
      <formula2>0</formula2>
    </dataValidation>
  </dataValidations>
  <hyperlinks>
    <hyperlink ref="Q1" location="PROJETS!A1" display="-&gt; PROJETS"/>
    <hyperlink ref="R1" location="PARTENAIRES!A1" display="-&gt; PARTENAIRES"/>
    <hyperlink ref="S1" location="PARAMETRES!A1" display="-&gt; PARAMETRES"/>
  </hyperlinks>
  <pageMargins left="0.75" right="0.75" top="1" bottom="1" header="0.511811023622047" footer="0.511811023622047"/>
  <pageSetup paperSize="9" orientation="portrait" horizontalDpi="300" verticalDpi="300"/>
  <tableParts count="9">
    <tablePart r:id="rId1"/>
    <tablePart r:id="rId2"/>
    <tablePart r:id="rId3"/>
    <tablePart r:id="rId4"/>
    <tablePart r:id="rId5"/>
    <tablePart r:id="rId6"/>
    <tablePart r:id="rId7"/>
    <tablePart r:id="rId8"/>
    <tablePart r:id="rId9"/>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367"/>
  <sheetViews>
    <sheetView showGridLines="0" topLeftCell="A19" zoomScaleNormal="100" workbookViewId="0">
      <selection activeCell="F28" sqref="F28"/>
    </sheetView>
  </sheetViews>
  <sheetFormatPr baseColWidth="10" defaultColWidth="8.7109375" defaultRowHeight="15" customHeight="1"/>
  <cols>
    <col min="1" max="1" width="14" customWidth="1"/>
    <col min="2" max="2" width="12" customWidth="1"/>
    <col min="3" max="3" width="16" customWidth="1"/>
    <col min="4" max="5" width="12" customWidth="1"/>
    <col min="6" max="6" width="14" customWidth="1"/>
    <col min="7" max="7" width="18" customWidth="1"/>
    <col min="8" max="8" width="12" customWidth="1"/>
    <col min="9" max="9" width="22" customWidth="1"/>
    <col min="10" max="11" width="18" customWidth="1"/>
    <col min="12" max="12" width="12" customWidth="1"/>
    <col min="13" max="13" width="22" customWidth="1"/>
    <col min="14" max="14" width="12" customWidth="1"/>
    <col min="15" max="15" width="20" customWidth="1"/>
    <col min="16" max="16" width="14" customWidth="1"/>
    <col min="17" max="19" width="18" customWidth="1"/>
    <col min="20" max="20" width="12" customWidth="1"/>
    <col min="21" max="21" width="22" customWidth="1"/>
    <col min="22" max="22" width="24" customWidth="1"/>
    <col min="23" max="23" width="12" customWidth="1"/>
    <col min="24" max="24" width="10" customWidth="1"/>
    <col min="25" max="30" width="14" customWidth="1"/>
    <col min="31" max="31" width="12" customWidth="1"/>
    <col min="32" max="32" width="20" customWidth="1"/>
    <col min="33" max="33" width="10" customWidth="1"/>
    <col min="34" max="34" width="18" customWidth="1"/>
    <col min="35" max="39" width="14" customWidth="1"/>
    <col min="40" max="40" width="12" customWidth="1"/>
    <col min="41" max="41" width="14" customWidth="1"/>
    <col min="42" max="42" width="10" customWidth="1"/>
    <col min="43" max="48" width="14" customWidth="1"/>
    <col min="49" max="50" width="12" customWidth="1"/>
    <col min="51" max="51" width="24" customWidth="1"/>
    <col min="52" max="53" width="10" hidden="1" customWidth="1"/>
  </cols>
  <sheetData>
    <row r="1" spans="1:53" ht="25.5" customHeight="1">
      <c r="A1" s="300" t="s">
        <v>2070</v>
      </c>
      <c r="B1" s="262"/>
      <c r="C1" s="262"/>
      <c r="D1" s="262"/>
      <c r="E1" s="262"/>
      <c r="F1" s="262"/>
      <c r="G1" s="262"/>
      <c r="H1" s="262"/>
      <c r="I1" s="262"/>
      <c r="J1" s="262"/>
      <c r="K1" s="262"/>
      <c r="L1" s="262"/>
      <c r="M1" s="262"/>
      <c r="N1" s="262"/>
      <c r="O1" s="262"/>
      <c r="P1" s="262"/>
      <c r="Q1" s="89" t="s">
        <v>1761</v>
      </c>
      <c r="R1" s="89" t="s">
        <v>1855</v>
      </c>
      <c r="S1" s="89" t="s">
        <v>2071</v>
      </c>
      <c r="T1" s="89" t="s">
        <v>1526</v>
      </c>
    </row>
    <row r="2" spans="1:53" ht="15.75" customHeight="1">
      <c r="A2" s="301" t="s">
        <v>2072</v>
      </c>
      <c r="B2" s="262"/>
      <c r="C2" s="262"/>
      <c r="D2" s="262"/>
      <c r="E2" s="262"/>
      <c r="F2" s="262"/>
      <c r="G2" s="262"/>
      <c r="H2" s="262"/>
      <c r="I2" s="262"/>
      <c r="J2" s="262"/>
      <c r="K2" s="262"/>
      <c r="L2" s="262"/>
      <c r="M2" s="262"/>
      <c r="N2" s="262"/>
      <c r="O2" s="262"/>
      <c r="P2" s="262"/>
      <c r="Q2" s="262"/>
      <c r="R2" s="262"/>
      <c r="S2" s="262"/>
      <c r="T2" s="262"/>
    </row>
    <row r="3" spans="1:53" ht="21.75" customHeight="1">
      <c r="A3" s="90" t="s">
        <v>1524</v>
      </c>
      <c r="C3" s="91">
        <f ca="1">TODAY()</f>
        <v>46305</v>
      </c>
    </row>
    <row r="4" spans="1:53" ht="15" customHeight="1">
      <c r="A4" s="298" t="s">
        <v>1857</v>
      </c>
      <c r="B4" s="262"/>
      <c r="C4" s="262"/>
      <c r="D4" s="262"/>
      <c r="E4" s="262"/>
      <c r="F4" s="262"/>
      <c r="G4" s="262"/>
      <c r="H4" s="262"/>
      <c r="I4" s="262"/>
      <c r="J4" s="262"/>
      <c r="K4" s="262"/>
      <c r="L4" s="262"/>
      <c r="M4" s="262"/>
      <c r="N4" s="262"/>
      <c r="O4" s="262"/>
      <c r="P4" s="262"/>
      <c r="Q4" s="262"/>
      <c r="R4" s="262"/>
      <c r="S4" s="262"/>
      <c r="T4" s="262"/>
    </row>
    <row r="6" spans="1:53" ht="19.5" customHeight="1">
      <c r="A6" s="299" t="s">
        <v>2073</v>
      </c>
      <c r="B6" s="262"/>
      <c r="C6" s="262"/>
      <c r="D6" s="262"/>
      <c r="E6" s="262"/>
      <c r="F6" s="262"/>
      <c r="G6" s="262"/>
      <c r="H6" s="262"/>
      <c r="I6" s="262"/>
      <c r="J6" s="262"/>
      <c r="K6" s="262"/>
      <c r="L6" s="262"/>
      <c r="M6" s="262"/>
      <c r="N6" s="262"/>
      <c r="O6" s="262"/>
      <c r="P6" s="262"/>
      <c r="Q6" s="262"/>
      <c r="R6" s="262"/>
      <c r="S6" s="262"/>
      <c r="T6" s="262"/>
      <c r="U6" s="262"/>
      <c r="V6" s="262"/>
      <c r="W6" s="262"/>
      <c r="X6" s="262"/>
      <c r="Y6" s="262"/>
      <c r="Z6" s="262"/>
      <c r="AA6" s="262"/>
      <c r="AB6" s="262"/>
      <c r="AC6" s="262"/>
      <c r="AD6" s="262"/>
      <c r="AE6" s="262"/>
      <c r="AF6" s="262"/>
      <c r="AG6" s="262"/>
      <c r="AH6" s="262"/>
      <c r="AI6" s="262"/>
      <c r="AJ6" s="262"/>
      <c r="AK6" s="262"/>
      <c r="AL6" s="262"/>
      <c r="AM6" s="262"/>
      <c r="AN6" s="262"/>
      <c r="AO6" s="262"/>
      <c r="AP6" s="262"/>
      <c r="AQ6" s="262"/>
      <c r="AR6" s="262"/>
      <c r="AS6" s="262"/>
      <c r="AT6" s="262"/>
      <c r="AU6" s="262"/>
      <c r="AV6" s="262"/>
      <c r="AW6" s="262"/>
      <c r="AX6" s="262"/>
      <c r="AY6" s="262"/>
      <c r="AZ6" s="262"/>
      <c r="BA6" s="262"/>
    </row>
    <row r="7" spans="1:53" ht="30" customHeight="1">
      <c r="A7" s="92" t="s">
        <v>2074</v>
      </c>
      <c r="B7" s="92" t="s">
        <v>2075</v>
      </c>
      <c r="C7" s="92" t="s">
        <v>2076</v>
      </c>
      <c r="D7" s="92" t="s">
        <v>1675</v>
      </c>
      <c r="E7" s="92" t="s">
        <v>2077</v>
      </c>
      <c r="F7" s="92" t="s">
        <v>2078</v>
      </c>
      <c r="G7" s="92" t="s">
        <v>2079</v>
      </c>
      <c r="H7" s="92" t="s">
        <v>2080</v>
      </c>
      <c r="I7" s="92" t="s">
        <v>2081</v>
      </c>
      <c r="J7" s="93" t="s">
        <v>1282</v>
      </c>
    </row>
    <row r="8" spans="1:53" ht="15" customHeight="1">
      <c r="A8" s="94">
        <f>IF($J$7="Total",SUM(tbl_Budget[Montant prevu (FCFA)]),SUMIFS(tbl_Budget[Montant prevu (FCFA)],tbl_Budget[Annee budgetaire],VALUE($J$7)))</f>
        <v>0</v>
      </c>
      <c r="B8" s="94">
        <f>IF($J$7="Total",SUM(tbl_Budget[Budget de reference (FCFA)]),SUMIFS(tbl_Budget[Budget de reference (FCFA)],tbl_Budget[Annee budgetaire],VALUE($J$7)))</f>
        <v>0</v>
      </c>
      <c r="C8" s="94">
        <f>IF($J$7="Total",SUM(tbl_Budget[Montant engage (FCFA)]),SUMIFS(tbl_Budget[Montant engage (FCFA)],tbl_Budget[Annee budgetaire],VALUE($J$7)))</f>
        <v>0</v>
      </c>
      <c r="D8" s="94">
        <f>IF($J$7="Total",SUM(tbl_Budget[Depenses realisees (FCFA)]),SUMIFS(tbl_Budget[Depenses realisees (FCFA)],tbl_Budget[Annee budgetaire],VALUE($J$7)))</f>
        <v>0</v>
      </c>
      <c r="E8" s="94">
        <f>$B$8-$D$8</f>
        <v>0</v>
      </c>
      <c r="F8" s="95">
        <f>IF($B$8=0,0,$D$8/$B$8)</f>
        <v>0</v>
      </c>
      <c r="G8" s="93">
        <f>IF($J$7="Total",SUMPRODUCT(($AZ$28:$AZ$67=1)*($H$28:$H$67&lt;&gt;"")),SUMPRODUCT(($BA$28:$BA$67=1)*($B$28:$B$67=VALUE($J$7))))</f>
        <v>1</v>
      </c>
      <c r="H8" s="93">
        <f>IF($J$7="Total",COUNTIF($A$28:$A$67,"BUD*"),COUNTIFS($A$28:$A$67,"BUD*",$B$28:$B$67,VALUE($J$7)))</f>
        <v>1</v>
      </c>
    </row>
    <row r="10" spans="1:53" ht="19.5" customHeight="1">
      <c r="A10" s="299" t="s">
        <v>1644</v>
      </c>
      <c r="B10" s="262"/>
      <c r="C10" s="262"/>
      <c r="D10" s="262"/>
      <c r="E10" s="262"/>
      <c r="F10" s="262"/>
      <c r="G10" s="262"/>
      <c r="H10" s="262"/>
      <c r="I10" s="262"/>
      <c r="J10" s="262"/>
      <c r="K10" s="262"/>
      <c r="L10" s="262"/>
      <c r="M10" s="262"/>
      <c r="N10" s="262"/>
      <c r="O10" s="262"/>
      <c r="P10" s="262"/>
      <c r="Q10" s="262"/>
      <c r="R10" s="262"/>
      <c r="S10" s="262"/>
      <c r="T10" s="262"/>
      <c r="U10" s="262"/>
      <c r="V10" s="262"/>
      <c r="W10" s="262"/>
      <c r="X10" s="262"/>
      <c r="Y10" s="262"/>
      <c r="Z10" s="262"/>
      <c r="AA10" s="262"/>
      <c r="AB10" s="262"/>
      <c r="AC10" s="262"/>
      <c r="AD10" s="262"/>
      <c r="AE10" s="262"/>
      <c r="AF10" s="262"/>
      <c r="AG10" s="262"/>
      <c r="AH10" s="262"/>
      <c r="AI10" s="262"/>
      <c r="AJ10" s="262"/>
      <c r="AK10" s="262"/>
      <c r="AL10" s="262"/>
      <c r="AM10" s="262"/>
      <c r="AN10" s="262"/>
      <c r="AO10" s="262"/>
      <c r="AP10" s="262"/>
      <c r="AQ10" s="262"/>
      <c r="AR10" s="262"/>
      <c r="AS10" s="262"/>
      <c r="AT10" s="262"/>
      <c r="AU10" s="262"/>
      <c r="AV10" s="262"/>
      <c r="AW10" s="262"/>
      <c r="AX10" s="262"/>
      <c r="AY10" s="262"/>
      <c r="AZ10" s="262"/>
      <c r="BA10" s="262"/>
    </row>
    <row r="11" spans="1:53" ht="21.75" customHeight="1">
      <c r="A11" s="9" t="s">
        <v>2082</v>
      </c>
      <c r="B11" s="9" t="s">
        <v>2083</v>
      </c>
      <c r="D11" s="9" t="s">
        <v>2084</v>
      </c>
      <c r="E11" s="9" t="s">
        <v>2083</v>
      </c>
      <c r="G11" s="9" t="s">
        <v>2085</v>
      </c>
      <c r="H11" s="9" t="s">
        <v>2083</v>
      </c>
    </row>
    <row r="12" spans="1:53" ht="21.75" customHeight="1">
      <c r="A12" s="11" t="s">
        <v>1113</v>
      </c>
      <c r="B12" s="96">
        <f>COUNTIFS(tbl_Budget[Statut],A12)</f>
        <v>0</v>
      </c>
      <c r="D12" s="11" t="s">
        <v>1122</v>
      </c>
      <c r="E12" s="96">
        <f>COUNTIFS(tbl_Budget[Type de budget],D12)</f>
        <v>0</v>
      </c>
      <c r="G12" s="11" t="s">
        <v>2086</v>
      </c>
      <c r="H12" s="96">
        <f>COUNTIFS(tbl_Budget[Statut alerte],G12)</f>
        <v>0</v>
      </c>
    </row>
    <row r="13" spans="1:53" ht="21.75" customHeight="1">
      <c r="A13" s="11" t="s">
        <v>215</v>
      </c>
      <c r="B13" s="96">
        <f>COUNTIFS(tbl_Budget[Statut],A13)</f>
        <v>1</v>
      </c>
      <c r="D13" s="11" t="s">
        <v>1124</v>
      </c>
      <c r="E13" s="96">
        <f>COUNTIFS(tbl_Budget[Type de budget],D13)</f>
        <v>0</v>
      </c>
      <c r="G13" s="11" t="s">
        <v>2087</v>
      </c>
      <c r="H13" s="96">
        <f>COUNTIFS(tbl_Budget[Statut alerte],G13)</f>
        <v>0</v>
      </c>
    </row>
    <row r="14" spans="1:53" ht="21.75" customHeight="1">
      <c r="A14" s="11" t="s">
        <v>219</v>
      </c>
      <c r="B14" s="96">
        <f>COUNTIFS(tbl_Budget[Statut],A14)</f>
        <v>0</v>
      </c>
      <c r="D14" s="11" t="s">
        <v>1126</v>
      </c>
      <c r="E14" s="96">
        <f>COUNTIFS(tbl_Budget[Type de budget],D14)</f>
        <v>0</v>
      </c>
      <c r="G14" s="11" t="s">
        <v>2088</v>
      </c>
      <c r="H14" s="96">
        <f>COUNTIFS(tbl_Budget[Statut alerte],G14)</f>
        <v>0</v>
      </c>
    </row>
    <row r="15" spans="1:53" ht="21.75" customHeight="1">
      <c r="A15" s="11" t="s">
        <v>13</v>
      </c>
      <c r="B15" s="96">
        <f>COUNTIFS(tbl_Budget[Statut],A15)</f>
        <v>0</v>
      </c>
      <c r="D15" s="11" t="s">
        <v>1128</v>
      </c>
      <c r="E15" s="96">
        <f>COUNTIFS(tbl_Budget[Type de budget],D15)</f>
        <v>1</v>
      </c>
    </row>
    <row r="16" spans="1:53" ht="21.75" customHeight="1">
      <c r="A16" s="11" t="s">
        <v>1118</v>
      </c>
      <c r="B16" s="96">
        <f>COUNTIFS(tbl_Budget[Statut],A16)</f>
        <v>0</v>
      </c>
      <c r="D16" s="11" t="s">
        <v>1130</v>
      </c>
      <c r="E16" s="96">
        <f>COUNTIFS(tbl_Budget[Type de budget],D16)</f>
        <v>0</v>
      </c>
    </row>
    <row r="17" spans="1:53" ht="32.25" customHeight="1">
      <c r="A17" s="11" t="s">
        <v>231</v>
      </c>
      <c r="B17" s="96">
        <f>COUNTIFS(tbl_Budget[Statut],A17)</f>
        <v>0</v>
      </c>
      <c r="D17" s="11" t="s">
        <v>1132</v>
      </c>
      <c r="E17" s="96">
        <f>COUNTIFS(tbl_Budget[Type de budget],D17)</f>
        <v>0</v>
      </c>
    </row>
    <row r="18" spans="1:53" ht="15" customHeight="1">
      <c r="D18" s="11" t="s">
        <v>1134</v>
      </c>
      <c r="E18" s="96">
        <f>COUNTIFS(tbl_Budget[Type de budget],D18)</f>
        <v>0</v>
      </c>
    </row>
    <row r="19" spans="1:53" ht="15" customHeight="1">
      <c r="D19" s="11" t="s">
        <v>1136</v>
      </c>
      <c r="E19" s="96">
        <f>COUNTIFS(tbl_Budget[Type de budget],D19)</f>
        <v>0</v>
      </c>
    </row>
    <row r="20" spans="1:53" ht="15" customHeight="1">
      <c r="D20" s="11" t="s">
        <v>383</v>
      </c>
      <c r="E20" s="96">
        <f>COUNTIFS(tbl_Budget[Type de budget],D20)</f>
        <v>0</v>
      </c>
    </row>
    <row r="22" spans="1:53" ht="19.5" customHeight="1">
      <c r="A22" s="299" t="s">
        <v>2089</v>
      </c>
      <c r="B22" s="262"/>
      <c r="C22" s="262"/>
      <c r="D22" s="262"/>
      <c r="E22" s="262"/>
      <c r="F22" s="262"/>
      <c r="G22" s="262"/>
      <c r="H22" s="262"/>
      <c r="I22" s="262"/>
      <c r="J22" s="262"/>
      <c r="K22" s="262"/>
      <c r="L22" s="262"/>
      <c r="M22" s="262"/>
      <c r="N22" s="262"/>
      <c r="O22" s="262"/>
      <c r="P22" s="262"/>
      <c r="Q22" s="262"/>
      <c r="R22" s="262"/>
      <c r="S22" s="262"/>
      <c r="T22" s="262"/>
      <c r="U22" s="262"/>
      <c r="V22" s="262"/>
      <c r="W22" s="262"/>
      <c r="X22" s="262"/>
      <c r="Y22" s="262"/>
      <c r="Z22" s="262"/>
      <c r="AA22" s="262"/>
      <c r="AB22" s="262"/>
      <c r="AC22" s="262"/>
      <c r="AD22" s="262"/>
      <c r="AE22" s="262"/>
      <c r="AF22" s="262"/>
      <c r="AG22" s="262"/>
      <c r="AH22" s="262"/>
      <c r="AI22" s="262"/>
      <c r="AJ22" s="262"/>
      <c r="AK22" s="262"/>
      <c r="AL22" s="262"/>
      <c r="AM22" s="262"/>
      <c r="AN22" s="262"/>
      <c r="AO22" s="262"/>
      <c r="AP22" s="262"/>
      <c r="AQ22" s="262"/>
      <c r="AR22" s="262"/>
      <c r="AS22" s="262"/>
      <c r="AT22" s="262"/>
      <c r="AU22" s="262"/>
      <c r="AV22" s="262"/>
      <c r="AW22" s="262"/>
      <c r="AX22" s="262"/>
      <c r="AY22" s="262"/>
      <c r="AZ22" s="262"/>
      <c r="BA22" s="262"/>
    </row>
    <row r="23" spans="1:53" ht="30" customHeight="1">
      <c r="A23" s="92" t="s">
        <v>2090</v>
      </c>
      <c r="B23" s="92" t="s">
        <v>2091</v>
      </c>
      <c r="C23" s="92" t="s">
        <v>2092</v>
      </c>
      <c r="D23" s="92" t="s">
        <v>2093</v>
      </c>
      <c r="E23" s="92" t="s">
        <v>2094</v>
      </c>
      <c r="F23" s="92" t="s">
        <v>2095</v>
      </c>
      <c r="G23" s="92" t="s">
        <v>2096</v>
      </c>
      <c r="H23" s="92" t="s">
        <v>2097</v>
      </c>
      <c r="I23" s="92" t="s">
        <v>2098</v>
      </c>
    </row>
    <row r="24" spans="1:53" ht="15" customHeight="1">
      <c r="A24" s="94">
        <f>SUM(tbl_Budget[Contribution ONG (FCFA)])</f>
        <v>0</v>
      </c>
      <c r="B24" s="94">
        <f>SUM(tbl_Budget[Contribution bailleur (FCFA)])</f>
        <v>0</v>
      </c>
      <c r="C24" s="94">
        <f>SUM(tbl_Budget[Contribution partenaires (FCFA)])</f>
        <v>0</v>
      </c>
      <c r="D24" s="94">
        <f>SUM(tbl_Budget[Autres contributions (FCFA)])</f>
        <v>0</v>
      </c>
      <c r="E24" s="94">
        <f>SUM($A$24:$D$24)</f>
        <v>0</v>
      </c>
      <c r="F24" s="95">
        <f>IF($E$24=0,0,$A$24/$E$24)</f>
        <v>0</v>
      </c>
      <c r="G24" s="95">
        <f>IF($E$24=0,0,$B$24/$E$24)</f>
        <v>0</v>
      </c>
      <c r="H24" s="95">
        <f>IF($E$24=0,0,$C$24/$E$24)</f>
        <v>0</v>
      </c>
      <c r="I24" s="95">
        <f>IF($E$24=0,0,$D$24/$E$24)</f>
        <v>0</v>
      </c>
    </row>
    <row r="26" spans="1:53" ht="19.5" customHeight="1">
      <c r="A26" s="299" t="s">
        <v>2099</v>
      </c>
      <c r="B26" s="262"/>
      <c r="C26" s="262"/>
      <c r="D26" s="262"/>
      <c r="E26" s="262"/>
      <c r="F26" s="262"/>
      <c r="G26" s="262"/>
      <c r="H26" s="262"/>
      <c r="I26" s="262"/>
      <c r="J26" s="262"/>
      <c r="K26" s="262"/>
      <c r="L26" s="262"/>
      <c r="M26" s="262"/>
      <c r="N26" s="262"/>
      <c r="O26" s="262"/>
      <c r="P26" s="262"/>
      <c r="Q26" s="262"/>
      <c r="R26" s="262"/>
      <c r="S26" s="262"/>
      <c r="T26" s="262"/>
      <c r="U26" s="262"/>
      <c r="V26" s="262"/>
      <c r="W26" s="262"/>
      <c r="X26" s="262"/>
      <c r="Y26" s="262"/>
      <c r="Z26" s="262"/>
      <c r="AA26" s="262"/>
      <c r="AB26" s="262"/>
      <c r="AC26" s="262"/>
      <c r="AD26" s="262"/>
      <c r="AE26" s="262"/>
      <c r="AF26" s="262"/>
      <c r="AG26" s="262"/>
      <c r="AH26" s="262"/>
      <c r="AI26" s="262"/>
      <c r="AJ26" s="262"/>
      <c r="AK26" s="262"/>
      <c r="AL26" s="262"/>
      <c r="AM26" s="262"/>
      <c r="AN26" s="262"/>
      <c r="AO26" s="262"/>
      <c r="AP26" s="262"/>
      <c r="AQ26" s="262"/>
      <c r="AR26" s="262"/>
      <c r="AS26" s="262"/>
      <c r="AT26" s="262"/>
      <c r="AU26" s="262"/>
      <c r="AV26" s="262"/>
      <c r="AW26" s="262"/>
      <c r="AX26" s="262"/>
      <c r="AY26" s="262"/>
      <c r="AZ26" s="262"/>
      <c r="BA26" s="262"/>
    </row>
    <row r="27" spans="1:53" ht="31.5" customHeight="1">
      <c r="A27" s="9" t="s">
        <v>2100</v>
      </c>
      <c r="B27" s="9" t="s">
        <v>2101</v>
      </c>
      <c r="C27" s="9" t="s">
        <v>2102</v>
      </c>
      <c r="D27" s="9" t="s">
        <v>1935</v>
      </c>
      <c r="E27" s="9" t="s">
        <v>1936</v>
      </c>
      <c r="F27" s="9" t="s">
        <v>175</v>
      </c>
      <c r="G27" s="9" t="s">
        <v>2084</v>
      </c>
      <c r="H27" s="9" t="s">
        <v>1648</v>
      </c>
      <c r="I27" s="9" t="s">
        <v>1586</v>
      </c>
      <c r="J27" s="9" t="s">
        <v>1400</v>
      </c>
      <c r="K27" s="9" t="s">
        <v>1408</v>
      </c>
      <c r="L27" s="9" t="s">
        <v>1774</v>
      </c>
      <c r="M27" s="9" t="s">
        <v>2103</v>
      </c>
      <c r="N27" s="9" t="s">
        <v>1987</v>
      </c>
      <c r="O27" s="9" t="s">
        <v>2104</v>
      </c>
      <c r="P27" s="9" t="s">
        <v>2105</v>
      </c>
      <c r="Q27" s="9" t="s">
        <v>1734</v>
      </c>
      <c r="R27" s="9" t="s">
        <v>1425</v>
      </c>
      <c r="S27" s="9" t="s">
        <v>2106</v>
      </c>
      <c r="T27" s="9" t="s">
        <v>2107</v>
      </c>
      <c r="U27" s="9" t="s">
        <v>207</v>
      </c>
      <c r="V27" s="9" t="s">
        <v>252</v>
      </c>
      <c r="W27" s="9" t="s">
        <v>842</v>
      </c>
      <c r="X27" s="9" t="s">
        <v>1630</v>
      </c>
      <c r="Y27" s="9" t="s">
        <v>2108</v>
      </c>
      <c r="Z27" s="9" t="s">
        <v>2109</v>
      </c>
      <c r="AA27" s="9" t="s">
        <v>2110</v>
      </c>
      <c r="AB27" s="9" t="s">
        <v>2111</v>
      </c>
      <c r="AC27" s="9" t="s">
        <v>2112</v>
      </c>
      <c r="AD27" s="9" t="s">
        <v>2113</v>
      </c>
      <c r="AE27" s="9" t="s">
        <v>2114</v>
      </c>
      <c r="AF27" s="9" t="s">
        <v>2115</v>
      </c>
      <c r="AG27" s="9" t="s">
        <v>2116</v>
      </c>
      <c r="AH27" s="9" t="s">
        <v>2117</v>
      </c>
      <c r="AI27" s="9" t="s">
        <v>2076</v>
      </c>
      <c r="AJ27" s="9" t="s">
        <v>1675</v>
      </c>
      <c r="AK27" s="9" t="s">
        <v>2118</v>
      </c>
      <c r="AL27" s="9" t="s">
        <v>2119</v>
      </c>
      <c r="AM27" s="9" t="s">
        <v>2120</v>
      </c>
      <c r="AN27" s="9" t="s">
        <v>2078</v>
      </c>
      <c r="AO27" s="9" t="s">
        <v>1823</v>
      </c>
      <c r="AP27" s="9" t="s">
        <v>2121</v>
      </c>
      <c r="AQ27" s="9" t="s">
        <v>2122</v>
      </c>
      <c r="AR27" s="9" t="s">
        <v>2090</v>
      </c>
      <c r="AS27" s="9" t="s">
        <v>2091</v>
      </c>
      <c r="AT27" s="9" t="s">
        <v>2092</v>
      </c>
      <c r="AU27" s="9" t="s">
        <v>2093</v>
      </c>
      <c r="AV27" s="9" t="s">
        <v>2094</v>
      </c>
      <c r="AW27" s="9" t="s">
        <v>2123</v>
      </c>
      <c r="AX27" s="9" t="s">
        <v>2124</v>
      </c>
      <c r="AY27" s="9" t="s">
        <v>1611</v>
      </c>
      <c r="AZ27" s="9" t="s">
        <v>2125</v>
      </c>
      <c r="BA27" s="9" t="s">
        <v>2126</v>
      </c>
    </row>
    <row r="28" spans="1:53" ht="15" customHeight="1">
      <c r="A28" s="96" t="str">
        <f t="shared" ref="A28:A67" si="0">IF($U28="","","BUD"&amp;TEXT(ROW()-27,"0000"))</f>
        <v>BUD0001</v>
      </c>
      <c r="B28" s="97">
        <v>2025</v>
      </c>
      <c r="C28" s="97"/>
      <c r="D28" s="98"/>
      <c r="E28" s="98"/>
      <c r="F28" s="97" t="s">
        <v>215</v>
      </c>
      <c r="G28" s="97" t="s">
        <v>1128</v>
      </c>
      <c r="H28" s="97" t="s">
        <v>1617</v>
      </c>
      <c r="I28" s="96" t="str">
        <f>IFERROR(INDEX(PROJETS!$C$56:$C$95,MATCH($H28,PROJETS!$A$56:$A$95,0)),"")</f>
        <v>Projet d'appui a l'insertion professionnelle des jeunes</v>
      </c>
      <c r="J28" s="96" t="str">
        <f>IFERROR(INDEX(PROJETS!$J$56:$J$95,MATCH($H28,PROJETS!$A$56:$A$95,0)),"")</f>
        <v>Education</v>
      </c>
      <c r="K28" s="96" t="str">
        <f>IFERROR(INDEX(PROJETS!$N$56:$N$95,MATCH($H28,PROJETS!$A$56:$A$95,0)),"")</f>
        <v>Jean MABIALA</v>
      </c>
      <c r="L28" s="97" t="s">
        <v>2127</v>
      </c>
      <c r="M28" s="96" t="str">
        <f>IFERROR(INDEX(ACTIVITES!$G$56:$G$105,MATCH($L28,ACTIVITES!$A$56:$A$105,0)),"")</f>
        <v>VBG</v>
      </c>
      <c r="N28" s="97" t="s">
        <v>2128</v>
      </c>
      <c r="O28" s="96" t="str">
        <f>IFERROR(INDEX(DONATEURS!$B$56:$B$205,MATCH($N28,DONATEURS!$A$56:$A$205,0)),"")</f>
        <v>AUSP</v>
      </c>
      <c r="P28" s="97"/>
      <c r="Q28" s="97" t="s">
        <v>603</v>
      </c>
      <c r="R28" s="97" t="s">
        <v>614</v>
      </c>
      <c r="S28" s="97" t="s">
        <v>672</v>
      </c>
      <c r="T28" s="97"/>
      <c r="U28" s="97" t="s">
        <v>2129</v>
      </c>
      <c r="V28" s="97"/>
      <c r="W28" s="97"/>
      <c r="X28" s="99"/>
      <c r="Y28" s="99"/>
      <c r="Z28" s="96">
        <f t="shared" ref="Z28:Z67" si="1">IF(OR($X28="",$Y28=""),0,$X28*$Y28)</f>
        <v>0</v>
      </c>
      <c r="AA28" s="99"/>
      <c r="AB28" s="99"/>
      <c r="AC28" s="96" t="str">
        <f t="shared" ref="AC28:AC67" si="2">IF(OR($AA28="",$AB28=""),"",$AA28-$AB28)</f>
        <v/>
      </c>
      <c r="AD28" s="99"/>
      <c r="AE28" s="98"/>
      <c r="AF28" s="97"/>
      <c r="AG28" s="97"/>
      <c r="AH28" s="97"/>
      <c r="AI28" s="99"/>
      <c r="AJ28" s="99"/>
      <c r="AK28" s="96">
        <f t="shared" ref="AK28:AK67" si="3">IF(AND($AD28&lt;&gt;"",$AD28&gt;0),$AD28,IF($AB28="",0,$AB28))</f>
        <v>0</v>
      </c>
      <c r="AL28" s="96">
        <f t="shared" ref="AL28:AL67" si="4">$AK28-IF($AJ28="",0,$AJ28)</f>
        <v>0</v>
      </c>
      <c r="AM28" s="96">
        <f t="shared" ref="AM28:AM67" si="5">$AK28-IF($AI28="",0,$AI28)</f>
        <v>0</v>
      </c>
      <c r="AN28" s="96">
        <f t="shared" ref="AN28:AN67" si="6">IF($AK28=0,0,IF($AJ28="",0,$AJ28)/$AK28)</f>
        <v>0</v>
      </c>
      <c r="AO28" s="96">
        <f t="shared" ref="AO28:AO67" si="7">$AK28-IF($AJ28="",0,$AJ28)</f>
        <v>0</v>
      </c>
      <c r="AP28" s="96">
        <f t="shared" ref="AP28:AP67" si="8">IF($AK28=0,0,$AO28/$AK28)</f>
        <v>0</v>
      </c>
      <c r="AQ28" s="96" t="str">
        <f t="shared" ref="AQ28:AQ67" si="9">IF($AK28=0,"",IF($AN28&gt;Seuil_Depassement,"Depassement",IF($AN28&gt;=Seuil_Vigilance,"Vigilance","Normal")))</f>
        <v/>
      </c>
      <c r="AR28" s="99"/>
      <c r="AS28" s="99"/>
      <c r="AT28" s="99"/>
      <c r="AU28" s="99"/>
      <c r="AV28" s="96">
        <f t="shared" ref="AV28:AV67" si="10">SUM($AR28:$AU28)</f>
        <v>0</v>
      </c>
      <c r="AW28" s="96">
        <f t="shared" ref="AW28:AW67" si="11">IF($AV28=0,0,$AR28/$AV28)</f>
        <v>0</v>
      </c>
      <c r="AX28" s="96">
        <f t="shared" ref="AX28:AX67" si="12">IF($AV28=0,0,$AS28/$AV28)</f>
        <v>0</v>
      </c>
      <c r="AY28" s="97"/>
      <c r="AZ28" s="96">
        <f>IF($H28="","",COUNTIFS($H$28:$H28,$H28))</f>
        <v>1</v>
      </c>
      <c r="BA28" s="96">
        <f>IF($H28="","",COUNTIFS($H$28:$H28,$H28,$B$28:$B28,$B28))</f>
        <v>1</v>
      </c>
    </row>
    <row r="29" spans="1:53" ht="15" customHeight="1">
      <c r="A29" s="96" t="str">
        <f t="shared" si="0"/>
        <v/>
      </c>
      <c r="B29" s="97"/>
      <c r="C29" s="97"/>
      <c r="D29" s="98"/>
      <c r="E29" s="98"/>
      <c r="F29" s="97"/>
      <c r="G29" s="97"/>
      <c r="H29" s="97"/>
      <c r="I29" s="96" t="str">
        <f>IFERROR(INDEX(PROJETS!$C$56:$C$95,MATCH($H29,PROJETS!$A$56:$A$95,0)),"")</f>
        <v/>
      </c>
      <c r="J29" s="96" t="str">
        <f>IFERROR(INDEX(PROJETS!$J$56:$J$95,MATCH($H29,PROJETS!$A$56:$A$95,0)),"")</f>
        <v/>
      </c>
      <c r="K29" s="96" t="str">
        <f>IFERROR(INDEX(PROJETS!$N$56:$N$95,MATCH($H29,PROJETS!$A$56:$A$95,0)),"")</f>
        <v/>
      </c>
      <c r="L29" s="97"/>
      <c r="M29" s="96" t="str">
        <f>IFERROR(INDEX(ACTIVITES!$G$56:$G$105,MATCH($L29,ACTIVITES!$A$56:$A$105,0)),"")</f>
        <v/>
      </c>
      <c r="N29" s="97"/>
      <c r="O29" s="96" t="str">
        <f>IFERROR(INDEX(DONATEURS!$B$56:$B$205,MATCH($N29,DONATEURS!$A$56:$A$205,0)),"")</f>
        <v/>
      </c>
      <c r="P29" s="97"/>
      <c r="Q29" s="97"/>
      <c r="R29" s="97"/>
      <c r="S29" s="97"/>
      <c r="T29" s="97"/>
      <c r="U29" s="97"/>
      <c r="V29" s="97"/>
      <c r="W29" s="97"/>
      <c r="X29" s="99"/>
      <c r="Y29" s="99"/>
      <c r="Z29" s="96">
        <f t="shared" si="1"/>
        <v>0</v>
      </c>
      <c r="AA29" s="99"/>
      <c r="AB29" s="99"/>
      <c r="AC29" s="96" t="str">
        <f t="shared" si="2"/>
        <v/>
      </c>
      <c r="AD29" s="99"/>
      <c r="AE29" s="98"/>
      <c r="AF29" s="97"/>
      <c r="AG29" s="97"/>
      <c r="AH29" s="97"/>
      <c r="AI29" s="99"/>
      <c r="AJ29" s="99"/>
      <c r="AK29" s="96">
        <f t="shared" si="3"/>
        <v>0</v>
      </c>
      <c r="AL29" s="96">
        <f t="shared" si="4"/>
        <v>0</v>
      </c>
      <c r="AM29" s="96">
        <f t="shared" si="5"/>
        <v>0</v>
      </c>
      <c r="AN29" s="96">
        <f t="shared" si="6"/>
        <v>0</v>
      </c>
      <c r="AO29" s="96">
        <f t="shared" si="7"/>
        <v>0</v>
      </c>
      <c r="AP29" s="96">
        <f t="shared" si="8"/>
        <v>0</v>
      </c>
      <c r="AQ29" s="96" t="str">
        <f t="shared" si="9"/>
        <v/>
      </c>
      <c r="AR29" s="99"/>
      <c r="AS29" s="99"/>
      <c r="AT29" s="99"/>
      <c r="AU29" s="99"/>
      <c r="AV29" s="96">
        <f t="shared" si="10"/>
        <v>0</v>
      </c>
      <c r="AW29" s="96">
        <f t="shared" si="11"/>
        <v>0</v>
      </c>
      <c r="AX29" s="96">
        <f t="shared" si="12"/>
        <v>0</v>
      </c>
      <c r="AY29" s="97"/>
      <c r="AZ29" s="96" t="str">
        <f>IF($H29="","",COUNTIFS($H$28:$H29,$H29))</f>
        <v/>
      </c>
      <c r="BA29" s="96" t="str">
        <f>IF($H29="","",COUNTIFS($H$28:$H29,$H29,$B$28:$B29,$B29))</f>
        <v/>
      </c>
    </row>
    <row r="30" spans="1:53" ht="15" customHeight="1">
      <c r="A30" s="96" t="str">
        <f t="shared" si="0"/>
        <v/>
      </c>
      <c r="B30" s="97"/>
      <c r="C30" s="97"/>
      <c r="D30" s="98"/>
      <c r="E30" s="98"/>
      <c r="F30" s="97"/>
      <c r="G30" s="97"/>
      <c r="H30" s="97"/>
      <c r="I30" s="96" t="str">
        <f>IFERROR(INDEX(PROJETS!$C$56:$C$95,MATCH($H30,PROJETS!$A$56:$A$95,0)),"")</f>
        <v/>
      </c>
      <c r="J30" s="96" t="str">
        <f>IFERROR(INDEX(PROJETS!$J$56:$J$95,MATCH($H30,PROJETS!$A$56:$A$95,0)),"")</f>
        <v/>
      </c>
      <c r="K30" s="96" t="str">
        <f>IFERROR(INDEX(PROJETS!$N$56:$N$95,MATCH($H30,PROJETS!$A$56:$A$95,0)),"")</f>
        <v/>
      </c>
      <c r="L30" s="97"/>
      <c r="M30" s="96" t="str">
        <f>IFERROR(INDEX(ACTIVITES!$G$56:$G$105,MATCH($L30,ACTIVITES!$A$56:$A$105,0)),"")</f>
        <v/>
      </c>
      <c r="N30" s="97"/>
      <c r="O30" s="96" t="str">
        <f>IFERROR(INDEX(DONATEURS!$B$56:$B$205,MATCH($N30,DONATEURS!$A$56:$A$205,0)),"")</f>
        <v/>
      </c>
      <c r="P30" s="97"/>
      <c r="Q30" s="97"/>
      <c r="R30" s="97"/>
      <c r="S30" s="97"/>
      <c r="T30" s="97"/>
      <c r="U30" s="97"/>
      <c r="V30" s="97"/>
      <c r="W30" s="97"/>
      <c r="X30" s="99"/>
      <c r="Y30" s="99"/>
      <c r="Z30" s="96">
        <f t="shared" si="1"/>
        <v>0</v>
      </c>
      <c r="AA30" s="99"/>
      <c r="AB30" s="99"/>
      <c r="AC30" s="96" t="str">
        <f t="shared" si="2"/>
        <v/>
      </c>
      <c r="AD30" s="99"/>
      <c r="AE30" s="98"/>
      <c r="AF30" s="97"/>
      <c r="AG30" s="97"/>
      <c r="AH30" s="97"/>
      <c r="AI30" s="99"/>
      <c r="AJ30" s="99"/>
      <c r="AK30" s="96">
        <f t="shared" si="3"/>
        <v>0</v>
      </c>
      <c r="AL30" s="96">
        <f t="shared" si="4"/>
        <v>0</v>
      </c>
      <c r="AM30" s="96">
        <f t="shared" si="5"/>
        <v>0</v>
      </c>
      <c r="AN30" s="96">
        <f t="shared" si="6"/>
        <v>0</v>
      </c>
      <c r="AO30" s="96">
        <f t="shared" si="7"/>
        <v>0</v>
      </c>
      <c r="AP30" s="96">
        <f t="shared" si="8"/>
        <v>0</v>
      </c>
      <c r="AQ30" s="96" t="str">
        <f t="shared" si="9"/>
        <v/>
      </c>
      <c r="AR30" s="99"/>
      <c r="AS30" s="99"/>
      <c r="AT30" s="99"/>
      <c r="AU30" s="99"/>
      <c r="AV30" s="96">
        <f t="shared" si="10"/>
        <v>0</v>
      </c>
      <c r="AW30" s="96">
        <f t="shared" si="11"/>
        <v>0</v>
      </c>
      <c r="AX30" s="96">
        <f t="shared" si="12"/>
        <v>0</v>
      </c>
      <c r="AY30" s="97"/>
      <c r="AZ30" s="96" t="str">
        <f>IF($H30="","",COUNTIFS($H$28:$H30,$H30))</f>
        <v/>
      </c>
      <c r="BA30" s="96" t="str">
        <f>IF($H30="","",COUNTIFS($H$28:$H30,$H30,$B$28:$B30,$B30))</f>
        <v/>
      </c>
    </row>
    <row r="31" spans="1:53" ht="15" customHeight="1">
      <c r="A31" s="96" t="str">
        <f t="shared" si="0"/>
        <v/>
      </c>
      <c r="B31" s="97"/>
      <c r="C31" s="97"/>
      <c r="D31" s="98"/>
      <c r="E31" s="98"/>
      <c r="F31" s="97"/>
      <c r="G31" s="97"/>
      <c r="H31" s="97"/>
      <c r="I31" s="96" t="str">
        <f>IFERROR(INDEX(PROJETS!$C$56:$C$95,MATCH($H31,PROJETS!$A$56:$A$95,0)),"")</f>
        <v/>
      </c>
      <c r="J31" s="96" t="str">
        <f>IFERROR(INDEX(PROJETS!$J$56:$J$95,MATCH($H31,PROJETS!$A$56:$A$95,0)),"")</f>
        <v/>
      </c>
      <c r="K31" s="96" t="str">
        <f>IFERROR(INDEX(PROJETS!$N$56:$N$95,MATCH($H31,PROJETS!$A$56:$A$95,0)),"")</f>
        <v/>
      </c>
      <c r="L31" s="97"/>
      <c r="M31" s="96" t="str">
        <f>IFERROR(INDEX(ACTIVITES!$G$56:$G$105,MATCH($L31,ACTIVITES!$A$56:$A$105,0)),"")</f>
        <v/>
      </c>
      <c r="N31" s="97"/>
      <c r="O31" s="96" t="str">
        <f>IFERROR(INDEX(DONATEURS!$B$56:$B$205,MATCH($N31,DONATEURS!$A$56:$A$205,0)),"")</f>
        <v/>
      </c>
      <c r="P31" s="97"/>
      <c r="Q31" s="97"/>
      <c r="R31" s="97"/>
      <c r="S31" s="97"/>
      <c r="T31" s="97"/>
      <c r="U31" s="97"/>
      <c r="V31" s="97"/>
      <c r="W31" s="97"/>
      <c r="X31" s="99"/>
      <c r="Y31" s="99"/>
      <c r="Z31" s="96">
        <f t="shared" si="1"/>
        <v>0</v>
      </c>
      <c r="AA31" s="99"/>
      <c r="AB31" s="99"/>
      <c r="AC31" s="96" t="str">
        <f t="shared" si="2"/>
        <v/>
      </c>
      <c r="AD31" s="99"/>
      <c r="AE31" s="98"/>
      <c r="AF31" s="97"/>
      <c r="AG31" s="97"/>
      <c r="AH31" s="97"/>
      <c r="AI31" s="99"/>
      <c r="AJ31" s="99"/>
      <c r="AK31" s="96">
        <f t="shared" si="3"/>
        <v>0</v>
      </c>
      <c r="AL31" s="96">
        <f t="shared" si="4"/>
        <v>0</v>
      </c>
      <c r="AM31" s="96">
        <f t="shared" si="5"/>
        <v>0</v>
      </c>
      <c r="AN31" s="96">
        <f t="shared" si="6"/>
        <v>0</v>
      </c>
      <c r="AO31" s="96">
        <f t="shared" si="7"/>
        <v>0</v>
      </c>
      <c r="AP31" s="96">
        <f t="shared" si="8"/>
        <v>0</v>
      </c>
      <c r="AQ31" s="96" t="str">
        <f t="shared" si="9"/>
        <v/>
      </c>
      <c r="AR31" s="99"/>
      <c r="AS31" s="99"/>
      <c r="AT31" s="99"/>
      <c r="AU31" s="99"/>
      <c r="AV31" s="96">
        <f t="shared" si="10"/>
        <v>0</v>
      </c>
      <c r="AW31" s="96">
        <f t="shared" si="11"/>
        <v>0</v>
      </c>
      <c r="AX31" s="96">
        <f t="shared" si="12"/>
        <v>0</v>
      </c>
      <c r="AY31" s="97"/>
      <c r="AZ31" s="96" t="str">
        <f>IF($H31="","",COUNTIFS($H$28:$H31,$H31))</f>
        <v/>
      </c>
      <c r="BA31" s="96" t="str">
        <f>IF($H31="","",COUNTIFS($H$28:$H31,$H31,$B$28:$B31,$B31))</f>
        <v/>
      </c>
    </row>
    <row r="32" spans="1:53" ht="15" customHeight="1">
      <c r="A32" s="96" t="str">
        <f t="shared" si="0"/>
        <v/>
      </c>
      <c r="B32" s="97"/>
      <c r="C32" s="97"/>
      <c r="D32" s="98"/>
      <c r="E32" s="98"/>
      <c r="F32" s="97"/>
      <c r="G32" s="97"/>
      <c r="H32" s="97"/>
      <c r="I32" s="96" t="str">
        <f>IFERROR(INDEX(PROJETS!$C$56:$C$95,MATCH($H32,PROJETS!$A$56:$A$95,0)),"")</f>
        <v/>
      </c>
      <c r="J32" s="96" t="str">
        <f>IFERROR(INDEX(PROJETS!$J$56:$J$95,MATCH($H32,PROJETS!$A$56:$A$95,0)),"")</f>
        <v/>
      </c>
      <c r="K32" s="96" t="str">
        <f>IFERROR(INDEX(PROJETS!$N$56:$N$95,MATCH($H32,PROJETS!$A$56:$A$95,0)),"")</f>
        <v/>
      </c>
      <c r="L32" s="97"/>
      <c r="M32" s="96" t="str">
        <f>IFERROR(INDEX(ACTIVITES!$G$56:$G$105,MATCH($L32,ACTIVITES!$A$56:$A$105,0)),"")</f>
        <v/>
      </c>
      <c r="N32" s="97"/>
      <c r="O32" s="96" t="str">
        <f>IFERROR(INDEX(DONATEURS!$B$56:$B$205,MATCH($N32,DONATEURS!$A$56:$A$205,0)),"")</f>
        <v/>
      </c>
      <c r="P32" s="97"/>
      <c r="Q32" s="97"/>
      <c r="R32" s="97"/>
      <c r="S32" s="97"/>
      <c r="T32" s="97"/>
      <c r="U32" s="97"/>
      <c r="V32" s="97"/>
      <c r="W32" s="97"/>
      <c r="X32" s="99"/>
      <c r="Y32" s="99"/>
      <c r="Z32" s="96">
        <f t="shared" si="1"/>
        <v>0</v>
      </c>
      <c r="AA32" s="99"/>
      <c r="AB32" s="99"/>
      <c r="AC32" s="96" t="str">
        <f t="shared" si="2"/>
        <v/>
      </c>
      <c r="AD32" s="99"/>
      <c r="AE32" s="98"/>
      <c r="AF32" s="97"/>
      <c r="AG32" s="97"/>
      <c r="AH32" s="97"/>
      <c r="AI32" s="99"/>
      <c r="AJ32" s="99"/>
      <c r="AK32" s="96">
        <f t="shared" si="3"/>
        <v>0</v>
      </c>
      <c r="AL32" s="96">
        <f t="shared" si="4"/>
        <v>0</v>
      </c>
      <c r="AM32" s="96">
        <f t="shared" si="5"/>
        <v>0</v>
      </c>
      <c r="AN32" s="96">
        <f t="shared" si="6"/>
        <v>0</v>
      </c>
      <c r="AO32" s="96">
        <f t="shared" si="7"/>
        <v>0</v>
      </c>
      <c r="AP32" s="96">
        <f t="shared" si="8"/>
        <v>0</v>
      </c>
      <c r="AQ32" s="96" t="str">
        <f t="shared" si="9"/>
        <v/>
      </c>
      <c r="AR32" s="99"/>
      <c r="AS32" s="99"/>
      <c r="AT32" s="99"/>
      <c r="AU32" s="99"/>
      <c r="AV32" s="96">
        <f t="shared" si="10"/>
        <v>0</v>
      </c>
      <c r="AW32" s="96">
        <f t="shared" si="11"/>
        <v>0</v>
      </c>
      <c r="AX32" s="96">
        <f t="shared" si="12"/>
        <v>0</v>
      </c>
      <c r="AY32" s="97"/>
      <c r="AZ32" s="96" t="str">
        <f>IF($H32="","",COUNTIFS($H$28:$H32,$H32))</f>
        <v/>
      </c>
      <c r="BA32" s="96" t="str">
        <f>IF($H32="","",COUNTIFS($H$28:$H32,$H32,$B$28:$B32,$B32))</f>
        <v/>
      </c>
    </row>
    <row r="33" spans="1:53" ht="15" customHeight="1">
      <c r="A33" s="96" t="str">
        <f t="shared" si="0"/>
        <v/>
      </c>
      <c r="B33" s="97"/>
      <c r="C33" s="97"/>
      <c r="D33" s="98"/>
      <c r="E33" s="98"/>
      <c r="F33" s="97"/>
      <c r="G33" s="97"/>
      <c r="H33" s="97"/>
      <c r="I33" s="96" t="str">
        <f>IFERROR(INDEX(PROJETS!$C$56:$C$95,MATCH($H33,PROJETS!$A$56:$A$95,0)),"")</f>
        <v/>
      </c>
      <c r="J33" s="96" t="str">
        <f>IFERROR(INDEX(PROJETS!$J$56:$J$95,MATCH($H33,PROJETS!$A$56:$A$95,0)),"")</f>
        <v/>
      </c>
      <c r="K33" s="96" t="str">
        <f>IFERROR(INDEX(PROJETS!$N$56:$N$95,MATCH($H33,PROJETS!$A$56:$A$95,0)),"")</f>
        <v/>
      </c>
      <c r="L33" s="97"/>
      <c r="M33" s="96" t="str">
        <f>IFERROR(INDEX(ACTIVITES!$G$56:$G$105,MATCH($L33,ACTIVITES!$A$56:$A$105,0)),"")</f>
        <v/>
      </c>
      <c r="N33" s="97"/>
      <c r="O33" s="96" t="str">
        <f>IFERROR(INDEX(DONATEURS!$B$56:$B$205,MATCH($N33,DONATEURS!$A$56:$A$205,0)),"")</f>
        <v/>
      </c>
      <c r="P33" s="97"/>
      <c r="Q33" s="97"/>
      <c r="R33" s="97"/>
      <c r="S33" s="97"/>
      <c r="T33" s="97"/>
      <c r="U33" s="97"/>
      <c r="V33" s="97"/>
      <c r="W33" s="97"/>
      <c r="X33" s="99"/>
      <c r="Y33" s="99"/>
      <c r="Z33" s="96">
        <f t="shared" si="1"/>
        <v>0</v>
      </c>
      <c r="AA33" s="99"/>
      <c r="AB33" s="99"/>
      <c r="AC33" s="96" t="str">
        <f t="shared" si="2"/>
        <v/>
      </c>
      <c r="AD33" s="99"/>
      <c r="AE33" s="98"/>
      <c r="AF33" s="97"/>
      <c r="AG33" s="97"/>
      <c r="AH33" s="97"/>
      <c r="AI33" s="99"/>
      <c r="AJ33" s="99"/>
      <c r="AK33" s="96">
        <f t="shared" si="3"/>
        <v>0</v>
      </c>
      <c r="AL33" s="96">
        <f t="shared" si="4"/>
        <v>0</v>
      </c>
      <c r="AM33" s="96">
        <f t="shared" si="5"/>
        <v>0</v>
      </c>
      <c r="AN33" s="96">
        <f t="shared" si="6"/>
        <v>0</v>
      </c>
      <c r="AO33" s="96">
        <f t="shared" si="7"/>
        <v>0</v>
      </c>
      <c r="AP33" s="96">
        <f t="shared" si="8"/>
        <v>0</v>
      </c>
      <c r="AQ33" s="96" t="str">
        <f t="shared" si="9"/>
        <v/>
      </c>
      <c r="AR33" s="99"/>
      <c r="AS33" s="99"/>
      <c r="AT33" s="99"/>
      <c r="AU33" s="99"/>
      <c r="AV33" s="96">
        <f t="shared" si="10"/>
        <v>0</v>
      </c>
      <c r="AW33" s="96">
        <f t="shared" si="11"/>
        <v>0</v>
      </c>
      <c r="AX33" s="96">
        <f t="shared" si="12"/>
        <v>0</v>
      </c>
      <c r="AY33" s="97"/>
      <c r="AZ33" s="96" t="str">
        <f>IF($H33="","",COUNTIFS($H$28:$H33,$H33))</f>
        <v/>
      </c>
      <c r="BA33" s="96" t="str">
        <f>IF($H33="","",COUNTIFS($H$28:$H33,$H33,$B$28:$B33,$B33))</f>
        <v/>
      </c>
    </row>
    <row r="34" spans="1:53" ht="15" customHeight="1">
      <c r="A34" s="96" t="str">
        <f t="shared" si="0"/>
        <v/>
      </c>
      <c r="B34" s="97"/>
      <c r="C34" s="97"/>
      <c r="D34" s="98"/>
      <c r="E34" s="98"/>
      <c r="F34" s="97"/>
      <c r="G34" s="97"/>
      <c r="H34" s="97"/>
      <c r="I34" s="96" t="str">
        <f>IFERROR(INDEX(PROJETS!$C$56:$C$95,MATCH($H34,PROJETS!$A$56:$A$95,0)),"")</f>
        <v/>
      </c>
      <c r="J34" s="96" t="str">
        <f>IFERROR(INDEX(PROJETS!$J$56:$J$95,MATCH($H34,PROJETS!$A$56:$A$95,0)),"")</f>
        <v/>
      </c>
      <c r="K34" s="96" t="str">
        <f>IFERROR(INDEX(PROJETS!$N$56:$N$95,MATCH($H34,PROJETS!$A$56:$A$95,0)),"")</f>
        <v/>
      </c>
      <c r="L34" s="97"/>
      <c r="M34" s="96" t="str">
        <f>IFERROR(INDEX(ACTIVITES!$G$56:$G$105,MATCH($L34,ACTIVITES!$A$56:$A$105,0)),"")</f>
        <v/>
      </c>
      <c r="N34" s="97"/>
      <c r="O34" s="96" t="str">
        <f>IFERROR(INDEX(DONATEURS!$B$56:$B$205,MATCH($N34,DONATEURS!$A$56:$A$205,0)),"")</f>
        <v/>
      </c>
      <c r="P34" s="97"/>
      <c r="Q34" s="97"/>
      <c r="R34" s="97"/>
      <c r="S34" s="97"/>
      <c r="T34" s="97"/>
      <c r="U34" s="97"/>
      <c r="V34" s="97"/>
      <c r="W34" s="97"/>
      <c r="X34" s="99"/>
      <c r="Y34" s="99"/>
      <c r="Z34" s="96">
        <f t="shared" si="1"/>
        <v>0</v>
      </c>
      <c r="AA34" s="99"/>
      <c r="AB34" s="99"/>
      <c r="AC34" s="96" t="str">
        <f t="shared" si="2"/>
        <v/>
      </c>
      <c r="AD34" s="99"/>
      <c r="AE34" s="98"/>
      <c r="AF34" s="97"/>
      <c r="AG34" s="97"/>
      <c r="AH34" s="97"/>
      <c r="AI34" s="99"/>
      <c r="AJ34" s="99"/>
      <c r="AK34" s="96">
        <f t="shared" si="3"/>
        <v>0</v>
      </c>
      <c r="AL34" s="96">
        <f t="shared" si="4"/>
        <v>0</v>
      </c>
      <c r="AM34" s="96">
        <f t="shared" si="5"/>
        <v>0</v>
      </c>
      <c r="AN34" s="96">
        <f t="shared" si="6"/>
        <v>0</v>
      </c>
      <c r="AO34" s="96">
        <f t="shared" si="7"/>
        <v>0</v>
      </c>
      <c r="AP34" s="96">
        <f t="shared" si="8"/>
        <v>0</v>
      </c>
      <c r="AQ34" s="96" t="str">
        <f t="shared" si="9"/>
        <v/>
      </c>
      <c r="AR34" s="99"/>
      <c r="AS34" s="99"/>
      <c r="AT34" s="99"/>
      <c r="AU34" s="99"/>
      <c r="AV34" s="96">
        <f t="shared" si="10"/>
        <v>0</v>
      </c>
      <c r="AW34" s="96">
        <f t="shared" si="11"/>
        <v>0</v>
      </c>
      <c r="AX34" s="96">
        <f t="shared" si="12"/>
        <v>0</v>
      </c>
      <c r="AY34" s="97"/>
      <c r="AZ34" s="96" t="str">
        <f>IF($H34="","",COUNTIFS($H$28:$H34,$H34))</f>
        <v/>
      </c>
      <c r="BA34" s="96" t="str">
        <f>IF($H34="","",COUNTIFS($H$28:$H34,$H34,$B$28:$B34,$B34))</f>
        <v/>
      </c>
    </row>
    <row r="35" spans="1:53" ht="15" customHeight="1">
      <c r="A35" s="96" t="str">
        <f t="shared" si="0"/>
        <v/>
      </c>
      <c r="B35" s="97"/>
      <c r="C35" s="97"/>
      <c r="D35" s="98"/>
      <c r="E35" s="98"/>
      <c r="F35" s="97"/>
      <c r="G35" s="97"/>
      <c r="H35" s="97"/>
      <c r="I35" s="96" t="str">
        <f>IFERROR(INDEX(PROJETS!$C$56:$C$95,MATCH($H35,PROJETS!$A$56:$A$95,0)),"")</f>
        <v/>
      </c>
      <c r="J35" s="96" t="str">
        <f>IFERROR(INDEX(PROJETS!$J$56:$J$95,MATCH($H35,PROJETS!$A$56:$A$95,0)),"")</f>
        <v/>
      </c>
      <c r="K35" s="96" t="str">
        <f>IFERROR(INDEX(PROJETS!$N$56:$N$95,MATCH($H35,PROJETS!$A$56:$A$95,0)),"")</f>
        <v/>
      </c>
      <c r="L35" s="97"/>
      <c r="M35" s="96" t="str">
        <f>IFERROR(INDEX(ACTIVITES!$G$56:$G$105,MATCH($L35,ACTIVITES!$A$56:$A$105,0)),"")</f>
        <v/>
      </c>
      <c r="N35" s="97"/>
      <c r="O35" s="96" t="str">
        <f>IFERROR(INDEX(DONATEURS!$B$56:$B$205,MATCH($N35,DONATEURS!$A$56:$A$205,0)),"")</f>
        <v/>
      </c>
      <c r="P35" s="97"/>
      <c r="Q35" s="97"/>
      <c r="R35" s="97"/>
      <c r="S35" s="97"/>
      <c r="T35" s="97"/>
      <c r="U35" s="97"/>
      <c r="V35" s="97"/>
      <c r="W35" s="97"/>
      <c r="X35" s="99"/>
      <c r="Y35" s="99"/>
      <c r="Z35" s="96">
        <f t="shared" si="1"/>
        <v>0</v>
      </c>
      <c r="AA35" s="99"/>
      <c r="AB35" s="99"/>
      <c r="AC35" s="96" t="str">
        <f t="shared" si="2"/>
        <v/>
      </c>
      <c r="AD35" s="99"/>
      <c r="AE35" s="98"/>
      <c r="AF35" s="97"/>
      <c r="AG35" s="97"/>
      <c r="AH35" s="97"/>
      <c r="AI35" s="99"/>
      <c r="AJ35" s="99"/>
      <c r="AK35" s="96">
        <f t="shared" si="3"/>
        <v>0</v>
      </c>
      <c r="AL35" s="96">
        <f t="shared" si="4"/>
        <v>0</v>
      </c>
      <c r="AM35" s="96">
        <f t="shared" si="5"/>
        <v>0</v>
      </c>
      <c r="AN35" s="96">
        <f t="shared" si="6"/>
        <v>0</v>
      </c>
      <c r="AO35" s="96">
        <f t="shared" si="7"/>
        <v>0</v>
      </c>
      <c r="AP35" s="96">
        <f t="shared" si="8"/>
        <v>0</v>
      </c>
      <c r="AQ35" s="96" t="str">
        <f t="shared" si="9"/>
        <v/>
      </c>
      <c r="AR35" s="99"/>
      <c r="AS35" s="99"/>
      <c r="AT35" s="99"/>
      <c r="AU35" s="99"/>
      <c r="AV35" s="96">
        <f t="shared" si="10"/>
        <v>0</v>
      </c>
      <c r="AW35" s="96">
        <f t="shared" si="11"/>
        <v>0</v>
      </c>
      <c r="AX35" s="96">
        <f t="shared" si="12"/>
        <v>0</v>
      </c>
      <c r="AY35" s="97"/>
      <c r="AZ35" s="96" t="str">
        <f>IF($H35="","",COUNTIFS($H$28:$H35,$H35))</f>
        <v/>
      </c>
      <c r="BA35" s="96" t="str">
        <f>IF($H35="","",COUNTIFS($H$28:$H35,$H35,$B$28:$B35,$B35))</f>
        <v/>
      </c>
    </row>
    <row r="36" spans="1:53" ht="15" customHeight="1">
      <c r="A36" s="96" t="str">
        <f t="shared" si="0"/>
        <v/>
      </c>
      <c r="B36" s="97"/>
      <c r="C36" s="97"/>
      <c r="D36" s="98"/>
      <c r="E36" s="98"/>
      <c r="F36" s="97"/>
      <c r="G36" s="97"/>
      <c r="H36" s="97"/>
      <c r="I36" s="96" t="str">
        <f>IFERROR(INDEX(PROJETS!$C$56:$C$95,MATCH($H36,PROJETS!$A$56:$A$95,0)),"")</f>
        <v/>
      </c>
      <c r="J36" s="96" t="str">
        <f>IFERROR(INDEX(PROJETS!$J$56:$J$95,MATCH($H36,PROJETS!$A$56:$A$95,0)),"")</f>
        <v/>
      </c>
      <c r="K36" s="96" t="str">
        <f>IFERROR(INDEX(PROJETS!$N$56:$N$95,MATCH($H36,PROJETS!$A$56:$A$95,0)),"")</f>
        <v/>
      </c>
      <c r="L36" s="97"/>
      <c r="M36" s="96" t="str">
        <f>IFERROR(INDEX(ACTIVITES!$G$56:$G$105,MATCH($L36,ACTIVITES!$A$56:$A$105,0)),"")</f>
        <v/>
      </c>
      <c r="N36" s="97"/>
      <c r="O36" s="96" t="str">
        <f>IFERROR(INDEX(DONATEURS!$B$56:$B$205,MATCH($N36,DONATEURS!$A$56:$A$205,0)),"")</f>
        <v/>
      </c>
      <c r="P36" s="97"/>
      <c r="Q36" s="97"/>
      <c r="R36" s="97"/>
      <c r="S36" s="97"/>
      <c r="T36" s="97"/>
      <c r="U36" s="97"/>
      <c r="V36" s="97"/>
      <c r="W36" s="97"/>
      <c r="X36" s="99"/>
      <c r="Y36" s="99"/>
      <c r="Z36" s="96">
        <f t="shared" si="1"/>
        <v>0</v>
      </c>
      <c r="AA36" s="99"/>
      <c r="AB36" s="99"/>
      <c r="AC36" s="96" t="str">
        <f t="shared" si="2"/>
        <v/>
      </c>
      <c r="AD36" s="99"/>
      <c r="AE36" s="98"/>
      <c r="AF36" s="97"/>
      <c r="AG36" s="97"/>
      <c r="AH36" s="97"/>
      <c r="AI36" s="99"/>
      <c r="AJ36" s="99"/>
      <c r="AK36" s="96">
        <f t="shared" si="3"/>
        <v>0</v>
      </c>
      <c r="AL36" s="96">
        <f t="shared" si="4"/>
        <v>0</v>
      </c>
      <c r="AM36" s="96">
        <f t="shared" si="5"/>
        <v>0</v>
      </c>
      <c r="AN36" s="96">
        <f t="shared" si="6"/>
        <v>0</v>
      </c>
      <c r="AO36" s="96">
        <f t="shared" si="7"/>
        <v>0</v>
      </c>
      <c r="AP36" s="96">
        <f t="shared" si="8"/>
        <v>0</v>
      </c>
      <c r="AQ36" s="96" t="str">
        <f t="shared" si="9"/>
        <v/>
      </c>
      <c r="AR36" s="99"/>
      <c r="AS36" s="99"/>
      <c r="AT36" s="99"/>
      <c r="AU36" s="99"/>
      <c r="AV36" s="96">
        <f t="shared" si="10"/>
        <v>0</v>
      </c>
      <c r="AW36" s="96">
        <f t="shared" si="11"/>
        <v>0</v>
      </c>
      <c r="AX36" s="96">
        <f t="shared" si="12"/>
        <v>0</v>
      </c>
      <c r="AY36" s="97"/>
      <c r="AZ36" s="96" t="str">
        <f>IF($H36="","",COUNTIFS($H$28:$H36,$H36))</f>
        <v/>
      </c>
      <c r="BA36" s="96" t="str">
        <f>IF($H36="","",COUNTIFS($H$28:$H36,$H36,$B$28:$B36,$B36))</f>
        <v/>
      </c>
    </row>
    <row r="37" spans="1:53" ht="15" customHeight="1">
      <c r="A37" s="96" t="str">
        <f t="shared" si="0"/>
        <v/>
      </c>
      <c r="B37" s="97"/>
      <c r="C37" s="97"/>
      <c r="D37" s="98"/>
      <c r="E37" s="98"/>
      <c r="F37" s="97"/>
      <c r="G37" s="97"/>
      <c r="H37" s="97"/>
      <c r="I37" s="96" t="str">
        <f>IFERROR(INDEX(PROJETS!$C$56:$C$95,MATCH($H37,PROJETS!$A$56:$A$95,0)),"")</f>
        <v/>
      </c>
      <c r="J37" s="96" t="str">
        <f>IFERROR(INDEX(PROJETS!$J$56:$J$95,MATCH($H37,PROJETS!$A$56:$A$95,0)),"")</f>
        <v/>
      </c>
      <c r="K37" s="96" t="str">
        <f>IFERROR(INDEX(PROJETS!$N$56:$N$95,MATCH($H37,PROJETS!$A$56:$A$95,0)),"")</f>
        <v/>
      </c>
      <c r="L37" s="97"/>
      <c r="M37" s="96" t="str">
        <f>IFERROR(INDEX(ACTIVITES!$G$56:$G$105,MATCH($L37,ACTIVITES!$A$56:$A$105,0)),"")</f>
        <v/>
      </c>
      <c r="N37" s="97"/>
      <c r="O37" s="96" t="str">
        <f>IFERROR(INDEX(DONATEURS!$B$56:$B$205,MATCH($N37,DONATEURS!$A$56:$A$205,0)),"")</f>
        <v/>
      </c>
      <c r="P37" s="97"/>
      <c r="Q37" s="97"/>
      <c r="R37" s="97"/>
      <c r="S37" s="97"/>
      <c r="T37" s="97"/>
      <c r="U37" s="97"/>
      <c r="V37" s="97"/>
      <c r="W37" s="97"/>
      <c r="X37" s="99"/>
      <c r="Y37" s="99"/>
      <c r="Z37" s="96">
        <f t="shared" si="1"/>
        <v>0</v>
      </c>
      <c r="AA37" s="99"/>
      <c r="AB37" s="99"/>
      <c r="AC37" s="96" t="str">
        <f t="shared" si="2"/>
        <v/>
      </c>
      <c r="AD37" s="99"/>
      <c r="AE37" s="98"/>
      <c r="AF37" s="97"/>
      <c r="AG37" s="97"/>
      <c r="AH37" s="97"/>
      <c r="AI37" s="99"/>
      <c r="AJ37" s="99"/>
      <c r="AK37" s="96">
        <f t="shared" si="3"/>
        <v>0</v>
      </c>
      <c r="AL37" s="96">
        <f t="shared" si="4"/>
        <v>0</v>
      </c>
      <c r="AM37" s="96">
        <f t="shared" si="5"/>
        <v>0</v>
      </c>
      <c r="AN37" s="96">
        <f t="shared" si="6"/>
        <v>0</v>
      </c>
      <c r="AO37" s="96">
        <f t="shared" si="7"/>
        <v>0</v>
      </c>
      <c r="AP37" s="96">
        <f t="shared" si="8"/>
        <v>0</v>
      </c>
      <c r="AQ37" s="96" t="str">
        <f t="shared" si="9"/>
        <v/>
      </c>
      <c r="AR37" s="99"/>
      <c r="AS37" s="99"/>
      <c r="AT37" s="99"/>
      <c r="AU37" s="99"/>
      <c r="AV37" s="96">
        <f t="shared" si="10"/>
        <v>0</v>
      </c>
      <c r="AW37" s="96">
        <f t="shared" si="11"/>
        <v>0</v>
      </c>
      <c r="AX37" s="96">
        <f t="shared" si="12"/>
        <v>0</v>
      </c>
      <c r="AY37" s="97"/>
      <c r="AZ37" s="96" t="str">
        <f>IF($H37="","",COUNTIFS($H$28:$H37,$H37))</f>
        <v/>
      </c>
      <c r="BA37" s="96" t="str">
        <f>IF($H37="","",COUNTIFS($H$28:$H37,$H37,$B$28:$B37,$B37))</f>
        <v/>
      </c>
    </row>
    <row r="38" spans="1:53" ht="15" customHeight="1">
      <c r="A38" s="96" t="str">
        <f t="shared" si="0"/>
        <v/>
      </c>
      <c r="B38" s="97"/>
      <c r="C38" s="97"/>
      <c r="D38" s="98"/>
      <c r="E38" s="98"/>
      <c r="F38" s="97"/>
      <c r="G38" s="97"/>
      <c r="H38" s="97"/>
      <c r="I38" s="96" t="str">
        <f>IFERROR(INDEX(PROJETS!$C$56:$C$95,MATCH($H38,PROJETS!$A$56:$A$95,0)),"")</f>
        <v/>
      </c>
      <c r="J38" s="96" t="str">
        <f>IFERROR(INDEX(PROJETS!$J$56:$J$95,MATCH($H38,PROJETS!$A$56:$A$95,0)),"")</f>
        <v/>
      </c>
      <c r="K38" s="96" t="str">
        <f>IFERROR(INDEX(PROJETS!$N$56:$N$95,MATCH($H38,PROJETS!$A$56:$A$95,0)),"")</f>
        <v/>
      </c>
      <c r="L38" s="97"/>
      <c r="M38" s="96" t="str">
        <f>IFERROR(INDEX(ACTIVITES!$G$56:$G$105,MATCH($L38,ACTIVITES!$A$56:$A$105,0)),"")</f>
        <v/>
      </c>
      <c r="N38" s="97"/>
      <c r="O38" s="96" t="str">
        <f>IFERROR(INDEX(DONATEURS!$B$56:$B$205,MATCH($N38,DONATEURS!$A$56:$A$205,0)),"")</f>
        <v/>
      </c>
      <c r="P38" s="97"/>
      <c r="Q38" s="97"/>
      <c r="R38" s="97"/>
      <c r="S38" s="97"/>
      <c r="T38" s="97"/>
      <c r="U38" s="97"/>
      <c r="V38" s="97"/>
      <c r="W38" s="97"/>
      <c r="X38" s="99"/>
      <c r="Y38" s="99"/>
      <c r="Z38" s="96">
        <f t="shared" si="1"/>
        <v>0</v>
      </c>
      <c r="AA38" s="99"/>
      <c r="AB38" s="99"/>
      <c r="AC38" s="96" t="str">
        <f t="shared" si="2"/>
        <v/>
      </c>
      <c r="AD38" s="99"/>
      <c r="AE38" s="98"/>
      <c r="AF38" s="97"/>
      <c r="AG38" s="97"/>
      <c r="AH38" s="97"/>
      <c r="AI38" s="99"/>
      <c r="AJ38" s="99"/>
      <c r="AK38" s="96">
        <f t="shared" si="3"/>
        <v>0</v>
      </c>
      <c r="AL38" s="96">
        <f t="shared" si="4"/>
        <v>0</v>
      </c>
      <c r="AM38" s="96">
        <f t="shared" si="5"/>
        <v>0</v>
      </c>
      <c r="AN38" s="96">
        <f t="shared" si="6"/>
        <v>0</v>
      </c>
      <c r="AO38" s="96">
        <f t="shared" si="7"/>
        <v>0</v>
      </c>
      <c r="AP38" s="96">
        <f t="shared" si="8"/>
        <v>0</v>
      </c>
      <c r="AQ38" s="96" t="str">
        <f t="shared" si="9"/>
        <v/>
      </c>
      <c r="AR38" s="99"/>
      <c r="AS38" s="99"/>
      <c r="AT38" s="99"/>
      <c r="AU38" s="99"/>
      <c r="AV38" s="96">
        <f t="shared" si="10"/>
        <v>0</v>
      </c>
      <c r="AW38" s="96">
        <f t="shared" si="11"/>
        <v>0</v>
      </c>
      <c r="AX38" s="96">
        <f t="shared" si="12"/>
        <v>0</v>
      </c>
      <c r="AY38" s="97"/>
      <c r="AZ38" s="96" t="str">
        <f>IF($H38="","",COUNTIFS($H$28:$H38,$H38))</f>
        <v/>
      </c>
      <c r="BA38" s="96" t="str">
        <f>IF($H38="","",COUNTIFS($H$28:$H38,$H38,$B$28:$B38,$B38))</f>
        <v/>
      </c>
    </row>
    <row r="39" spans="1:53" ht="15" customHeight="1">
      <c r="A39" s="96" t="str">
        <f t="shared" si="0"/>
        <v/>
      </c>
      <c r="B39" s="97"/>
      <c r="C39" s="97"/>
      <c r="D39" s="98"/>
      <c r="E39" s="98"/>
      <c r="F39" s="97"/>
      <c r="G39" s="97"/>
      <c r="H39" s="97"/>
      <c r="I39" s="96" t="str">
        <f>IFERROR(INDEX(PROJETS!$C$56:$C$95,MATCH($H39,PROJETS!$A$56:$A$95,0)),"")</f>
        <v/>
      </c>
      <c r="J39" s="96" t="str">
        <f>IFERROR(INDEX(PROJETS!$J$56:$J$95,MATCH($H39,PROJETS!$A$56:$A$95,0)),"")</f>
        <v/>
      </c>
      <c r="K39" s="96" t="str">
        <f>IFERROR(INDEX(PROJETS!$N$56:$N$95,MATCH($H39,PROJETS!$A$56:$A$95,0)),"")</f>
        <v/>
      </c>
      <c r="L39" s="97"/>
      <c r="M39" s="96" t="str">
        <f>IFERROR(INDEX(ACTIVITES!$G$56:$G$105,MATCH($L39,ACTIVITES!$A$56:$A$105,0)),"")</f>
        <v/>
      </c>
      <c r="N39" s="97"/>
      <c r="O39" s="96" t="str">
        <f>IFERROR(INDEX(DONATEURS!$B$56:$B$205,MATCH($N39,DONATEURS!$A$56:$A$205,0)),"")</f>
        <v/>
      </c>
      <c r="P39" s="97"/>
      <c r="Q39" s="97"/>
      <c r="R39" s="97"/>
      <c r="S39" s="97"/>
      <c r="T39" s="97"/>
      <c r="U39" s="97"/>
      <c r="V39" s="97"/>
      <c r="W39" s="97"/>
      <c r="X39" s="99"/>
      <c r="Y39" s="99"/>
      <c r="Z39" s="96">
        <f t="shared" si="1"/>
        <v>0</v>
      </c>
      <c r="AA39" s="99"/>
      <c r="AB39" s="99"/>
      <c r="AC39" s="96" t="str">
        <f t="shared" si="2"/>
        <v/>
      </c>
      <c r="AD39" s="99"/>
      <c r="AE39" s="98"/>
      <c r="AF39" s="97"/>
      <c r="AG39" s="97"/>
      <c r="AH39" s="97"/>
      <c r="AI39" s="99"/>
      <c r="AJ39" s="99"/>
      <c r="AK39" s="96">
        <f t="shared" si="3"/>
        <v>0</v>
      </c>
      <c r="AL39" s="96">
        <f t="shared" si="4"/>
        <v>0</v>
      </c>
      <c r="AM39" s="96">
        <f t="shared" si="5"/>
        <v>0</v>
      </c>
      <c r="AN39" s="96">
        <f t="shared" si="6"/>
        <v>0</v>
      </c>
      <c r="AO39" s="96">
        <f t="shared" si="7"/>
        <v>0</v>
      </c>
      <c r="AP39" s="96">
        <f t="shared" si="8"/>
        <v>0</v>
      </c>
      <c r="AQ39" s="96" t="str">
        <f t="shared" si="9"/>
        <v/>
      </c>
      <c r="AR39" s="99"/>
      <c r="AS39" s="99"/>
      <c r="AT39" s="99"/>
      <c r="AU39" s="99"/>
      <c r="AV39" s="96">
        <f t="shared" si="10"/>
        <v>0</v>
      </c>
      <c r="AW39" s="96">
        <f t="shared" si="11"/>
        <v>0</v>
      </c>
      <c r="AX39" s="96">
        <f t="shared" si="12"/>
        <v>0</v>
      </c>
      <c r="AY39" s="97"/>
      <c r="AZ39" s="96" t="str">
        <f>IF($H39="","",COUNTIFS($H$28:$H39,$H39))</f>
        <v/>
      </c>
      <c r="BA39" s="96" t="str">
        <f>IF($H39="","",COUNTIFS($H$28:$H39,$H39,$B$28:$B39,$B39))</f>
        <v/>
      </c>
    </row>
    <row r="40" spans="1:53" ht="15" customHeight="1">
      <c r="A40" s="96" t="str">
        <f t="shared" si="0"/>
        <v/>
      </c>
      <c r="B40" s="97"/>
      <c r="C40" s="97"/>
      <c r="D40" s="98"/>
      <c r="E40" s="98"/>
      <c r="F40" s="97"/>
      <c r="G40" s="97"/>
      <c r="H40" s="97"/>
      <c r="I40" s="96" t="str">
        <f>IFERROR(INDEX(PROJETS!$C$56:$C$95,MATCH($H40,PROJETS!$A$56:$A$95,0)),"")</f>
        <v/>
      </c>
      <c r="J40" s="96" t="str">
        <f>IFERROR(INDEX(PROJETS!$J$56:$J$95,MATCH($H40,PROJETS!$A$56:$A$95,0)),"")</f>
        <v/>
      </c>
      <c r="K40" s="96" t="str">
        <f>IFERROR(INDEX(PROJETS!$N$56:$N$95,MATCH($H40,PROJETS!$A$56:$A$95,0)),"")</f>
        <v/>
      </c>
      <c r="L40" s="97"/>
      <c r="M40" s="96" t="str">
        <f>IFERROR(INDEX(ACTIVITES!$G$56:$G$105,MATCH($L40,ACTIVITES!$A$56:$A$105,0)),"")</f>
        <v/>
      </c>
      <c r="N40" s="97"/>
      <c r="O40" s="96" t="str">
        <f>IFERROR(INDEX(DONATEURS!$B$56:$B$205,MATCH($N40,DONATEURS!$A$56:$A$205,0)),"")</f>
        <v/>
      </c>
      <c r="P40" s="97"/>
      <c r="Q40" s="97"/>
      <c r="R40" s="97"/>
      <c r="S40" s="97"/>
      <c r="T40" s="97"/>
      <c r="U40" s="97"/>
      <c r="V40" s="97"/>
      <c r="W40" s="97"/>
      <c r="X40" s="99"/>
      <c r="Y40" s="99"/>
      <c r="Z40" s="96">
        <f t="shared" si="1"/>
        <v>0</v>
      </c>
      <c r="AA40" s="99"/>
      <c r="AB40" s="99"/>
      <c r="AC40" s="96" t="str">
        <f t="shared" si="2"/>
        <v/>
      </c>
      <c r="AD40" s="99"/>
      <c r="AE40" s="98"/>
      <c r="AF40" s="97"/>
      <c r="AG40" s="97"/>
      <c r="AH40" s="97"/>
      <c r="AI40" s="99"/>
      <c r="AJ40" s="99"/>
      <c r="AK40" s="96">
        <f t="shared" si="3"/>
        <v>0</v>
      </c>
      <c r="AL40" s="96">
        <f t="shared" si="4"/>
        <v>0</v>
      </c>
      <c r="AM40" s="96">
        <f t="shared" si="5"/>
        <v>0</v>
      </c>
      <c r="AN40" s="96">
        <f t="shared" si="6"/>
        <v>0</v>
      </c>
      <c r="AO40" s="96">
        <f t="shared" si="7"/>
        <v>0</v>
      </c>
      <c r="AP40" s="96">
        <f t="shared" si="8"/>
        <v>0</v>
      </c>
      <c r="AQ40" s="96" t="str">
        <f t="shared" si="9"/>
        <v/>
      </c>
      <c r="AR40" s="99"/>
      <c r="AS40" s="99"/>
      <c r="AT40" s="99"/>
      <c r="AU40" s="99"/>
      <c r="AV40" s="96">
        <f t="shared" si="10"/>
        <v>0</v>
      </c>
      <c r="AW40" s="96">
        <f t="shared" si="11"/>
        <v>0</v>
      </c>
      <c r="AX40" s="96">
        <f t="shared" si="12"/>
        <v>0</v>
      </c>
      <c r="AY40" s="97"/>
      <c r="AZ40" s="96" t="str">
        <f>IF($H40="","",COUNTIFS($H$28:$H40,$H40))</f>
        <v/>
      </c>
      <c r="BA40" s="96" t="str">
        <f>IF($H40="","",COUNTIFS($H$28:$H40,$H40,$B$28:$B40,$B40))</f>
        <v/>
      </c>
    </row>
    <row r="41" spans="1:53" ht="15" customHeight="1">
      <c r="A41" s="96" t="str">
        <f t="shared" si="0"/>
        <v/>
      </c>
      <c r="B41" s="97"/>
      <c r="C41" s="97"/>
      <c r="D41" s="98"/>
      <c r="E41" s="98"/>
      <c r="F41" s="97"/>
      <c r="G41" s="97"/>
      <c r="H41" s="97"/>
      <c r="I41" s="96" t="str">
        <f>IFERROR(INDEX(PROJETS!$C$56:$C$95,MATCH($H41,PROJETS!$A$56:$A$95,0)),"")</f>
        <v/>
      </c>
      <c r="J41" s="96" t="str">
        <f>IFERROR(INDEX(PROJETS!$J$56:$J$95,MATCH($H41,PROJETS!$A$56:$A$95,0)),"")</f>
        <v/>
      </c>
      <c r="K41" s="96" t="str">
        <f>IFERROR(INDEX(PROJETS!$N$56:$N$95,MATCH($H41,PROJETS!$A$56:$A$95,0)),"")</f>
        <v/>
      </c>
      <c r="L41" s="97"/>
      <c r="M41" s="96" t="str">
        <f>IFERROR(INDEX(ACTIVITES!$G$56:$G$105,MATCH($L41,ACTIVITES!$A$56:$A$105,0)),"")</f>
        <v/>
      </c>
      <c r="N41" s="97"/>
      <c r="O41" s="96" t="str">
        <f>IFERROR(INDEX(DONATEURS!$B$56:$B$205,MATCH($N41,DONATEURS!$A$56:$A$205,0)),"")</f>
        <v/>
      </c>
      <c r="P41" s="97"/>
      <c r="Q41" s="97"/>
      <c r="R41" s="97"/>
      <c r="S41" s="97"/>
      <c r="T41" s="97"/>
      <c r="U41" s="97"/>
      <c r="V41" s="97"/>
      <c r="W41" s="97"/>
      <c r="X41" s="99"/>
      <c r="Y41" s="99"/>
      <c r="Z41" s="96">
        <f t="shared" si="1"/>
        <v>0</v>
      </c>
      <c r="AA41" s="99"/>
      <c r="AB41" s="99"/>
      <c r="AC41" s="96" t="str">
        <f t="shared" si="2"/>
        <v/>
      </c>
      <c r="AD41" s="99"/>
      <c r="AE41" s="98"/>
      <c r="AF41" s="97"/>
      <c r="AG41" s="97"/>
      <c r="AH41" s="97"/>
      <c r="AI41" s="99"/>
      <c r="AJ41" s="99"/>
      <c r="AK41" s="96">
        <f t="shared" si="3"/>
        <v>0</v>
      </c>
      <c r="AL41" s="96">
        <f t="shared" si="4"/>
        <v>0</v>
      </c>
      <c r="AM41" s="96">
        <f t="shared" si="5"/>
        <v>0</v>
      </c>
      <c r="AN41" s="96">
        <f t="shared" si="6"/>
        <v>0</v>
      </c>
      <c r="AO41" s="96">
        <f t="shared" si="7"/>
        <v>0</v>
      </c>
      <c r="AP41" s="96">
        <f t="shared" si="8"/>
        <v>0</v>
      </c>
      <c r="AQ41" s="96" t="str">
        <f t="shared" si="9"/>
        <v/>
      </c>
      <c r="AR41" s="99"/>
      <c r="AS41" s="99"/>
      <c r="AT41" s="99"/>
      <c r="AU41" s="99"/>
      <c r="AV41" s="96">
        <f t="shared" si="10"/>
        <v>0</v>
      </c>
      <c r="AW41" s="96">
        <f t="shared" si="11"/>
        <v>0</v>
      </c>
      <c r="AX41" s="96">
        <f t="shared" si="12"/>
        <v>0</v>
      </c>
      <c r="AY41" s="97"/>
      <c r="AZ41" s="96" t="str">
        <f>IF($H41="","",COUNTIFS($H$28:$H41,$H41))</f>
        <v/>
      </c>
      <c r="BA41" s="96" t="str">
        <f>IF($H41="","",COUNTIFS($H$28:$H41,$H41,$B$28:$B41,$B41))</f>
        <v/>
      </c>
    </row>
    <row r="42" spans="1:53" ht="15" customHeight="1">
      <c r="A42" s="96" t="str">
        <f t="shared" si="0"/>
        <v/>
      </c>
      <c r="B42" s="97"/>
      <c r="C42" s="97"/>
      <c r="D42" s="98"/>
      <c r="E42" s="98"/>
      <c r="F42" s="97"/>
      <c r="G42" s="97"/>
      <c r="H42" s="97"/>
      <c r="I42" s="96" t="str">
        <f>IFERROR(INDEX(PROJETS!$C$56:$C$95,MATCH($H42,PROJETS!$A$56:$A$95,0)),"")</f>
        <v/>
      </c>
      <c r="J42" s="96" t="str">
        <f>IFERROR(INDEX(PROJETS!$J$56:$J$95,MATCH($H42,PROJETS!$A$56:$A$95,0)),"")</f>
        <v/>
      </c>
      <c r="K42" s="96" t="str">
        <f>IFERROR(INDEX(PROJETS!$N$56:$N$95,MATCH($H42,PROJETS!$A$56:$A$95,0)),"")</f>
        <v/>
      </c>
      <c r="L42" s="97"/>
      <c r="M42" s="96" t="str">
        <f>IFERROR(INDEX(ACTIVITES!$G$56:$G$105,MATCH($L42,ACTIVITES!$A$56:$A$105,0)),"")</f>
        <v/>
      </c>
      <c r="N42" s="97"/>
      <c r="O42" s="96" t="str">
        <f>IFERROR(INDEX(DONATEURS!$B$56:$B$205,MATCH($N42,DONATEURS!$A$56:$A$205,0)),"")</f>
        <v/>
      </c>
      <c r="P42" s="97"/>
      <c r="Q42" s="97"/>
      <c r="R42" s="97"/>
      <c r="S42" s="97"/>
      <c r="T42" s="97"/>
      <c r="U42" s="97"/>
      <c r="V42" s="97"/>
      <c r="W42" s="97"/>
      <c r="X42" s="99"/>
      <c r="Y42" s="99"/>
      <c r="Z42" s="96">
        <f t="shared" si="1"/>
        <v>0</v>
      </c>
      <c r="AA42" s="99"/>
      <c r="AB42" s="99"/>
      <c r="AC42" s="96" t="str">
        <f t="shared" si="2"/>
        <v/>
      </c>
      <c r="AD42" s="99"/>
      <c r="AE42" s="98"/>
      <c r="AF42" s="97"/>
      <c r="AG42" s="97"/>
      <c r="AH42" s="97"/>
      <c r="AI42" s="99"/>
      <c r="AJ42" s="99"/>
      <c r="AK42" s="96">
        <f t="shared" si="3"/>
        <v>0</v>
      </c>
      <c r="AL42" s="96">
        <f t="shared" si="4"/>
        <v>0</v>
      </c>
      <c r="AM42" s="96">
        <f t="shared" si="5"/>
        <v>0</v>
      </c>
      <c r="AN42" s="96">
        <f t="shared" si="6"/>
        <v>0</v>
      </c>
      <c r="AO42" s="96">
        <f t="shared" si="7"/>
        <v>0</v>
      </c>
      <c r="AP42" s="96">
        <f t="shared" si="8"/>
        <v>0</v>
      </c>
      <c r="AQ42" s="96" t="str">
        <f t="shared" si="9"/>
        <v/>
      </c>
      <c r="AR42" s="99"/>
      <c r="AS42" s="99"/>
      <c r="AT42" s="99"/>
      <c r="AU42" s="99"/>
      <c r="AV42" s="96">
        <f t="shared" si="10"/>
        <v>0</v>
      </c>
      <c r="AW42" s="96">
        <f t="shared" si="11"/>
        <v>0</v>
      </c>
      <c r="AX42" s="96">
        <f t="shared" si="12"/>
        <v>0</v>
      </c>
      <c r="AY42" s="97"/>
      <c r="AZ42" s="96" t="str">
        <f>IF($H42="","",COUNTIFS($H$28:$H42,$H42))</f>
        <v/>
      </c>
      <c r="BA42" s="96" t="str">
        <f>IF($H42="","",COUNTIFS($H$28:$H42,$H42,$B$28:$B42,$B42))</f>
        <v/>
      </c>
    </row>
    <row r="43" spans="1:53" ht="15" customHeight="1">
      <c r="A43" s="96" t="str">
        <f t="shared" si="0"/>
        <v/>
      </c>
      <c r="B43" s="97"/>
      <c r="C43" s="97"/>
      <c r="D43" s="98"/>
      <c r="E43" s="98"/>
      <c r="F43" s="97"/>
      <c r="G43" s="97"/>
      <c r="H43" s="97"/>
      <c r="I43" s="96" t="str">
        <f>IFERROR(INDEX(PROJETS!$C$56:$C$95,MATCH($H43,PROJETS!$A$56:$A$95,0)),"")</f>
        <v/>
      </c>
      <c r="J43" s="96" t="str">
        <f>IFERROR(INDEX(PROJETS!$J$56:$J$95,MATCH($H43,PROJETS!$A$56:$A$95,0)),"")</f>
        <v/>
      </c>
      <c r="K43" s="96" t="str">
        <f>IFERROR(INDEX(PROJETS!$N$56:$N$95,MATCH($H43,PROJETS!$A$56:$A$95,0)),"")</f>
        <v/>
      </c>
      <c r="L43" s="97"/>
      <c r="M43" s="96" t="str">
        <f>IFERROR(INDEX(ACTIVITES!$G$56:$G$105,MATCH($L43,ACTIVITES!$A$56:$A$105,0)),"")</f>
        <v/>
      </c>
      <c r="N43" s="97"/>
      <c r="O43" s="96" t="str">
        <f>IFERROR(INDEX(DONATEURS!$B$56:$B$205,MATCH($N43,DONATEURS!$A$56:$A$205,0)),"")</f>
        <v/>
      </c>
      <c r="P43" s="97"/>
      <c r="Q43" s="97"/>
      <c r="R43" s="97"/>
      <c r="S43" s="97"/>
      <c r="T43" s="97"/>
      <c r="U43" s="97"/>
      <c r="V43" s="97"/>
      <c r="W43" s="97"/>
      <c r="X43" s="99"/>
      <c r="Y43" s="99"/>
      <c r="Z43" s="96">
        <f t="shared" si="1"/>
        <v>0</v>
      </c>
      <c r="AA43" s="99"/>
      <c r="AB43" s="99"/>
      <c r="AC43" s="96" t="str">
        <f t="shared" si="2"/>
        <v/>
      </c>
      <c r="AD43" s="99"/>
      <c r="AE43" s="98"/>
      <c r="AF43" s="97"/>
      <c r="AG43" s="97"/>
      <c r="AH43" s="97"/>
      <c r="AI43" s="99"/>
      <c r="AJ43" s="99"/>
      <c r="AK43" s="96">
        <f t="shared" si="3"/>
        <v>0</v>
      </c>
      <c r="AL43" s="96">
        <f t="shared" si="4"/>
        <v>0</v>
      </c>
      <c r="AM43" s="96">
        <f t="shared" si="5"/>
        <v>0</v>
      </c>
      <c r="AN43" s="96">
        <f t="shared" si="6"/>
        <v>0</v>
      </c>
      <c r="AO43" s="96">
        <f t="shared" si="7"/>
        <v>0</v>
      </c>
      <c r="AP43" s="96">
        <f t="shared" si="8"/>
        <v>0</v>
      </c>
      <c r="AQ43" s="96" t="str">
        <f t="shared" si="9"/>
        <v/>
      </c>
      <c r="AR43" s="99"/>
      <c r="AS43" s="99"/>
      <c r="AT43" s="99"/>
      <c r="AU43" s="99"/>
      <c r="AV43" s="96">
        <f t="shared" si="10"/>
        <v>0</v>
      </c>
      <c r="AW43" s="96">
        <f t="shared" si="11"/>
        <v>0</v>
      </c>
      <c r="AX43" s="96">
        <f t="shared" si="12"/>
        <v>0</v>
      </c>
      <c r="AY43" s="97"/>
      <c r="AZ43" s="96" t="str">
        <f>IF($H43="","",COUNTIFS($H$28:$H43,$H43))</f>
        <v/>
      </c>
      <c r="BA43" s="96" t="str">
        <f>IF($H43="","",COUNTIFS($H$28:$H43,$H43,$B$28:$B43,$B43))</f>
        <v/>
      </c>
    </row>
    <row r="44" spans="1:53" ht="15" customHeight="1">
      <c r="A44" s="96" t="str">
        <f t="shared" si="0"/>
        <v/>
      </c>
      <c r="B44" s="97"/>
      <c r="C44" s="97"/>
      <c r="D44" s="98"/>
      <c r="E44" s="98"/>
      <c r="F44" s="97"/>
      <c r="G44" s="97"/>
      <c r="H44" s="97"/>
      <c r="I44" s="96" t="str">
        <f>IFERROR(INDEX(PROJETS!$C$56:$C$95,MATCH($H44,PROJETS!$A$56:$A$95,0)),"")</f>
        <v/>
      </c>
      <c r="J44" s="96" t="str">
        <f>IFERROR(INDEX(PROJETS!$J$56:$J$95,MATCH($H44,PROJETS!$A$56:$A$95,0)),"")</f>
        <v/>
      </c>
      <c r="K44" s="96" t="str">
        <f>IFERROR(INDEX(PROJETS!$N$56:$N$95,MATCH($H44,PROJETS!$A$56:$A$95,0)),"")</f>
        <v/>
      </c>
      <c r="L44" s="97"/>
      <c r="M44" s="96" t="str">
        <f>IFERROR(INDEX(ACTIVITES!$G$56:$G$105,MATCH($L44,ACTIVITES!$A$56:$A$105,0)),"")</f>
        <v/>
      </c>
      <c r="N44" s="97"/>
      <c r="O44" s="96" t="str">
        <f>IFERROR(INDEX(DONATEURS!$B$56:$B$205,MATCH($N44,DONATEURS!$A$56:$A$205,0)),"")</f>
        <v/>
      </c>
      <c r="P44" s="97"/>
      <c r="Q44" s="97"/>
      <c r="R44" s="97"/>
      <c r="S44" s="97"/>
      <c r="T44" s="97"/>
      <c r="U44" s="97"/>
      <c r="V44" s="97"/>
      <c r="W44" s="97"/>
      <c r="X44" s="99"/>
      <c r="Y44" s="99"/>
      <c r="Z44" s="96">
        <f t="shared" si="1"/>
        <v>0</v>
      </c>
      <c r="AA44" s="99"/>
      <c r="AB44" s="99"/>
      <c r="AC44" s="96" t="str">
        <f t="shared" si="2"/>
        <v/>
      </c>
      <c r="AD44" s="99"/>
      <c r="AE44" s="98"/>
      <c r="AF44" s="97"/>
      <c r="AG44" s="97"/>
      <c r="AH44" s="97"/>
      <c r="AI44" s="99"/>
      <c r="AJ44" s="99"/>
      <c r="AK44" s="96">
        <f t="shared" si="3"/>
        <v>0</v>
      </c>
      <c r="AL44" s="96">
        <f t="shared" si="4"/>
        <v>0</v>
      </c>
      <c r="AM44" s="96">
        <f t="shared" si="5"/>
        <v>0</v>
      </c>
      <c r="AN44" s="96">
        <f t="shared" si="6"/>
        <v>0</v>
      </c>
      <c r="AO44" s="96">
        <f t="shared" si="7"/>
        <v>0</v>
      </c>
      <c r="AP44" s="96">
        <f t="shared" si="8"/>
        <v>0</v>
      </c>
      <c r="AQ44" s="96" t="str">
        <f t="shared" si="9"/>
        <v/>
      </c>
      <c r="AR44" s="99"/>
      <c r="AS44" s="99"/>
      <c r="AT44" s="99"/>
      <c r="AU44" s="99"/>
      <c r="AV44" s="96">
        <f t="shared" si="10"/>
        <v>0</v>
      </c>
      <c r="AW44" s="96">
        <f t="shared" si="11"/>
        <v>0</v>
      </c>
      <c r="AX44" s="96">
        <f t="shared" si="12"/>
        <v>0</v>
      </c>
      <c r="AY44" s="97"/>
      <c r="AZ44" s="96" t="str">
        <f>IF($H44="","",COUNTIFS($H$28:$H44,$H44))</f>
        <v/>
      </c>
      <c r="BA44" s="96" t="str">
        <f>IF($H44="","",COUNTIFS($H$28:$H44,$H44,$B$28:$B44,$B44))</f>
        <v/>
      </c>
    </row>
    <row r="45" spans="1:53" ht="15" customHeight="1">
      <c r="A45" s="96" t="str">
        <f t="shared" si="0"/>
        <v/>
      </c>
      <c r="B45" s="97"/>
      <c r="C45" s="97"/>
      <c r="D45" s="98"/>
      <c r="E45" s="98"/>
      <c r="F45" s="97"/>
      <c r="G45" s="97"/>
      <c r="H45" s="97"/>
      <c r="I45" s="96" t="str">
        <f>IFERROR(INDEX(PROJETS!$C$56:$C$95,MATCH($H45,PROJETS!$A$56:$A$95,0)),"")</f>
        <v/>
      </c>
      <c r="J45" s="96" t="str">
        <f>IFERROR(INDEX(PROJETS!$J$56:$J$95,MATCH($H45,PROJETS!$A$56:$A$95,0)),"")</f>
        <v/>
      </c>
      <c r="K45" s="96" t="str">
        <f>IFERROR(INDEX(PROJETS!$N$56:$N$95,MATCH($H45,PROJETS!$A$56:$A$95,0)),"")</f>
        <v/>
      </c>
      <c r="L45" s="97"/>
      <c r="M45" s="96" t="str">
        <f>IFERROR(INDEX(ACTIVITES!$G$56:$G$105,MATCH($L45,ACTIVITES!$A$56:$A$105,0)),"")</f>
        <v/>
      </c>
      <c r="N45" s="97"/>
      <c r="O45" s="96" t="str">
        <f>IFERROR(INDEX(DONATEURS!$B$56:$B$205,MATCH($N45,DONATEURS!$A$56:$A$205,0)),"")</f>
        <v/>
      </c>
      <c r="P45" s="97"/>
      <c r="Q45" s="97"/>
      <c r="R45" s="97"/>
      <c r="S45" s="97"/>
      <c r="T45" s="97"/>
      <c r="U45" s="97"/>
      <c r="V45" s="97"/>
      <c r="W45" s="97"/>
      <c r="X45" s="99"/>
      <c r="Y45" s="99"/>
      <c r="Z45" s="96">
        <f t="shared" si="1"/>
        <v>0</v>
      </c>
      <c r="AA45" s="99"/>
      <c r="AB45" s="99"/>
      <c r="AC45" s="96" t="str">
        <f t="shared" si="2"/>
        <v/>
      </c>
      <c r="AD45" s="99"/>
      <c r="AE45" s="98"/>
      <c r="AF45" s="97"/>
      <c r="AG45" s="97"/>
      <c r="AH45" s="97"/>
      <c r="AI45" s="99"/>
      <c r="AJ45" s="99"/>
      <c r="AK45" s="96">
        <f t="shared" si="3"/>
        <v>0</v>
      </c>
      <c r="AL45" s="96">
        <f t="shared" si="4"/>
        <v>0</v>
      </c>
      <c r="AM45" s="96">
        <f t="shared" si="5"/>
        <v>0</v>
      </c>
      <c r="AN45" s="96">
        <f t="shared" si="6"/>
        <v>0</v>
      </c>
      <c r="AO45" s="96">
        <f t="shared" si="7"/>
        <v>0</v>
      </c>
      <c r="AP45" s="96">
        <f t="shared" si="8"/>
        <v>0</v>
      </c>
      <c r="AQ45" s="96" t="str">
        <f t="shared" si="9"/>
        <v/>
      </c>
      <c r="AR45" s="99"/>
      <c r="AS45" s="99"/>
      <c r="AT45" s="99"/>
      <c r="AU45" s="99"/>
      <c r="AV45" s="96">
        <f t="shared" si="10"/>
        <v>0</v>
      </c>
      <c r="AW45" s="96">
        <f t="shared" si="11"/>
        <v>0</v>
      </c>
      <c r="AX45" s="96">
        <f t="shared" si="12"/>
        <v>0</v>
      </c>
      <c r="AY45" s="97"/>
      <c r="AZ45" s="96" t="str">
        <f>IF($H45="","",COUNTIFS($H$28:$H45,$H45))</f>
        <v/>
      </c>
      <c r="BA45" s="96" t="str">
        <f>IF($H45="","",COUNTIFS($H$28:$H45,$H45,$B$28:$B45,$B45))</f>
        <v/>
      </c>
    </row>
    <row r="46" spans="1:53" ht="15" customHeight="1">
      <c r="A46" s="96" t="str">
        <f t="shared" si="0"/>
        <v/>
      </c>
      <c r="B46" s="97"/>
      <c r="C46" s="97"/>
      <c r="D46" s="98"/>
      <c r="E46" s="98"/>
      <c r="F46" s="97"/>
      <c r="G46" s="97"/>
      <c r="H46" s="97"/>
      <c r="I46" s="96" t="str">
        <f>IFERROR(INDEX(PROJETS!$C$56:$C$95,MATCH($H46,PROJETS!$A$56:$A$95,0)),"")</f>
        <v/>
      </c>
      <c r="J46" s="96" t="str">
        <f>IFERROR(INDEX(PROJETS!$J$56:$J$95,MATCH($H46,PROJETS!$A$56:$A$95,0)),"")</f>
        <v/>
      </c>
      <c r="K46" s="96" t="str">
        <f>IFERROR(INDEX(PROJETS!$N$56:$N$95,MATCH($H46,PROJETS!$A$56:$A$95,0)),"")</f>
        <v/>
      </c>
      <c r="L46" s="97"/>
      <c r="M46" s="96" t="str">
        <f>IFERROR(INDEX(ACTIVITES!$G$56:$G$105,MATCH($L46,ACTIVITES!$A$56:$A$105,0)),"")</f>
        <v/>
      </c>
      <c r="N46" s="97"/>
      <c r="O46" s="96" t="str">
        <f>IFERROR(INDEX(DONATEURS!$B$56:$B$205,MATCH($N46,DONATEURS!$A$56:$A$205,0)),"")</f>
        <v/>
      </c>
      <c r="P46" s="97"/>
      <c r="Q46" s="97"/>
      <c r="R46" s="97"/>
      <c r="S46" s="97"/>
      <c r="T46" s="97"/>
      <c r="U46" s="97"/>
      <c r="V46" s="97"/>
      <c r="W46" s="97"/>
      <c r="X46" s="99"/>
      <c r="Y46" s="99"/>
      <c r="Z46" s="96">
        <f t="shared" si="1"/>
        <v>0</v>
      </c>
      <c r="AA46" s="99"/>
      <c r="AB46" s="99"/>
      <c r="AC46" s="96" t="str">
        <f t="shared" si="2"/>
        <v/>
      </c>
      <c r="AD46" s="99"/>
      <c r="AE46" s="98"/>
      <c r="AF46" s="97"/>
      <c r="AG46" s="97"/>
      <c r="AH46" s="97"/>
      <c r="AI46" s="99"/>
      <c r="AJ46" s="99"/>
      <c r="AK46" s="96">
        <f t="shared" si="3"/>
        <v>0</v>
      </c>
      <c r="AL46" s="96">
        <f t="shared" si="4"/>
        <v>0</v>
      </c>
      <c r="AM46" s="96">
        <f t="shared" si="5"/>
        <v>0</v>
      </c>
      <c r="AN46" s="96">
        <f t="shared" si="6"/>
        <v>0</v>
      </c>
      <c r="AO46" s="96">
        <f t="shared" si="7"/>
        <v>0</v>
      </c>
      <c r="AP46" s="96">
        <f t="shared" si="8"/>
        <v>0</v>
      </c>
      <c r="AQ46" s="96" t="str">
        <f t="shared" si="9"/>
        <v/>
      </c>
      <c r="AR46" s="99"/>
      <c r="AS46" s="99"/>
      <c r="AT46" s="99"/>
      <c r="AU46" s="99"/>
      <c r="AV46" s="96">
        <f t="shared" si="10"/>
        <v>0</v>
      </c>
      <c r="AW46" s="96">
        <f t="shared" si="11"/>
        <v>0</v>
      </c>
      <c r="AX46" s="96">
        <f t="shared" si="12"/>
        <v>0</v>
      </c>
      <c r="AY46" s="97"/>
      <c r="AZ46" s="96" t="str">
        <f>IF($H46="","",COUNTIFS($H$28:$H46,$H46))</f>
        <v/>
      </c>
      <c r="BA46" s="96" t="str">
        <f>IF($H46="","",COUNTIFS($H$28:$H46,$H46,$B$28:$B46,$B46))</f>
        <v/>
      </c>
    </row>
    <row r="47" spans="1:53" ht="15" customHeight="1">
      <c r="A47" s="96" t="str">
        <f t="shared" si="0"/>
        <v/>
      </c>
      <c r="B47" s="97"/>
      <c r="C47" s="97"/>
      <c r="D47" s="98"/>
      <c r="E47" s="98"/>
      <c r="F47" s="97"/>
      <c r="G47" s="97"/>
      <c r="H47" s="97"/>
      <c r="I47" s="96" t="str">
        <f>IFERROR(INDEX(PROJETS!$C$56:$C$95,MATCH($H47,PROJETS!$A$56:$A$95,0)),"")</f>
        <v/>
      </c>
      <c r="J47" s="96" t="str">
        <f>IFERROR(INDEX(PROJETS!$J$56:$J$95,MATCH($H47,PROJETS!$A$56:$A$95,0)),"")</f>
        <v/>
      </c>
      <c r="K47" s="96" t="str">
        <f>IFERROR(INDEX(PROJETS!$N$56:$N$95,MATCH($H47,PROJETS!$A$56:$A$95,0)),"")</f>
        <v/>
      </c>
      <c r="L47" s="97"/>
      <c r="M47" s="96" t="str">
        <f>IFERROR(INDEX(ACTIVITES!$G$56:$G$105,MATCH($L47,ACTIVITES!$A$56:$A$105,0)),"")</f>
        <v/>
      </c>
      <c r="N47" s="97"/>
      <c r="O47" s="96" t="str">
        <f>IFERROR(INDEX(DONATEURS!$B$56:$B$205,MATCH($N47,DONATEURS!$A$56:$A$205,0)),"")</f>
        <v/>
      </c>
      <c r="P47" s="97"/>
      <c r="Q47" s="97"/>
      <c r="R47" s="97"/>
      <c r="S47" s="97"/>
      <c r="T47" s="97"/>
      <c r="U47" s="97"/>
      <c r="V47" s="97"/>
      <c r="W47" s="97"/>
      <c r="X47" s="99"/>
      <c r="Y47" s="99"/>
      <c r="Z47" s="96">
        <f t="shared" si="1"/>
        <v>0</v>
      </c>
      <c r="AA47" s="99"/>
      <c r="AB47" s="99"/>
      <c r="AC47" s="96" t="str">
        <f t="shared" si="2"/>
        <v/>
      </c>
      <c r="AD47" s="99"/>
      <c r="AE47" s="98"/>
      <c r="AF47" s="97"/>
      <c r="AG47" s="97"/>
      <c r="AH47" s="97"/>
      <c r="AI47" s="99"/>
      <c r="AJ47" s="99"/>
      <c r="AK47" s="96">
        <f t="shared" si="3"/>
        <v>0</v>
      </c>
      <c r="AL47" s="96">
        <f t="shared" si="4"/>
        <v>0</v>
      </c>
      <c r="AM47" s="96">
        <f t="shared" si="5"/>
        <v>0</v>
      </c>
      <c r="AN47" s="96">
        <f t="shared" si="6"/>
        <v>0</v>
      </c>
      <c r="AO47" s="96">
        <f t="shared" si="7"/>
        <v>0</v>
      </c>
      <c r="AP47" s="96">
        <f t="shared" si="8"/>
        <v>0</v>
      </c>
      <c r="AQ47" s="96" t="str">
        <f t="shared" si="9"/>
        <v/>
      </c>
      <c r="AR47" s="99"/>
      <c r="AS47" s="99"/>
      <c r="AT47" s="99"/>
      <c r="AU47" s="99"/>
      <c r="AV47" s="96">
        <f t="shared" si="10"/>
        <v>0</v>
      </c>
      <c r="AW47" s="96">
        <f t="shared" si="11"/>
        <v>0</v>
      </c>
      <c r="AX47" s="96">
        <f t="shared" si="12"/>
        <v>0</v>
      </c>
      <c r="AY47" s="97"/>
      <c r="AZ47" s="96" t="str">
        <f>IF($H47="","",COUNTIFS($H$28:$H47,$H47))</f>
        <v/>
      </c>
      <c r="BA47" s="96" t="str">
        <f>IF($H47="","",COUNTIFS($H$28:$H47,$H47,$B$28:$B47,$B47))</f>
        <v/>
      </c>
    </row>
    <row r="48" spans="1:53" ht="15" customHeight="1">
      <c r="A48" s="96" t="str">
        <f t="shared" si="0"/>
        <v/>
      </c>
      <c r="B48" s="97"/>
      <c r="C48" s="97"/>
      <c r="D48" s="98"/>
      <c r="E48" s="98"/>
      <c r="F48" s="97"/>
      <c r="G48" s="97"/>
      <c r="H48" s="97"/>
      <c r="I48" s="96" t="str">
        <f>IFERROR(INDEX(PROJETS!$C$56:$C$95,MATCH($H48,PROJETS!$A$56:$A$95,0)),"")</f>
        <v/>
      </c>
      <c r="J48" s="96" t="str">
        <f>IFERROR(INDEX(PROJETS!$J$56:$J$95,MATCH($H48,PROJETS!$A$56:$A$95,0)),"")</f>
        <v/>
      </c>
      <c r="K48" s="96" t="str">
        <f>IFERROR(INDEX(PROJETS!$N$56:$N$95,MATCH($H48,PROJETS!$A$56:$A$95,0)),"")</f>
        <v/>
      </c>
      <c r="L48" s="97"/>
      <c r="M48" s="96" t="str">
        <f>IFERROR(INDEX(ACTIVITES!$G$56:$G$105,MATCH($L48,ACTIVITES!$A$56:$A$105,0)),"")</f>
        <v/>
      </c>
      <c r="N48" s="97"/>
      <c r="O48" s="96" t="str">
        <f>IFERROR(INDEX(DONATEURS!$B$56:$B$205,MATCH($N48,DONATEURS!$A$56:$A$205,0)),"")</f>
        <v/>
      </c>
      <c r="P48" s="97"/>
      <c r="Q48" s="97"/>
      <c r="R48" s="97"/>
      <c r="S48" s="97"/>
      <c r="T48" s="97"/>
      <c r="U48" s="97"/>
      <c r="V48" s="97"/>
      <c r="W48" s="97"/>
      <c r="X48" s="99"/>
      <c r="Y48" s="99"/>
      <c r="Z48" s="96">
        <f t="shared" si="1"/>
        <v>0</v>
      </c>
      <c r="AA48" s="99"/>
      <c r="AB48" s="99"/>
      <c r="AC48" s="96" t="str">
        <f t="shared" si="2"/>
        <v/>
      </c>
      <c r="AD48" s="99"/>
      <c r="AE48" s="98"/>
      <c r="AF48" s="97"/>
      <c r="AG48" s="97"/>
      <c r="AH48" s="97"/>
      <c r="AI48" s="99"/>
      <c r="AJ48" s="99"/>
      <c r="AK48" s="96">
        <f t="shared" si="3"/>
        <v>0</v>
      </c>
      <c r="AL48" s="96">
        <f t="shared" si="4"/>
        <v>0</v>
      </c>
      <c r="AM48" s="96">
        <f t="shared" si="5"/>
        <v>0</v>
      </c>
      <c r="AN48" s="96">
        <f t="shared" si="6"/>
        <v>0</v>
      </c>
      <c r="AO48" s="96">
        <f t="shared" si="7"/>
        <v>0</v>
      </c>
      <c r="AP48" s="96">
        <f t="shared" si="8"/>
        <v>0</v>
      </c>
      <c r="AQ48" s="96" t="str">
        <f t="shared" si="9"/>
        <v/>
      </c>
      <c r="AR48" s="99"/>
      <c r="AS48" s="99"/>
      <c r="AT48" s="99"/>
      <c r="AU48" s="99"/>
      <c r="AV48" s="96">
        <f t="shared" si="10"/>
        <v>0</v>
      </c>
      <c r="AW48" s="96">
        <f t="shared" si="11"/>
        <v>0</v>
      </c>
      <c r="AX48" s="96">
        <f t="shared" si="12"/>
        <v>0</v>
      </c>
      <c r="AY48" s="97"/>
      <c r="AZ48" s="96" t="str">
        <f>IF($H48="","",COUNTIFS($H$28:$H48,$H48))</f>
        <v/>
      </c>
      <c r="BA48" s="96" t="str">
        <f>IF($H48="","",COUNTIFS($H$28:$H48,$H48,$B$28:$B48,$B48))</f>
        <v/>
      </c>
    </row>
    <row r="49" spans="1:53" ht="15" customHeight="1">
      <c r="A49" s="96" t="str">
        <f t="shared" si="0"/>
        <v/>
      </c>
      <c r="B49" s="97"/>
      <c r="C49" s="97"/>
      <c r="D49" s="98"/>
      <c r="E49" s="98"/>
      <c r="F49" s="97"/>
      <c r="G49" s="97"/>
      <c r="H49" s="97"/>
      <c r="I49" s="96" t="str">
        <f>IFERROR(INDEX(PROJETS!$C$56:$C$95,MATCH($H49,PROJETS!$A$56:$A$95,0)),"")</f>
        <v/>
      </c>
      <c r="J49" s="96" t="str">
        <f>IFERROR(INDEX(PROJETS!$J$56:$J$95,MATCH($H49,PROJETS!$A$56:$A$95,0)),"")</f>
        <v/>
      </c>
      <c r="K49" s="96" t="str">
        <f>IFERROR(INDEX(PROJETS!$N$56:$N$95,MATCH($H49,PROJETS!$A$56:$A$95,0)),"")</f>
        <v/>
      </c>
      <c r="L49" s="97"/>
      <c r="M49" s="96" t="str">
        <f>IFERROR(INDEX(ACTIVITES!$G$56:$G$105,MATCH($L49,ACTIVITES!$A$56:$A$105,0)),"")</f>
        <v/>
      </c>
      <c r="N49" s="97"/>
      <c r="O49" s="96" t="str">
        <f>IFERROR(INDEX(DONATEURS!$B$56:$B$205,MATCH($N49,DONATEURS!$A$56:$A$205,0)),"")</f>
        <v/>
      </c>
      <c r="P49" s="97"/>
      <c r="Q49" s="97"/>
      <c r="R49" s="97"/>
      <c r="S49" s="97"/>
      <c r="T49" s="97"/>
      <c r="U49" s="97"/>
      <c r="V49" s="97"/>
      <c r="W49" s="97"/>
      <c r="X49" s="99"/>
      <c r="Y49" s="99"/>
      <c r="Z49" s="96">
        <f t="shared" si="1"/>
        <v>0</v>
      </c>
      <c r="AA49" s="99"/>
      <c r="AB49" s="99"/>
      <c r="AC49" s="96" t="str">
        <f t="shared" si="2"/>
        <v/>
      </c>
      <c r="AD49" s="99"/>
      <c r="AE49" s="98"/>
      <c r="AF49" s="97"/>
      <c r="AG49" s="97"/>
      <c r="AH49" s="97"/>
      <c r="AI49" s="99"/>
      <c r="AJ49" s="99"/>
      <c r="AK49" s="96">
        <f t="shared" si="3"/>
        <v>0</v>
      </c>
      <c r="AL49" s="96">
        <f t="shared" si="4"/>
        <v>0</v>
      </c>
      <c r="AM49" s="96">
        <f t="shared" si="5"/>
        <v>0</v>
      </c>
      <c r="AN49" s="96">
        <f t="shared" si="6"/>
        <v>0</v>
      </c>
      <c r="AO49" s="96">
        <f t="shared" si="7"/>
        <v>0</v>
      </c>
      <c r="AP49" s="96">
        <f t="shared" si="8"/>
        <v>0</v>
      </c>
      <c r="AQ49" s="96" t="str">
        <f t="shared" si="9"/>
        <v/>
      </c>
      <c r="AR49" s="99"/>
      <c r="AS49" s="99"/>
      <c r="AT49" s="99"/>
      <c r="AU49" s="99"/>
      <c r="AV49" s="96">
        <f t="shared" si="10"/>
        <v>0</v>
      </c>
      <c r="AW49" s="96">
        <f t="shared" si="11"/>
        <v>0</v>
      </c>
      <c r="AX49" s="96">
        <f t="shared" si="12"/>
        <v>0</v>
      </c>
      <c r="AY49" s="97"/>
      <c r="AZ49" s="96" t="str">
        <f>IF($H49="","",COUNTIFS($H$28:$H49,$H49))</f>
        <v/>
      </c>
      <c r="BA49" s="96" t="str">
        <f>IF($H49="","",COUNTIFS($H$28:$H49,$H49,$B$28:$B49,$B49))</f>
        <v/>
      </c>
    </row>
    <row r="50" spans="1:53" ht="15" customHeight="1">
      <c r="A50" s="96" t="str">
        <f t="shared" si="0"/>
        <v/>
      </c>
      <c r="B50" s="97"/>
      <c r="C50" s="97"/>
      <c r="D50" s="98"/>
      <c r="E50" s="98"/>
      <c r="F50" s="97"/>
      <c r="G50" s="97"/>
      <c r="H50" s="97"/>
      <c r="I50" s="96" t="str">
        <f>IFERROR(INDEX(PROJETS!$C$56:$C$95,MATCH($H50,PROJETS!$A$56:$A$95,0)),"")</f>
        <v/>
      </c>
      <c r="J50" s="96" t="str">
        <f>IFERROR(INDEX(PROJETS!$J$56:$J$95,MATCH($H50,PROJETS!$A$56:$A$95,0)),"")</f>
        <v/>
      </c>
      <c r="K50" s="96" t="str">
        <f>IFERROR(INDEX(PROJETS!$N$56:$N$95,MATCH($H50,PROJETS!$A$56:$A$95,0)),"")</f>
        <v/>
      </c>
      <c r="L50" s="97"/>
      <c r="M50" s="96" t="str">
        <f>IFERROR(INDEX(ACTIVITES!$G$56:$G$105,MATCH($L50,ACTIVITES!$A$56:$A$105,0)),"")</f>
        <v/>
      </c>
      <c r="N50" s="97"/>
      <c r="O50" s="96" t="str">
        <f>IFERROR(INDEX(DONATEURS!$B$56:$B$205,MATCH($N50,DONATEURS!$A$56:$A$205,0)),"")</f>
        <v/>
      </c>
      <c r="P50" s="97"/>
      <c r="Q50" s="97"/>
      <c r="R50" s="97"/>
      <c r="S50" s="97"/>
      <c r="T50" s="97"/>
      <c r="U50" s="97"/>
      <c r="V50" s="97"/>
      <c r="W50" s="97"/>
      <c r="X50" s="99"/>
      <c r="Y50" s="99"/>
      <c r="Z50" s="96">
        <f t="shared" si="1"/>
        <v>0</v>
      </c>
      <c r="AA50" s="99"/>
      <c r="AB50" s="99"/>
      <c r="AC50" s="96" t="str">
        <f t="shared" si="2"/>
        <v/>
      </c>
      <c r="AD50" s="99"/>
      <c r="AE50" s="98"/>
      <c r="AF50" s="97"/>
      <c r="AG50" s="97"/>
      <c r="AH50" s="97"/>
      <c r="AI50" s="99"/>
      <c r="AJ50" s="99"/>
      <c r="AK50" s="96">
        <f t="shared" si="3"/>
        <v>0</v>
      </c>
      <c r="AL50" s="96">
        <f t="shared" si="4"/>
        <v>0</v>
      </c>
      <c r="AM50" s="96">
        <f t="shared" si="5"/>
        <v>0</v>
      </c>
      <c r="AN50" s="96">
        <f t="shared" si="6"/>
        <v>0</v>
      </c>
      <c r="AO50" s="96">
        <f t="shared" si="7"/>
        <v>0</v>
      </c>
      <c r="AP50" s="96">
        <f t="shared" si="8"/>
        <v>0</v>
      </c>
      <c r="AQ50" s="96" t="str">
        <f t="shared" si="9"/>
        <v/>
      </c>
      <c r="AR50" s="99"/>
      <c r="AS50" s="99"/>
      <c r="AT50" s="99"/>
      <c r="AU50" s="99"/>
      <c r="AV50" s="96">
        <f t="shared" si="10"/>
        <v>0</v>
      </c>
      <c r="AW50" s="96">
        <f t="shared" si="11"/>
        <v>0</v>
      </c>
      <c r="AX50" s="96">
        <f t="shared" si="12"/>
        <v>0</v>
      </c>
      <c r="AY50" s="97"/>
      <c r="AZ50" s="96" t="str">
        <f>IF($H50="","",COUNTIFS($H$28:$H50,$H50))</f>
        <v/>
      </c>
      <c r="BA50" s="96" t="str">
        <f>IF($H50="","",COUNTIFS($H$28:$H50,$H50,$B$28:$B50,$B50))</f>
        <v/>
      </c>
    </row>
    <row r="51" spans="1:53" ht="15" customHeight="1">
      <c r="A51" s="96" t="str">
        <f t="shared" si="0"/>
        <v/>
      </c>
      <c r="B51" s="97"/>
      <c r="C51" s="97"/>
      <c r="D51" s="98"/>
      <c r="E51" s="98"/>
      <c r="F51" s="97"/>
      <c r="G51" s="97"/>
      <c r="H51" s="97"/>
      <c r="I51" s="96" t="str">
        <f>IFERROR(INDEX(PROJETS!$C$56:$C$95,MATCH($H51,PROJETS!$A$56:$A$95,0)),"")</f>
        <v/>
      </c>
      <c r="J51" s="96" t="str">
        <f>IFERROR(INDEX(PROJETS!$J$56:$J$95,MATCH($H51,PROJETS!$A$56:$A$95,0)),"")</f>
        <v/>
      </c>
      <c r="K51" s="96" t="str">
        <f>IFERROR(INDEX(PROJETS!$N$56:$N$95,MATCH($H51,PROJETS!$A$56:$A$95,0)),"")</f>
        <v/>
      </c>
      <c r="L51" s="97"/>
      <c r="M51" s="96" t="str">
        <f>IFERROR(INDEX(ACTIVITES!$G$56:$G$105,MATCH($L51,ACTIVITES!$A$56:$A$105,0)),"")</f>
        <v/>
      </c>
      <c r="N51" s="97"/>
      <c r="O51" s="96" t="str">
        <f>IFERROR(INDEX(DONATEURS!$B$56:$B$205,MATCH($N51,DONATEURS!$A$56:$A$205,0)),"")</f>
        <v/>
      </c>
      <c r="P51" s="97"/>
      <c r="Q51" s="97"/>
      <c r="R51" s="97"/>
      <c r="S51" s="97"/>
      <c r="T51" s="97"/>
      <c r="U51" s="97"/>
      <c r="V51" s="97"/>
      <c r="W51" s="97"/>
      <c r="X51" s="99"/>
      <c r="Y51" s="99"/>
      <c r="Z51" s="96">
        <f t="shared" si="1"/>
        <v>0</v>
      </c>
      <c r="AA51" s="99"/>
      <c r="AB51" s="99"/>
      <c r="AC51" s="96" t="str">
        <f t="shared" si="2"/>
        <v/>
      </c>
      <c r="AD51" s="99"/>
      <c r="AE51" s="98"/>
      <c r="AF51" s="97"/>
      <c r="AG51" s="97"/>
      <c r="AH51" s="97"/>
      <c r="AI51" s="99"/>
      <c r="AJ51" s="99"/>
      <c r="AK51" s="96">
        <f t="shared" si="3"/>
        <v>0</v>
      </c>
      <c r="AL51" s="96">
        <f t="shared" si="4"/>
        <v>0</v>
      </c>
      <c r="AM51" s="96">
        <f t="shared" si="5"/>
        <v>0</v>
      </c>
      <c r="AN51" s="96">
        <f t="shared" si="6"/>
        <v>0</v>
      </c>
      <c r="AO51" s="96">
        <f t="shared" si="7"/>
        <v>0</v>
      </c>
      <c r="AP51" s="96">
        <f t="shared" si="8"/>
        <v>0</v>
      </c>
      <c r="AQ51" s="96" t="str">
        <f t="shared" si="9"/>
        <v/>
      </c>
      <c r="AR51" s="99"/>
      <c r="AS51" s="99"/>
      <c r="AT51" s="99"/>
      <c r="AU51" s="99"/>
      <c r="AV51" s="96">
        <f t="shared" si="10"/>
        <v>0</v>
      </c>
      <c r="AW51" s="96">
        <f t="shared" si="11"/>
        <v>0</v>
      </c>
      <c r="AX51" s="96">
        <f t="shared" si="12"/>
        <v>0</v>
      </c>
      <c r="AY51" s="97"/>
      <c r="AZ51" s="96" t="str">
        <f>IF($H51="","",COUNTIFS($H$28:$H51,$H51))</f>
        <v/>
      </c>
      <c r="BA51" s="96" t="str">
        <f>IF($H51="","",COUNTIFS($H$28:$H51,$H51,$B$28:$B51,$B51))</f>
        <v/>
      </c>
    </row>
    <row r="52" spans="1:53" ht="15" customHeight="1">
      <c r="A52" s="96" t="str">
        <f t="shared" si="0"/>
        <v/>
      </c>
      <c r="B52" s="97"/>
      <c r="C52" s="97"/>
      <c r="D52" s="98"/>
      <c r="E52" s="98"/>
      <c r="F52" s="97"/>
      <c r="G52" s="97"/>
      <c r="H52" s="97"/>
      <c r="I52" s="96" t="str">
        <f>IFERROR(INDEX(PROJETS!$C$56:$C$95,MATCH($H52,PROJETS!$A$56:$A$95,0)),"")</f>
        <v/>
      </c>
      <c r="J52" s="96" t="str">
        <f>IFERROR(INDEX(PROJETS!$J$56:$J$95,MATCH($H52,PROJETS!$A$56:$A$95,0)),"")</f>
        <v/>
      </c>
      <c r="K52" s="96" t="str">
        <f>IFERROR(INDEX(PROJETS!$N$56:$N$95,MATCH($H52,PROJETS!$A$56:$A$95,0)),"")</f>
        <v/>
      </c>
      <c r="L52" s="97"/>
      <c r="M52" s="96" t="str">
        <f>IFERROR(INDEX(ACTIVITES!$G$56:$G$105,MATCH($L52,ACTIVITES!$A$56:$A$105,0)),"")</f>
        <v/>
      </c>
      <c r="N52" s="97"/>
      <c r="O52" s="96" t="str">
        <f>IFERROR(INDEX(DONATEURS!$B$56:$B$205,MATCH($N52,DONATEURS!$A$56:$A$205,0)),"")</f>
        <v/>
      </c>
      <c r="P52" s="97"/>
      <c r="Q52" s="97"/>
      <c r="R52" s="97"/>
      <c r="S52" s="97"/>
      <c r="T52" s="97"/>
      <c r="U52" s="97"/>
      <c r="V52" s="97"/>
      <c r="W52" s="97"/>
      <c r="X52" s="99"/>
      <c r="Y52" s="99"/>
      <c r="Z52" s="96">
        <f t="shared" si="1"/>
        <v>0</v>
      </c>
      <c r="AA52" s="99"/>
      <c r="AB52" s="99"/>
      <c r="AC52" s="96" t="str">
        <f t="shared" si="2"/>
        <v/>
      </c>
      <c r="AD52" s="99"/>
      <c r="AE52" s="98"/>
      <c r="AF52" s="97"/>
      <c r="AG52" s="97"/>
      <c r="AH52" s="97"/>
      <c r="AI52" s="99"/>
      <c r="AJ52" s="99"/>
      <c r="AK52" s="96">
        <f t="shared" si="3"/>
        <v>0</v>
      </c>
      <c r="AL52" s="96">
        <f t="shared" si="4"/>
        <v>0</v>
      </c>
      <c r="AM52" s="96">
        <f t="shared" si="5"/>
        <v>0</v>
      </c>
      <c r="AN52" s="96">
        <f t="shared" si="6"/>
        <v>0</v>
      </c>
      <c r="AO52" s="96">
        <f t="shared" si="7"/>
        <v>0</v>
      </c>
      <c r="AP52" s="96">
        <f t="shared" si="8"/>
        <v>0</v>
      </c>
      <c r="AQ52" s="96" t="str">
        <f t="shared" si="9"/>
        <v/>
      </c>
      <c r="AR52" s="99"/>
      <c r="AS52" s="99"/>
      <c r="AT52" s="99"/>
      <c r="AU52" s="99"/>
      <c r="AV52" s="96">
        <f t="shared" si="10"/>
        <v>0</v>
      </c>
      <c r="AW52" s="96">
        <f t="shared" si="11"/>
        <v>0</v>
      </c>
      <c r="AX52" s="96">
        <f t="shared" si="12"/>
        <v>0</v>
      </c>
      <c r="AY52" s="97"/>
      <c r="AZ52" s="96" t="str">
        <f>IF($H52="","",COUNTIFS($H$28:$H52,$H52))</f>
        <v/>
      </c>
      <c r="BA52" s="96" t="str">
        <f>IF($H52="","",COUNTIFS($H$28:$H52,$H52,$B$28:$B52,$B52))</f>
        <v/>
      </c>
    </row>
    <row r="53" spans="1:53" ht="15" customHeight="1">
      <c r="A53" s="96" t="str">
        <f t="shared" si="0"/>
        <v/>
      </c>
      <c r="B53" s="97"/>
      <c r="C53" s="97"/>
      <c r="D53" s="98"/>
      <c r="E53" s="98"/>
      <c r="F53" s="97"/>
      <c r="G53" s="97"/>
      <c r="H53" s="97"/>
      <c r="I53" s="96" t="str">
        <f>IFERROR(INDEX(PROJETS!$C$56:$C$95,MATCH($H53,PROJETS!$A$56:$A$95,0)),"")</f>
        <v/>
      </c>
      <c r="J53" s="96" t="str">
        <f>IFERROR(INDEX(PROJETS!$J$56:$J$95,MATCH($H53,PROJETS!$A$56:$A$95,0)),"")</f>
        <v/>
      </c>
      <c r="K53" s="96" t="str">
        <f>IFERROR(INDEX(PROJETS!$N$56:$N$95,MATCH($H53,PROJETS!$A$56:$A$95,0)),"")</f>
        <v/>
      </c>
      <c r="L53" s="97"/>
      <c r="M53" s="96" t="str">
        <f>IFERROR(INDEX(ACTIVITES!$G$56:$G$105,MATCH($L53,ACTIVITES!$A$56:$A$105,0)),"")</f>
        <v/>
      </c>
      <c r="N53" s="97"/>
      <c r="O53" s="96" t="str">
        <f>IFERROR(INDEX(DONATEURS!$B$56:$B$205,MATCH($N53,DONATEURS!$A$56:$A$205,0)),"")</f>
        <v/>
      </c>
      <c r="P53" s="97"/>
      <c r="Q53" s="97"/>
      <c r="R53" s="97"/>
      <c r="S53" s="97"/>
      <c r="T53" s="97"/>
      <c r="U53" s="97"/>
      <c r="V53" s="97"/>
      <c r="W53" s="97"/>
      <c r="X53" s="99"/>
      <c r="Y53" s="99"/>
      <c r="Z53" s="96">
        <f t="shared" si="1"/>
        <v>0</v>
      </c>
      <c r="AA53" s="99"/>
      <c r="AB53" s="99"/>
      <c r="AC53" s="96" t="str">
        <f t="shared" si="2"/>
        <v/>
      </c>
      <c r="AD53" s="99"/>
      <c r="AE53" s="98"/>
      <c r="AF53" s="97"/>
      <c r="AG53" s="97"/>
      <c r="AH53" s="97"/>
      <c r="AI53" s="99"/>
      <c r="AJ53" s="99"/>
      <c r="AK53" s="96">
        <f t="shared" si="3"/>
        <v>0</v>
      </c>
      <c r="AL53" s="96">
        <f t="shared" si="4"/>
        <v>0</v>
      </c>
      <c r="AM53" s="96">
        <f t="shared" si="5"/>
        <v>0</v>
      </c>
      <c r="AN53" s="96">
        <f t="shared" si="6"/>
        <v>0</v>
      </c>
      <c r="AO53" s="96">
        <f t="shared" si="7"/>
        <v>0</v>
      </c>
      <c r="AP53" s="96">
        <f t="shared" si="8"/>
        <v>0</v>
      </c>
      <c r="AQ53" s="96" t="str">
        <f t="shared" si="9"/>
        <v/>
      </c>
      <c r="AR53" s="99"/>
      <c r="AS53" s="99"/>
      <c r="AT53" s="99"/>
      <c r="AU53" s="99"/>
      <c r="AV53" s="96">
        <f t="shared" si="10"/>
        <v>0</v>
      </c>
      <c r="AW53" s="96">
        <f t="shared" si="11"/>
        <v>0</v>
      </c>
      <c r="AX53" s="96">
        <f t="shared" si="12"/>
        <v>0</v>
      </c>
      <c r="AY53" s="97"/>
      <c r="AZ53" s="96" t="str">
        <f>IF($H53="","",COUNTIFS($H$28:$H53,$H53))</f>
        <v/>
      </c>
      <c r="BA53" s="96" t="str">
        <f>IF($H53="","",COUNTIFS($H$28:$H53,$H53,$B$28:$B53,$B53))</f>
        <v/>
      </c>
    </row>
    <row r="54" spans="1:53" ht="15" customHeight="1">
      <c r="A54" s="96" t="str">
        <f t="shared" si="0"/>
        <v/>
      </c>
      <c r="B54" s="97"/>
      <c r="C54" s="97"/>
      <c r="D54" s="98"/>
      <c r="E54" s="98"/>
      <c r="F54" s="97"/>
      <c r="G54" s="97"/>
      <c r="H54" s="97"/>
      <c r="I54" s="96" t="str">
        <f>IFERROR(INDEX(PROJETS!$C$56:$C$95,MATCH($H54,PROJETS!$A$56:$A$95,0)),"")</f>
        <v/>
      </c>
      <c r="J54" s="96" t="str">
        <f>IFERROR(INDEX(PROJETS!$J$56:$J$95,MATCH($H54,PROJETS!$A$56:$A$95,0)),"")</f>
        <v/>
      </c>
      <c r="K54" s="96" t="str">
        <f>IFERROR(INDEX(PROJETS!$N$56:$N$95,MATCH($H54,PROJETS!$A$56:$A$95,0)),"")</f>
        <v/>
      </c>
      <c r="L54" s="97"/>
      <c r="M54" s="96" t="str">
        <f>IFERROR(INDEX(ACTIVITES!$G$56:$G$105,MATCH($L54,ACTIVITES!$A$56:$A$105,0)),"")</f>
        <v/>
      </c>
      <c r="N54" s="97"/>
      <c r="O54" s="96" t="str">
        <f>IFERROR(INDEX(DONATEURS!$B$56:$B$205,MATCH($N54,DONATEURS!$A$56:$A$205,0)),"")</f>
        <v/>
      </c>
      <c r="P54" s="97"/>
      <c r="Q54" s="97"/>
      <c r="R54" s="97"/>
      <c r="S54" s="97"/>
      <c r="T54" s="97"/>
      <c r="U54" s="97"/>
      <c r="V54" s="97"/>
      <c r="W54" s="97"/>
      <c r="X54" s="99"/>
      <c r="Y54" s="99"/>
      <c r="Z54" s="96">
        <f t="shared" si="1"/>
        <v>0</v>
      </c>
      <c r="AA54" s="99"/>
      <c r="AB54" s="99"/>
      <c r="AC54" s="96" t="str">
        <f t="shared" si="2"/>
        <v/>
      </c>
      <c r="AD54" s="99"/>
      <c r="AE54" s="98"/>
      <c r="AF54" s="97"/>
      <c r="AG54" s="97"/>
      <c r="AH54" s="97"/>
      <c r="AI54" s="99"/>
      <c r="AJ54" s="99"/>
      <c r="AK54" s="96">
        <f t="shared" si="3"/>
        <v>0</v>
      </c>
      <c r="AL54" s="96">
        <f t="shared" si="4"/>
        <v>0</v>
      </c>
      <c r="AM54" s="96">
        <f t="shared" si="5"/>
        <v>0</v>
      </c>
      <c r="AN54" s="96">
        <f t="shared" si="6"/>
        <v>0</v>
      </c>
      <c r="AO54" s="96">
        <f t="shared" si="7"/>
        <v>0</v>
      </c>
      <c r="AP54" s="96">
        <f t="shared" si="8"/>
        <v>0</v>
      </c>
      <c r="AQ54" s="96" t="str">
        <f t="shared" si="9"/>
        <v/>
      </c>
      <c r="AR54" s="99"/>
      <c r="AS54" s="99"/>
      <c r="AT54" s="99"/>
      <c r="AU54" s="99"/>
      <c r="AV54" s="96">
        <f t="shared" si="10"/>
        <v>0</v>
      </c>
      <c r="AW54" s="96">
        <f t="shared" si="11"/>
        <v>0</v>
      </c>
      <c r="AX54" s="96">
        <f t="shared" si="12"/>
        <v>0</v>
      </c>
      <c r="AY54" s="97"/>
      <c r="AZ54" s="96" t="str">
        <f>IF($H54="","",COUNTIFS($H$28:$H54,$H54))</f>
        <v/>
      </c>
      <c r="BA54" s="96" t="str">
        <f>IF($H54="","",COUNTIFS($H$28:$H54,$H54,$B$28:$B54,$B54))</f>
        <v/>
      </c>
    </row>
    <row r="55" spans="1:53" ht="15" customHeight="1">
      <c r="A55" s="96" t="str">
        <f t="shared" si="0"/>
        <v/>
      </c>
      <c r="B55" s="97"/>
      <c r="C55" s="97"/>
      <c r="D55" s="98"/>
      <c r="E55" s="98"/>
      <c r="F55" s="97"/>
      <c r="G55" s="97"/>
      <c r="H55" s="97"/>
      <c r="I55" s="96" t="str">
        <f>IFERROR(INDEX(PROJETS!$C$56:$C$95,MATCH($H55,PROJETS!$A$56:$A$95,0)),"")</f>
        <v/>
      </c>
      <c r="J55" s="96" t="str">
        <f>IFERROR(INDEX(PROJETS!$J$56:$J$95,MATCH($H55,PROJETS!$A$56:$A$95,0)),"")</f>
        <v/>
      </c>
      <c r="K55" s="96" t="str">
        <f>IFERROR(INDEX(PROJETS!$N$56:$N$95,MATCH($H55,PROJETS!$A$56:$A$95,0)),"")</f>
        <v/>
      </c>
      <c r="L55" s="97"/>
      <c r="M55" s="96" t="str">
        <f>IFERROR(INDEX(ACTIVITES!$G$56:$G$105,MATCH($L55,ACTIVITES!$A$56:$A$105,0)),"")</f>
        <v/>
      </c>
      <c r="N55" s="97"/>
      <c r="O55" s="96" t="str">
        <f>IFERROR(INDEX(DONATEURS!$B$56:$B$205,MATCH($N55,DONATEURS!$A$56:$A$205,0)),"")</f>
        <v/>
      </c>
      <c r="P55" s="97"/>
      <c r="Q55" s="97"/>
      <c r="R55" s="97"/>
      <c r="S55" s="97"/>
      <c r="T55" s="97"/>
      <c r="U55" s="97"/>
      <c r="V55" s="97"/>
      <c r="W55" s="97"/>
      <c r="X55" s="99"/>
      <c r="Y55" s="99"/>
      <c r="Z55" s="96">
        <f t="shared" si="1"/>
        <v>0</v>
      </c>
      <c r="AA55" s="99"/>
      <c r="AB55" s="99"/>
      <c r="AC55" s="96" t="str">
        <f t="shared" si="2"/>
        <v/>
      </c>
      <c r="AD55" s="99"/>
      <c r="AE55" s="98"/>
      <c r="AF55" s="97"/>
      <c r="AG55" s="97"/>
      <c r="AH55" s="97"/>
      <c r="AI55" s="99"/>
      <c r="AJ55" s="99"/>
      <c r="AK55" s="96">
        <f t="shared" si="3"/>
        <v>0</v>
      </c>
      <c r="AL55" s="96">
        <f t="shared" si="4"/>
        <v>0</v>
      </c>
      <c r="AM55" s="96">
        <f t="shared" si="5"/>
        <v>0</v>
      </c>
      <c r="AN55" s="96">
        <f t="shared" si="6"/>
        <v>0</v>
      </c>
      <c r="AO55" s="96">
        <f t="shared" si="7"/>
        <v>0</v>
      </c>
      <c r="AP55" s="96">
        <f t="shared" si="8"/>
        <v>0</v>
      </c>
      <c r="AQ55" s="96" t="str">
        <f t="shared" si="9"/>
        <v/>
      </c>
      <c r="AR55" s="99"/>
      <c r="AS55" s="99"/>
      <c r="AT55" s="99"/>
      <c r="AU55" s="99"/>
      <c r="AV55" s="96">
        <f t="shared" si="10"/>
        <v>0</v>
      </c>
      <c r="AW55" s="96">
        <f t="shared" si="11"/>
        <v>0</v>
      </c>
      <c r="AX55" s="96">
        <f t="shared" si="12"/>
        <v>0</v>
      </c>
      <c r="AY55" s="97"/>
      <c r="AZ55" s="96" t="str">
        <f>IF($H55="","",COUNTIFS($H$28:$H55,$H55))</f>
        <v/>
      </c>
      <c r="BA55" s="96" t="str">
        <f>IF($H55="","",COUNTIFS($H$28:$H55,$H55,$B$28:$B55,$B55))</f>
        <v/>
      </c>
    </row>
    <row r="56" spans="1:53" ht="15" customHeight="1">
      <c r="A56" s="96" t="str">
        <f t="shared" si="0"/>
        <v/>
      </c>
      <c r="B56" s="97"/>
      <c r="C56" s="97"/>
      <c r="D56" s="98"/>
      <c r="E56" s="98"/>
      <c r="F56" s="97"/>
      <c r="G56" s="97"/>
      <c r="H56" s="97"/>
      <c r="I56" s="96" t="str">
        <f>IFERROR(INDEX(PROJETS!$C$56:$C$95,MATCH($H56,PROJETS!$A$56:$A$95,0)),"")</f>
        <v/>
      </c>
      <c r="J56" s="96" t="str">
        <f>IFERROR(INDEX(PROJETS!$J$56:$J$95,MATCH($H56,PROJETS!$A$56:$A$95,0)),"")</f>
        <v/>
      </c>
      <c r="K56" s="96" t="str">
        <f>IFERROR(INDEX(PROJETS!$N$56:$N$95,MATCH($H56,PROJETS!$A$56:$A$95,0)),"")</f>
        <v/>
      </c>
      <c r="L56" s="97"/>
      <c r="M56" s="96" t="str">
        <f>IFERROR(INDEX(ACTIVITES!$G$56:$G$105,MATCH($L56,ACTIVITES!$A$56:$A$105,0)),"")</f>
        <v/>
      </c>
      <c r="N56" s="97"/>
      <c r="O56" s="96" t="str">
        <f>IFERROR(INDEX(DONATEURS!$B$56:$B$205,MATCH($N56,DONATEURS!$A$56:$A$205,0)),"")</f>
        <v/>
      </c>
      <c r="P56" s="97"/>
      <c r="Q56" s="97"/>
      <c r="R56" s="97"/>
      <c r="S56" s="97"/>
      <c r="T56" s="97"/>
      <c r="U56" s="97"/>
      <c r="V56" s="97"/>
      <c r="W56" s="97"/>
      <c r="X56" s="99"/>
      <c r="Y56" s="99"/>
      <c r="Z56" s="96">
        <f t="shared" si="1"/>
        <v>0</v>
      </c>
      <c r="AA56" s="99"/>
      <c r="AB56" s="99"/>
      <c r="AC56" s="96" t="str">
        <f t="shared" si="2"/>
        <v/>
      </c>
      <c r="AD56" s="99"/>
      <c r="AE56" s="98"/>
      <c r="AF56" s="97"/>
      <c r="AG56" s="97"/>
      <c r="AH56" s="97"/>
      <c r="AI56" s="99"/>
      <c r="AJ56" s="99"/>
      <c r="AK56" s="96">
        <f t="shared" si="3"/>
        <v>0</v>
      </c>
      <c r="AL56" s="96">
        <f t="shared" si="4"/>
        <v>0</v>
      </c>
      <c r="AM56" s="96">
        <f t="shared" si="5"/>
        <v>0</v>
      </c>
      <c r="AN56" s="96">
        <f t="shared" si="6"/>
        <v>0</v>
      </c>
      <c r="AO56" s="96">
        <f t="shared" si="7"/>
        <v>0</v>
      </c>
      <c r="AP56" s="96">
        <f t="shared" si="8"/>
        <v>0</v>
      </c>
      <c r="AQ56" s="96" t="str">
        <f t="shared" si="9"/>
        <v/>
      </c>
      <c r="AR56" s="99"/>
      <c r="AS56" s="99"/>
      <c r="AT56" s="99"/>
      <c r="AU56" s="99"/>
      <c r="AV56" s="96">
        <f t="shared" si="10"/>
        <v>0</v>
      </c>
      <c r="AW56" s="96">
        <f t="shared" si="11"/>
        <v>0</v>
      </c>
      <c r="AX56" s="96">
        <f t="shared" si="12"/>
        <v>0</v>
      </c>
      <c r="AY56" s="97"/>
      <c r="AZ56" s="96" t="str">
        <f>IF($H56="","",COUNTIFS($H$28:$H56,$H56))</f>
        <v/>
      </c>
      <c r="BA56" s="96" t="str">
        <f>IF($H56="","",COUNTIFS($H$28:$H56,$H56,$B$28:$B56,$B56))</f>
        <v/>
      </c>
    </row>
    <row r="57" spans="1:53" ht="15" customHeight="1">
      <c r="A57" s="96" t="str">
        <f t="shared" si="0"/>
        <v/>
      </c>
      <c r="B57" s="97"/>
      <c r="C57" s="97"/>
      <c r="D57" s="98"/>
      <c r="E57" s="98"/>
      <c r="F57" s="97"/>
      <c r="G57" s="97"/>
      <c r="H57" s="97"/>
      <c r="I57" s="96" t="str">
        <f>IFERROR(INDEX(PROJETS!$C$56:$C$95,MATCH($H57,PROJETS!$A$56:$A$95,0)),"")</f>
        <v/>
      </c>
      <c r="J57" s="96" t="str">
        <f>IFERROR(INDEX(PROJETS!$J$56:$J$95,MATCH($H57,PROJETS!$A$56:$A$95,0)),"")</f>
        <v/>
      </c>
      <c r="K57" s="96" t="str">
        <f>IFERROR(INDEX(PROJETS!$N$56:$N$95,MATCH($H57,PROJETS!$A$56:$A$95,0)),"")</f>
        <v/>
      </c>
      <c r="L57" s="97"/>
      <c r="M57" s="96" t="str">
        <f>IFERROR(INDEX(ACTIVITES!$G$56:$G$105,MATCH($L57,ACTIVITES!$A$56:$A$105,0)),"")</f>
        <v/>
      </c>
      <c r="N57" s="97"/>
      <c r="O57" s="96" t="str">
        <f>IFERROR(INDEX(DONATEURS!$B$56:$B$205,MATCH($N57,DONATEURS!$A$56:$A$205,0)),"")</f>
        <v/>
      </c>
      <c r="P57" s="97"/>
      <c r="Q57" s="97"/>
      <c r="R57" s="97"/>
      <c r="S57" s="97"/>
      <c r="T57" s="97"/>
      <c r="U57" s="97"/>
      <c r="V57" s="97"/>
      <c r="W57" s="97"/>
      <c r="X57" s="99"/>
      <c r="Y57" s="99"/>
      <c r="Z57" s="96">
        <f t="shared" si="1"/>
        <v>0</v>
      </c>
      <c r="AA57" s="99"/>
      <c r="AB57" s="99"/>
      <c r="AC57" s="96" t="str">
        <f t="shared" si="2"/>
        <v/>
      </c>
      <c r="AD57" s="99"/>
      <c r="AE57" s="98"/>
      <c r="AF57" s="97"/>
      <c r="AG57" s="97"/>
      <c r="AH57" s="97"/>
      <c r="AI57" s="99"/>
      <c r="AJ57" s="99"/>
      <c r="AK57" s="96">
        <f t="shared" si="3"/>
        <v>0</v>
      </c>
      <c r="AL57" s="96">
        <f t="shared" si="4"/>
        <v>0</v>
      </c>
      <c r="AM57" s="96">
        <f t="shared" si="5"/>
        <v>0</v>
      </c>
      <c r="AN57" s="96">
        <f t="shared" si="6"/>
        <v>0</v>
      </c>
      <c r="AO57" s="96">
        <f t="shared" si="7"/>
        <v>0</v>
      </c>
      <c r="AP57" s="96">
        <f t="shared" si="8"/>
        <v>0</v>
      </c>
      <c r="AQ57" s="96" t="str">
        <f t="shared" si="9"/>
        <v/>
      </c>
      <c r="AR57" s="99"/>
      <c r="AS57" s="99"/>
      <c r="AT57" s="99"/>
      <c r="AU57" s="99"/>
      <c r="AV57" s="96">
        <f t="shared" si="10"/>
        <v>0</v>
      </c>
      <c r="AW57" s="96">
        <f t="shared" si="11"/>
        <v>0</v>
      </c>
      <c r="AX57" s="96">
        <f t="shared" si="12"/>
        <v>0</v>
      </c>
      <c r="AY57" s="97"/>
      <c r="AZ57" s="96" t="str">
        <f>IF($H57="","",COUNTIFS($H$28:$H57,$H57))</f>
        <v/>
      </c>
      <c r="BA57" s="96" t="str">
        <f>IF($H57="","",COUNTIFS($H$28:$H57,$H57,$B$28:$B57,$B57))</f>
        <v/>
      </c>
    </row>
    <row r="58" spans="1:53" ht="15" customHeight="1">
      <c r="A58" s="96" t="str">
        <f t="shared" si="0"/>
        <v/>
      </c>
      <c r="B58" s="97"/>
      <c r="C58" s="97"/>
      <c r="D58" s="98"/>
      <c r="E58" s="98"/>
      <c r="F58" s="97"/>
      <c r="G58" s="97"/>
      <c r="H58" s="97"/>
      <c r="I58" s="96" t="str">
        <f>IFERROR(INDEX(PROJETS!$C$56:$C$95,MATCH($H58,PROJETS!$A$56:$A$95,0)),"")</f>
        <v/>
      </c>
      <c r="J58" s="96" t="str">
        <f>IFERROR(INDEX(PROJETS!$J$56:$J$95,MATCH($H58,PROJETS!$A$56:$A$95,0)),"")</f>
        <v/>
      </c>
      <c r="K58" s="96" t="str">
        <f>IFERROR(INDEX(PROJETS!$N$56:$N$95,MATCH($H58,PROJETS!$A$56:$A$95,0)),"")</f>
        <v/>
      </c>
      <c r="L58" s="97"/>
      <c r="M58" s="96" t="str">
        <f>IFERROR(INDEX(ACTIVITES!$G$56:$G$105,MATCH($L58,ACTIVITES!$A$56:$A$105,0)),"")</f>
        <v/>
      </c>
      <c r="N58" s="97"/>
      <c r="O58" s="96" t="str">
        <f>IFERROR(INDEX(DONATEURS!$B$56:$B$205,MATCH($N58,DONATEURS!$A$56:$A$205,0)),"")</f>
        <v/>
      </c>
      <c r="P58" s="97"/>
      <c r="Q58" s="97"/>
      <c r="R58" s="97"/>
      <c r="S58" s="97"/>
      <c r="T58" s="97"/>
      <c r="U58" s="97"/>
      <c r="V58" s="97"/>
      <c r="W58" s="97"/>
      <c r="X58" s="99"/>
      <c r="Y58" s="99"/>
      <c r="Z58" s="96">
        <f t="shared" si="1"/>
        <v>0</v>
      </c>
      <c r="AA58" s="99"/>
      <c r="AB58" s="99"/>
      <c r="AC58" s="96" t="str">
        <f t="shared" si="2"/>
        <v/>
      </c>
      <c r="AD58" s="99"/>
      <c r="AE58" s="98"/>
      <c r="AF58" s="97"/>
      <c r="AG58" s="97"/>
      <c r="AH58" s="97"/>
      <c r="AI58" s="99"/>
      <c r="AJ58" s="99"/>
      <c r="AK58" s="96">
        <f t="shared" si="3"/>
        <v>0</v>
      </c>
      <c r="AL58" s="96">
        <f t="shared" si="4"/>
        <v>0</v>
      </c>
      <c r="AM58" s="96">
        <f t="shared" si="5"/>
        <v>0</v>
      </c>
      <c r="AN58" s="96">
        <f t="shared" si="6"/>
        <v>0</v>
      </c>
      <c r="AO58" s="96">
        <f t="shared" si="7"/>
        <v>0</v>
      </c>
      <c r="AP58" s="96">
        <f t="shared" si="8"/>
        <v>0</v>
      </c>
      <c r="AQ58" s="96" t="str">
        <f t="shared" si="9"/>
        <v/>
      </c>
      <c r="AR58" s="99"/>
      <c r="AS58" s="99"/>
      <c r="AT58" s="99"/>
      <c r="AU58" s="99"/>
      <c r="AV58" s="96">
        <f t="shared" si="10"/>
        <v>0</v>
      </c>
      <c r="AW58" s="96">
        <f t="shared" si="11"/>
        <v>0</v>
      </c>
      <c r="AX58" s="96">
        <f t="shared" si="12"/>
        <v>0</v>
      </c>
      <c r="AY58" s="97"/>
      <c r="AZ58" s="96" t="str">
        <f>IF($H58="","",COUNTIFS($H$28:$H58,$H58))</f>
        <v/>
      </c>
      <c r="BA58" s="96" t="str">
        <f>IF($H58="","",COUNTIFS($H$28:$H58,$H58,$B$28:$B58,$B58))</f>
        <v/>
      </c>
    </row>
    <row r="59" spans="1:53" ht="15" customHeight="1">
      <c r="A59" s="96" t="str">
        <f t="shared" si="0"/>
        <v/>
      </c>
      <c r="B59" s="97"/>
      <c r="C59" s="97"/>
      <c r="D59" s="98"/>
      <c r="E59" s="98"/>
      <c r="F59" s="97"/>
      <c r="G59" s="97"/>
      <c r="H59" s="97"/>
      <c r="I59" s="96" t="str">
        <f>IFERROR(INDEX(PROJETS!$C$56:$C$95,MATCH($H59,PROJETS!$A$56:$A$95,0)),"")</f>
        <v/>
      </c>
      <c r="J59" s="96" t="str">
        <f>IFERROR(INDEX(PROJETS!$J$56:$J$95,MATCH($H59,PROJETS!$A$56:$A$95,0)),"")</f>
        <v/>
      </c>
      <c r="K59" s="96" t="str">
        <f>IFERROR(INDEX(PROJETS!$N$56:$N$95,MATCH($H59,PROJETS!$A$56:$A$95,0)),"")</f>
        <v/>
      </c>
      <c r="L59" s="97"/>
      <c r="M59" s="96" t="str">
        <f>IFERROR(INDEX(ACTIVITES!$G$56:$G$105,MATCH($L59,ACTIVITES!$A$56:$A$105,0)),"")</f>
        <v/>
      </c>
      <c r="N59" s="97"/>
      <c r="O59" s="96" t="str">
        <f>IFERROR(INDEX(DONATEURS!$B$56:$B$205,MATCH($N59,DONATEURS!$A$56:$A$205,0)),"")</f>
        <v/>
      </c>
      <c r="P59" s="97"/>
      <c r="Q59" s="97"/>
      <c r="R59" s="97"/>
      <c r="S59" s="97"/>
      <c r="T59" s="97"/>
      <c r="U59" s="97"/>
      <c r="V59" s="97"/>
      <c r="W59" s="97"/>
      <c r="X59" s="99"/>
      <c r="Y59" s="99"/>
      <c r="Z59" s="96">
        <f t="shared" si="1"/>
        <v>0</v>
      </c>
      <c r="AA59" s="99"/>
      <c r="AB59" s="99"/>
      <c r="AC59" s="96" t="str">
        <f t="shared" si="2"/>
        <v/>
      </c>
      <c r="AD59" s="99"/>
      <c r="AE59" s="98"/>
      <c r="AF59" s="97"/>
      <c r="AG59" s="97"/>
      <c r="AH59" s="97"/>
      <c r="AI59" s="99"/>
      <c r="AJ59" s="99"/>
      <c r="AK59" s="96">
        <f t="shared" si="3"/>
        <v>0</v>
      </c>
      <c r="AL59" s="96">
        <f t="shared" si="4"/>
        <v>0</v>
      </c>
      <c r="AM59" s="96">
        <f t="shared" si="5"/>
        <v>0</v>
      </c>
      <c r="AN59" s="96">
        <f t="shared" si="6"/>
        <v>0</v>
      </c>
      <c r="AO59" s="96">
        <f t="shared" si="7"/>
        <v>0</v>
      </c>
      <c r="AP59" s="96">
        <f t="shared" si="8"/>
        <v>0</v>
      </c>
      <c r="AQ59" s="96" t="str">
        <f t="shared" si="9"/>
        <v/>
      </c>
      <c r="AR59" s="99"/>
      <c r="AS59" s="99"/>
      <c r="AT59" s="99"/>
      <c r="AU59" s="99"/>
      <c r="AV59" s="96">
        <f t="shared" si="10"/>
        <v>0</v>
      </c>
      <c r="AW59" s="96">
        <f t="shared" si="11"/>
        <v>0</v>
      </c>
      <c r="AX59" s="96">
        <f t="shared" si="12"/>
        <v>0</v>
      </c>
      <c r="AY59" s="97"/>
      <c r="AZ59" s="96" t="str">
        <f>IF($H59="","",COUNTIFS($H$28:$H59,$H59))</f>
        <v/>
      </c>
      <c r="BA59" s="96" t="str">
        <f>IF($H59="","",COUNTIFS($H$28:$H59,$H59,$B$28:$B59,$B59))</f>
        <v/>
      </c>
    </row>
    <row r="60" spans="1:53" ht="15" customHeight="1">
      <c r="A60" s="96" t="str">
        <f t="shared" si="0"/>
        <v/>
      </c>
      <c r="B60" s="97"/>
      <c r="C60" s="97"/>
      <c r="D60" s="98"/>
      <c r="E60" s="98"/>
      <c r="F60" s="97"/>
      <c r="G60" s="97"/>
      <c r="H60" s="97"/>
      <c r="I60" s="96" t="str">
        <f>IFERROR(INDEX(PROJETS!$C$56:$C$95,MATCH($H60,PROJETS!$A$56:$A$95,0)),"")</f>
        <v/>
      </c>
      <c r="J60" s="96" t="str">
        <f>IFERROR(INDEX(PROJETS!$J$56:$J$95,MATCH($H60,PROJETS!$A$56:$A$95,0)),"")</f>
        <v/>
      </c>
      <c r="K60" s="96" t="str">
        <f>IFERROR(INDEX(PROJETS!$N$56:$N$95,MATCH($H60,PROJETS!$A$56:$A$95,0)),"")</f>
        <v/>
      </c>
      <c r="L60" s="97"/>
      <c r="M60" s="96" t="str">
        <f>IFERROR(INDEX(ACTIVITES!$G$56:$G$105,MATCH($L60,ACTIVITES!$A$56:$A$105,0)),"")</f>
        <v/>
      </c>
      <c r="N60" s="97"/>
      <c r="O60" s="96" t="str">
        <f>IFERROR(INDEX(DONATEURS!$B$56:$B$205,MATCH($N60,DONATEURS!$A$56:$A$205,0)),"")</f>
        <v/>
      </c>
      <c r="P60" s="97"/>
      <c r="Q60" s="97"/>
      <c r="R60" s="97"/>
      <c r="S60" s="97"/>
      <c r="T60" s="97"/>
      <c r="U60" s="97"/>
      <c r="V60" s="97"/>
      <c r="W60" s="97"/>
      <c r="X60" s="99"/>
      <c r="Y60" s="99"/>
      <c r="Z60" s="96">
        <f t="shared" si="1"/>
        <v>0</v>
      </c>
      <c r="AA60" s="99"/>
      <c r="AB60" s="99"/>
      <c r="AC60" s="96" t="str">
        <f t="shared" si="2"/>
        <v/>
      </c>
      <c r="AD60" s="99"/>
      <c r="AE60" s="98"/>
      <c r="AF60" s="97"/>
      <c r="AG60" s="97"/>
      <c r="AH60" s="97"/>
      <c r="AI60" s="99"/>
      <c r="AJ60" s="99"/>
      <c r="AK60" s="96">
        <f t="shared" si="3"/>
        <v>0</v>
      </c>
      <c r="AL60" s="96">
        <f t="shared" si="4"/>
        <v>0</v>
      </c>
      <c r="AM60" s="96">
        <f t="shared" si="5"/>
        <v>0</v>
      </c>
      <c r="AN60" s="96">
        <f t="shared" si="6"/>
        <v>0</v>
      </c>
      <c r="AO60" s="96">
        <f t="shared" si="7"/>
        <v>0</v>
      </c>
      <c r="AP60" s="96">
        <f t="shared" si="8"/>
        <v>0</v>
      </c>
      <c r="AQ60" s="96" t="str">
        <f t="shared" si="9"/>
        <v/>
      </c>
      <c r="AR60" s="99"/>
      <c r="AS60" s="99"/>
      <c r="AT60" s="99"/>
      <c r="AU60" s="99"/>
      <c r="AV60" s="96">
        <f t="shared" si="10"/>
        <v>0</v>
      </c>
      <c r="AW60" s="96">
        <f t="shared" si="11"/>
        <v>0</v>
      </c>
      <c r="AX60" s="96">
        <f t="shared" si="12"/>
        <v>0</v>
      </c>
      <c r="AY60" s="97"/>
      <c r="AZ60" s="96" t="str">
        <f>IF($H60="","",COUNTIFS($H$28:$H60,$H60))</f>
        <v/>
      </c>
      <c r="BA60" s="96" t="str">
        <f>IF($H60="","",COUNTIFS($H$28:$H60,$H60,$B$28:$B60,$B60))</f>
        <v/>
      </c>
    </row>
    <row r="61" spans="1:53" ht="15" customHeight="1">
      <c r="A61" s="96" t="str">
        <f t="shared" si="0"/>
        <v/>
      </c>
      <c r="B61" s="97"/>
      <c r="C61" s="97"/>
      <c r="D61" s="98"/>
      <c r="E61" s="98"/>
      <c r="F61" s="97"/>
      <c r="G61" s="97"/>
      <c r="H61" s="97"/>
      <c r="I61" s="96" t="str">
        <f>IFERROR(INDEX(PROJETS!$C$56:$C$95,MATCH($H61,PROJETS!$A$56:$A$95,0)),"")</f>
        <v/>
      </c>
      <c r="J61" s="96" t="str">
        <f>IFERROR(INDEX(PROJETS!$J$56:$J$95,MATCH($H61,PROJETS!$A$56:$A$95,0)),"")</f>
        <v/>
      </c>
      <c r="K61" s="96" t="str">
        <f>IFERROR(INDEX(PROJETS!$N$56:$N$95,MATCH($H61,PROJETS!$A$56:$A$95,0)),"")</f>
        <v/>
      </c>
      <c r="L61" s="97"/>
      <c r="M61" s="96" t="str">
        <f>IFERROR(INDEX(ACTIVITES!$G$56:$G$105,MATCH($L61,ACTIVITES!$A$56:$A$105,0)),"")</f>
        <v/>
      </c>
      <c r="N61" s="97"/>
      <c r="O61" s="96" t="str">
        <f>IFERROR(INDEX(DONATEURS!$B$56:$B$205,MATCH($N61,DONATEURS!$A$56:$A$205,0)),"")</f>
        <v/>
      </c>
      <c r="P61" s="97"/>
      <c r="Q61" s="97"/>
      <c r="R61" s="97"/>
      <c r="S61" s="97"/>
      <c r="T61" s="97"/>
      <c r="U61" s="97"/>
      <c r="V61" s="97"/>
      <c r="W61" s="97"/>
      <c r="X61" s="99"/>
      <c r="Y61" s="99"/>
      <c r="Z61" s="96">
        <f t="shared" si="1"/>
        <v>0</v>
      </c>
      <c r="AA61" s="99"/>
      <c r="AB61" s="99"/>
      <c r="AC61" s="96" t="str">
        <f t="shared" si="2"/>
        <v/>
      </c>
      <c r="AD61" s="99"/>
      <c r="AE61" s="98"/>
      <c r="AF61" s="97"/>
      <c r="AG61" s="97"/>
      <c r="AH61" s="97"/>
      <c r="AI61" s="99"/>
      <c r="AJ61" s="99"/>
      <c r="AK61" s="96">
        <f t="shared" si="3"/>
        <v>0</v>
      </c>
      <c r="AL61" s="96">
        <f t="shared" si="4"/>
        <v>0</v>
      </c>
      <c r="AM61" s="96">
        <f t="shared" si="5"/>
        <v>0</v>
      </c>
      <c r="AN61" s="96">
        <f t="shared" si="6"/>
        <v>0</v>
      </c>
      <c r="AO61" s="96">
        <f t="shared" si="7"/>
        <v>0</v>
      </c>
      <c r="AP61" s="96">
        <f t="shared" si="8"/>
        <v>0</v>
      </c>
      <c r="AQ61" s="96" t="str">
        <f t="shared" si="9"/>
        <v/>
      </c>
      <c r="AR61" s="99"/>
      <c r="AS61" s="99"/>
      <c r="AT61" s="99"/>
      <c r="AU61" s="99"/>
      <c r="AV61" s="96">
        <f t="shared" si="10"/>
        <v>0</v>
      </c>
      <c r="AW61" s="96">
        <f t="shared" si="11"/>
        <v>0</v>
      </c>
      <c r="AX61" s="96">
        <f t="shared" si="12"/>
        <v>0</v>
      </c>
      <c r="AY61" s="97"/>
      <c r="AZ61" s="96" t="str">
        <f>IF($H61="","",COUNTIFS($H$28:$H61,$H61))</f>
        <v/>
      </c>
      <c r="BA61" s="96" t="str">
        <f>IF($H61="","",COUNTIFS($H$28:$H61,$H61,$B$28:$B61,$B61))</f>
        <v/>
      </c>
    </row>
    <row r="62" spans="1:53" ht="15" customHeight="1">
      <c r="A62" s="96" t="str">
        <f t="shared" si="0"/>
        <v/>
      </c>
      <c r="B62" s="97"/>
      <c r="C62" s="97"/>
      <c r="D62" s="98"/>
      <c r="E62" s="98"/>
      <c r="F62" s="97"/>
      <c r="G62" s="97"/>
      <c r="H62" s="97"/>
      <c r="I62" s="96" t="str">
        <f>IFERROR(INDEX(PROJETS!$C$56:$C$95,MATCH($H62,PROJETS!$A$56:$A$95,0)),"")</f>
        <v/>
      </c>
      <c r="J62" s="96" t="str">
        <f>IFERROR(INDEX(PROJETS!$J$56:$J$95,MATCH($H62,PROJETS!$A$56:$A$95,0)),"")</f>
        <v/>
      </c>
      <c r="K62" s="96" t="str">
        <f>IFERROR(INDEX(PROJETS!$N$56:$N$95,MATCH($H62,PROJETS!$A$56:$A$95,0)),"")</f>
        <v/>
      </c>
      <c r="L62" s="97"/>
      <c r="M62" s="96" t="str">
        <f>IFERROR(INDEX(ACTIVITES!$G$56:$G$105,MATCH($L62,ACTIVITES!$A$56:$A$105,0)),"")</f>
        <v/>
      </c>
      <c r="N62" s="97"/>
      <c r="O62" s="96" t="str">
        <f>IFERROR(INDEX(DONATEURS!$B$56:$B$205,MATCH($N62,DONATEURS!$A$56:$A$205,0)),"")</f>
        <v/>
      </c>
      <c r="P62" s="97"/>
      <c r="Q62" s="97"/>
      <c r="R62" s="97"/>
      <c r="S62" s="97"/>
      <c r="T62" s="97"/>
      <c r="U62" s="97"/>
      <c r="V62" s="97"/>
      <c r="W62" s="97"/>
      <c r="X62" s="99"/>
      <c r="Y62" s="99"/>
      <c r="Z62" s="96">
        <f t="shared" si="1"/>
        <v>0</v>
      </c>
      <c r="AA62" s="99"/>
      <c r="AB62" s="99"/>
      <c r="AC62" s="96" t="str">
        <f t="shared" si="2"/>
        <v/>
      </c>
      <c r="AD62" s="99"/>
      <c r="AE62" s="98"/>
      <c r="AF62" s="97"/>
      <c r="AG62" s="97"/>
      <c r="AH62" s="97"/>
      <c r="AI62" s="99"/>
      <c r="AJ62" s="99"/>
      <c r="AK62" s="96">
        <f t="shared" si="3"/>
        <v>0</v>
      </c>
      <c r="AL62" s="96">
        <f t="shared" si="4"/>
        <v>0</v>
      </c>
      <c r="AM62" s="96">
        <f t="shared" si="5"/>
        <v>0</v>
      </c>
      <c r="AN62" s="96">
        <f t="shared" si="6"/>
        <v>0</v>
      </c>
      <c r="AO62" s="96">
        <f t="shared" si="7"/>
        <v>0</v>
      </c>
      <c r="AP62" s="96">
        <f t="shared" si="8"/>
        <v>0</v>
      </c>
      <c r="AQ62" s="96" t="str">
        <f t="shared" si="9"/>
        <v/>
      </c>
      <c r="AR62" s="99"/>
      <c r="AS62" s="99"/>
      <c r="AT62" s="99"/>
      <c r="AU62" s="99"/>
      <c r="AV62" s="96">
        <f t="shared" si="10"/>
        <v>0</v>
      </c>
      <c r="AW62" s="96">
        <f t="shared" si="11"/>
        <v>0</v>
      </c>
      <c r="AX62" s="96">
        <f t="shared" si="12"/>
        <v>0</v>
      </c>
      <c r="AY62" s="97"/>
      <c r="AZ62" s="96" t="str">
        <f>IF($H62="","",COUNTIFS($H$28:$H62,$H62))</f>
        <v/>
      </c>
      <c r="BA62" s="96" t="str">
        <f>IF($H62="","",COUNTIFS($H$28:$H62,$H62,$B$28:$B62,$B62))</f>
        <v/>
      </c>
    </row>
    <row r="63" spans="1:53" ht="15" customHeight="1">
      <c r="A63" s="96" t="str">
        <f t="shared" si="0"/>
        <v/>
      </c>
      <c r="B63" s="97"/>
      <c r="C63" s="97"/>
      <c r="D63" s="98"/>
      <c r="E63" s="98"/>
      <c r="F63" s="97"/>
      <c r="G63" s="97"/>
      <c r="H63" s="97"/>
      <c r="I63" s="96" t="str">
        <f>IFERROR(INDEX(PROJETS!$C$56:$C$95,MATCH($H63,PROJETS!$A$56:$A$95,0)),"")</f>
        <v/>
      </c>
      <c r="J63" s="96" t="str">
        <f>IFERROR(INDEX(PROJETS!$J$56:$J$95,MATCH($H63,PROJETS!$A$56:$A$95,0)),"")</f>
        <v/>
      </c>
      <c r="K63" s="96" t="str">
        <f>IFERROR(INDEX(PROJETS!$N$56:$N$95,MATCH($H63,PROJETS!$A$56:$A$95,0)),"")</f>
        <v/>
      </c>
      <c r="L63" s="97"/>
      <c r="M63" s="96" t="str">
        <f>IFERROR(INDEX(ACTIVITES!$G$56:$G$105,MATCH($L63,ACTIVITES!$A$56:$A$105,0)),"")</f>
        <v/>
      </c>
      <c r="N63" s="97"/>
      <c r="O63" s="96" t="str">
        <f>IFERROR(INDEX(DONATEURS!$B$56:$B$205,MATCH($N63,DONATEURS!$A$56:$A$205,0)),"")</f>
        <v/>
      </c>
      <c r="P63" s="97"/>
      <c r="Q63" s="97"/>
      <c r="R63" s="97"/>
      <c r="S63" s="97"/>
      <c r="T63" s="97"/>
      <c r="U63" s="97"/>
      <c r="V63" s="97"/>
      <c r="W63" s="97"/>
      <c r="X63" s="99"/>
      <c r="Y63" s="99"/>
      <c r="Z63" s="96">
        <f t="shared" si="1"/>
        <v>0</v>
      </c>
      <c r="AA63" s="99"/>
      <c r="AB63" s="99"/>
      <c r="AC63" s="96" t="str">
        <f t="shared" si="2"/>
        <v/>
      </c>
      <c r="AD63" s="99"/>
      <c r="AE63" s="98"/>
      <c r="AF63" s="97"/>
      <c r="AG63" s="97"/>
      <c r="AH63" s="97"/>
      <c r="AI63" s="99"/>
      <c r="AJ63" s="99"/>
      <c r="AK63" s="96">
        <f t="shared" si="3"/>
        <v>0</v>
      </c>
      <c r="AL63" s="96">
        <f t="shared" si="4"/>
        <v>0</v>
      </c>
      <c r="AM63" s="96">
        <f t="shared" si="5"/>
        <v>0</v>
      </c>
      <c r="AN63" s="96">
        <f t="shared" si="6"/>
        <v>0</v>
      </c>
      <c r="AO63" s="96">
        <f t="shared" si="7"/>
        <v>0</v>
      </c>
      <c r="AP63" s="96">
        <f t="shared" si="8"/>
        <v>0</v>
      </c>
      <c r="AQ63" s="96" t="str">
        <f t="shared" si="9"/>
        <v/>
      </c>
      <c r="AR63" s="99"/>
      <c r="AS63" s="99"/>
      <c r="AT63" s="99"/>
      <c r="AU63" s="99"/>
      <c r="AV63" s="96">
        <f t="shared" si="10"/>
        <v>0</v>
      </c>
      <c r="AW63" s="96">
        <f t="shared" si="11"/>
        <v>0</v>
      </c>
      <c r="AX63" s="96">
        <f t="shared" si="12"/>
        <v>0</v>
      </c>
      <c r="AY63" s="97"/>
      <c r="AZ63" s="96" t="str">
        <f>IF($H63="","",COUNTIFS($H$28:$H63,$H63))</f>
        <v/>
      </c>
      <c r="BA63" s="96" t="str">
        <f>IF($H63="","",COUNTIFS($H$28:$H63,$H63,$B$28:$B63,$B63))</f>
        <v/>
      </c>
    </row>
    <row r="64" spans="1:53" ht="15" customHeight="1">
      <c r="A64" s="96" t="str">
        <f t="shared" si="0"/>
        <v/>
      </c>
      <c r="B64" s="97"/>
      <c r="C64" s="97"/>
      <c r="D64" s="98"/>
      <c r="E64" s="98"/>
      <c r="F64" s="97"/>
      <c r="G64" s="97"/>
      <c r="H64" s="97"/>
      <c r="I64" s="96" t="str">
        <f>IFERROR(INDEX(PROJETS!$C$56:$C$95,MATCH($H64,PROJETS!$A$56:$A$95,0)),"")</f>
        <v/>
      </c>
      <c r="J64" s="96" t="str">
        <f>IFERROR(INDEX(PROJETS!$J$56:$J$95,MATCH($H64,PROJETS!$A$56:$A$95,0)),"")</f>
        <v/>
      </c>
      <c r="K64" s="96" t="str">
        <f>IFERROR(INDEX(PROJETS!$N$56:$N$95,MATCH($H64,PROJETS!$A$56:$A$95,0)),"")</f>
        <v/>
      </c>
      <c r="L64" s="97"/>
      <c r="M64" s="96" t="str">
        <f>IFERROR(INDEX(ACTIVITES!$G$56:$G$105,MATCH($L64,ACTIVITES!$A$56:$A$105,0)),"")</f>
        <v/>
      </c>
      <c r="N64" s="97"/>
      <c r="O64" s="96" t="str">
        <f>IFERROR(INDEX(DONATEURS!$B$56:$B$205,MATCH($N64,DONATEURS!$A$56:$A$205,0)),"")</f>
        <v/>
      </c>
      <c r="P64" s="97"/>
      <c r="Q64" s="97"/>
      <c r="R64" s="97"/>
      <c r="S64" s="97"/>
      <c r="T64" s="97"/>
      <c r="U64" s="97"/>
      <c r="V64" s="97"/>
      <c r="W64" s="97"/>
      <c r="X64" s="99"/>
      <c r="Y64" s="99"/>
      <c r="Z64" s="96">
        <f t="shared" si="1"/>
        <v>0</v>
      </c>
      <c r="AA64" s="99"/>
      <c r="AB64" s="99"/>
      <c r="AC64" s="96" t="str">
        <f t="shared" si="2"/>
        <v/>
      </c>
      <c r="AD64" s="99"/>
      <c r="AE64" s="98"/>
      <c r="AF64" s="97"/>
      <c r="AG64" s="97"/>
      <c r="AH64" s="97"/>
      <c r="AI64" s="99"/>
      <c r="AJ64" s="99"/>
      <c r="AK64" s="96">
        <f t="shared" si="3"/>
        <v>0</v>
      </c>
      <c r="AL64" s="96">
        <f t="shared" si="4"/>
        <v>0</v>
      </c>
      <c r="AM64" s="96">
        <f t="shared" si="5"/>
        <v>0</v>
      </c>
      <c r="AN64" s="96">
        <f t="shared" si="6"/>
        <v>0</v>
      </c>
      <c r="AO64" s="96">
        <f t="shared" si="7"/>
        <v>0</v>
      </c>
      <c r="AP64" s="96">
        <f t="shared" si="8"/>
        <v>0</v>
      </c>
      <c r="AQ64" s="96" t="str">
        <f t="shared" si="9"/>
        <v/>
      </c>
      <c r="AR64" s="99"/>
      <c r="AS64" s="99"/>
      <c r="AT64" s="99"/>
      <c r="AU64" s="99"/>
      <c r="AV64" s="96">
        <f t="shared" si="10"/>
        <v>0</v>
      </c>
      <c r="AW64" s="96">
        <f t="shared" si="11"/>
        <v>0</v>
      </c>
      <c r="AX64" s="96">
        <f t="shared" si="12"/>
        <v>0</v>
      </c>
      <c r="AY64" s="97"/>
      <c r="AZ64" s="96" t="str">
        <f>IF($H64="","",COUNTIFS($H$28:$H64,$H64))</f>
        <v/>
      </c>
      <c r="BA64" s="96" t="str">
        <f>IF($H64="","",COUNTIFS($H$28:$H64,$H64,$B$28:$B64,$B64))</f>
        <v/>
      </c>
    </row>
    <row r="65" spans="1:53" ht="15" customHeight="1">
      <c r="A65" s="96" t="str">
        <f t="shared" si="0"/>
        <v/>
      </c>
      <c r="B65" s="97"/>
      <c r="C65" s="97"/>
      <c r="D65" s="98"/>
      <c r="E65" s="98"/>
      <c r="F65" s="97"/>
      <c r="G65" s="97"/>
      <c r="H65" s="97"/>
      <c r="I65" s="96" t="str">
        <f>IFERROR(INDEX(PROJETS!$C$56:$C$95,MATCH($H65,PROJETS!$A$56:$A$95,0)),"")</f>
        <v/>
      </c>
      <c r="J65" s="96" t="str">
        <f>IFERROR(INDEX(PROJETS!$J$56:$J$95,MATCH($H65,PROJETS!$A$56:$A$95,0)),"")</f>
        <v/>
      </c>
      <c r="K65" s="96" t="str">
        <f>IFERROR(INDEX(PROJETS!$N$56:$N$95,MATCH($H65,PROJETS!$A$56:$A$95,0)),"")</f>
        <v/>
      </c>
      <c r="L65" s="97"/>
      <c r="M65" s="96" t="str">
        <f>IFERROR(INDEX(ACTIVITES!$G$56:$G$105,MATCH($L65,ACTIVITES!$A$56:$A$105,0)),"")</f>
        <v/>
      </c>
      <c r="N65" s="97"/>
      <c r="O65" s="96" t="str">
        <f>IFERROR(INDEX(DONATEURS!$B$56:$B$205,MATCH($N65,DONATEURS!$A$56:$A$205,0)),"")</f>
        <v/>
      </c>
      <c r="P65" s="97"/>
      <c r="Q65" s="97"/>
      <c r="R65" s="97"/>
      <c r="S65" s="97"/>
      <c r="T65" s="97"/>
      <c r="U65" s="97"/>
      <c r="V65" s="97"/>
      <c r="W65" s="97"/>
      <c r="X65" s="99"/>
      <c r="Y65" s="99"/>
      <c r="Z65" s="96">
        <f t="shared" si="1"/>
        <v>0</v>
      </c>
      <c r="AA65" s="99"/>
      <c r="AB65" s="99"/>
      <c r="AC65" s="96" t="str">
        <f t="shared" si="2"/>
        <v/>
      </c>
      <c r="AD65" s="99"/>
      <c r="AE65" s="98"/>
      <c r="AF65" s="97"/>
      <c r="AG65" s="97"/>
      <c r="AH65" s="97"/>
      <c r="AI65" s="99"/>
      <c r="AJ65" s="99"/>
      <c r="AK65" s="96">
        <f t="shared" si="3"/>
        <v>0</v>
      </c>
      <c r="AL65" s="96">
        <f t="shared" si="4"/>
        <v>0</v>
      </c>
      <c r="AM65" s="96">
        <f t="shared" si="5"/>
        <v>0</v>
      </c>
      <c r="AN65" s="96">
        <f t="shared" si="6"/>
        <v>0</v>
      </c>
      <c r="AO65" s="96">
        <f t="shared" si="7"/>
        <v>0</v>
      </c>
      <c r="AP65" s="96">
        <f t="shared" si="8"/>
        <v>0</v>
      </c>
      <c r="AQ65" s="96" t="str">
        <f t="shared" si="9"/>
        <v/>
      </c>
      <c r="AR65" s="99"/>
      <c r="AS65" s="99"/>
      <c r="AT65" s="99"/>
      <c r="AU65" s="99"/>
      <c r="AV65" s="96">
        <f t="shared" si="10"/>
        <v>0</v>
      </c>
      <c r="AW65" s="96">
        <f t="shared" si="11"/>
        <v>0</v>
      </c>
      <c r="AX65" s="96">
        <f t="shared" si="12"/>
        <v>0</v>
      </c>
      <c r="AY65" s="97"/>
      <c r="AZ65" s="96" t="str">
        <f>IF($H65="","",COUNTIFS($H$28:$H65,$H65))</f>
        <v/>
      </c>
      <c r="BA65" s="96" t="str">
        <f>IF($H65="","",COUNTIFS($H$28:$H65,$H65,$B$28:$B65,$B65))</f>
        <v/>
      </c>
    </row>
    <row r="66" spans="1:53" ht="15" customHeight="1">
      <c r="A66" s="96" t="str">
        <f t="shared" si="0"/>
        <v/>
      </c>
      <c r="B66" s="97"/>
      <c r="C66" s="97"/>
      <c r="D66" s="98"/>
      <c r="E66" s="98"/>
      <c r="F66" s="97"/>
      <c r="G66" s="97"/>
      <c r="H66" s="97"/>
      <c r="I66" s="96" t="str">
        <f>IFERROR(INDEX(PROJETS!$C$56:$C$95,MATCH($H66,PROJETS!$A$56:$A$95,0)),"")</f>
        <v/>
      </c>
      <c r="J66" s="96" t="str">
        <f>IFERROR(INDEX(PROJETS!$J$56:$J$95,MATCH($H66,PROJETS!$A$56:$A$95,0)),"")</f>
        <v/>
      </c>
      <c r="K66" s="96" t="str">
        <f>IFERROR(INDEX(PROJETS!$N$56:$N$95,MATCH($H66,PROJETS!$A$56:$A$95,0)),"")</f>
        <v/>
      </c>
      <c r="L66" s="97"/>
      <c r="M66" s="96" t="str">
        <f>IFERROR(INDEX(ACTIVITES!$G$56:$G$105,MATCH($L66,ACTIVITES!$A$56:$A$105,0)),"")</f>
        <v/>
      </c>
      <c r="N66" s="97"/>
      <c r="O66" s="96" t="str">
        <f>IFERROR(INDEX(DONATEURS!$B$56:$B$205,MATCH($N66,DONATEURS!$A$56:$A$205,0)),"")</f>
        <v/>
      </c>
      <c r="P66" s="97"/>
      <c r="Q66" s="97"/>
      <c r="R66" s="97"/>
      <c r="S66" s="97"/>
      <c r="T66" s="97"/>
      <c r="U66" s="97"/>
      <c r="V66" s="97"/>
      <c r="W66" s="97"/>
      <c r="X66" s="99"/>
      <c r="Y66" s="99"/>
      <c r="Z66" s="96">
        <f t="shared" si="1"/>
        <v>0</v>
      </c>
      <c r="AA66" s="99"/>
      <c r="AB66" s="99"/>
      <c r="AC66" s="96" t="str">
        <f t="shared" si="2"/>
        <v/>
      </c>
      <c r="AD66" s="99"/>
      <c r="AE66" s="98"/>
      <c r="AF66" s="97"/>
      <c r="AG66" s="97"/>
      <c r="AH66" s="97"/>
      <c r="AI66" s="99"/>
      <c r="AJ66" s="99"/>
      <c r="AK66" s="96">
        <f t="shared" si="3"/>
        <v>0</v>
      </c>
      <c r="AL66" s="96">
        <f t="shared" si="4"/>
        <v>0</v>
      </c>
      <c r="AM66" s="96">
        <f t="shared" si="5"/>
        <v>0</v>
      </c>
      <c r="AN66" s="96">
        <f t="shared" si="6"/>
        <v>0</v>
      </c>
      <c r="AO66" s="96">
        <f t="shared" si="7"/>
        <v>0</v>
      </c>
      <c r="AP66" s="96">
        <f t="shared" si="8"/>
        <v>0</v>
      </c>
      <c r="AQ66" s="96" t="str">
        <f t="shared" si="9"/>
        <v/>
      </c>
      <c r="AR66" s="99"/>
      <c r="AS66" s="99"/>
      <c r="AT66" s="99"/>
      <c r="AU66" s="99"/>
      <c r="AV66" s="96">
        <f t="shared" si="10"/>
        <v>0</v>
      </c>
      <c r="AW66" s="96">
        <f t="shared" si="11"/>
        <v>0</v>
      </c>
      <c r="AX66" s="96">
        <f t="shared" si="12"/>
        <v>0</v>
      </c>
      <c r="AY66" s="97"/>
      <c r="AZ66" s="96" t="str">
        <f>IF($H66="","",COUNTIFS($H$28:$H66,$H66))</f>
        <v/>
      </c>
      <c r="BA66" s="96" t="str">
        <f>IF($H66="","",COUNTIFS($H$28:$H66,$H66,$B$28:$B66,$B66))</f>
        <v/>
      </c>
    </row>
    <row r="67" spans="1:53" ht="15" customHeight="1">
      <c r="A67" s="96" t="str">
        <f t="shared" si="0"/>
        <v/>
      </c>
      <c r="B67" s="97"/>
      <c r="C67" s="97"/>
      <c r="D67" s="98"/>
      <c r="E67" s="98"/>
      <c r="F67" s="97"/>
      <c r="G67" s="97"/>
      <c r="H67" s="97"/>
      <c r="I67" s="96" t="str">
        <f>IFERROR(INDEX(PROJETS!$C$56:$C$95,MATCH($H67,PROJETS!$A$56:$A$95,0)),"")</f>
        <v/>
      </c>
      <c r="J67" s="96" t="str">
        <f>IFERROR(INDEX(PROJETS!$J$56:$J$95,MATCH($H67,PROJETS!$A$56:$A$95,0)),"")</f>
        <v/>
      </c>
      <c r="K67" s="96" t="str">
        <f>IFERROR(INDEX(PROJETS!$N$56:$N$95,MATCH($H67,PROJETS!$A$56:$A$95,0)),"")</f>
        <v/>
      </c>
      <c r="L67" s="97"/>
      <c r="M67" s="96" t="str">
        <f>IFERROR(INDEX(ACTIVITES!$G$56:$G$105,MATCH($L67,ACTIVITES!$A$56:$A$105,0)),"")</f>
        <v/>
      </c>
      <c r="N67" s="97"/>
      <c r="O67" s="96" t="str">
        <f>IFERROR(INDEX(DONATEURS!$B$56:$B$205,MATCH($N67,DONATEURS!$A$56:$A$205,0)),"")</f>
        <v/>
      </c>
      <c r="P67" s="97"/>
      <c r="Q67" s="97"/>
      <c r="R67" s="97"/>
      <c r="S67" s="97"/>
      <c r="T67" s="97"/>
      <c r="U67" s="97"/>
      <c r="V67" s="97"/>
      <c r="W67" s="97"/>
      <c r="X67" s="99"/>
      <c r="Y67" s="99"/>
      <c r="Z67" s="96">
        <f t="shared" si="1"/>
        <v>0</v>
      </c>
      <c r="AA67" s="99"/>
      <c r="AB67" s="99"/>
      <c r="AC67" s="96" t="str">
        <f t="shared" si="2"/>
        <v/>
      </c>
      <c r="AD67" s="99"/>
      <c r="AE67" s="98"/>
      <c r="AF67" s="97"/>
      <c r="AG67" s="97"/>
      <c r="AH67" s="97"/>
      <c r="AI67" s="99"/>
      <c r="AJ67" s="99"/>
      <c r="AK67" s="96">
        <f t="shared" si="3"/>
        <v>0</v>
      </c>
      <c r="AL67" s="96">
        <f t="shared" si="4"/>
        <v>0</v>
      </c>
      <c r="AM67" s="96">
        <f t="shared" si="5"/>
        <v>0</v>
      </c>
      <c r="AN67" s="96">
        <f t="shared" si="6"/>
        <v>0</v>
      </c>
      <c r="AO67" s="96">
        <f t="shared" si="7"/>
        <v>0</v>
      </c>
      <c r="AP67" s="96">
        <f t="shared" si="8"/>
        <v>0</v>
      </c>
      <c r="AQ67" s="96" t="str">
        <f t="shared" si="9"/>
        <v/>
      </c>
      <c r="AR67" s="99"/>
      <c r="AS67" s="99"/>
      <c r="AT67" s="99"/>
      <c r="AU67" s="99"/>
      <c r="AV67" s="96">
        <f t="shared" si="10"/>
        <v>0</v>
      </c>
      <c r="AW67" s="96">
        <f t="shared" si="11"/>
        <v>0</v>
      </c>
      <c r="AX67" s="96">
        <f t="shared" si="12"/>
        <v>0</v>
      </c>
      <c r="AY67" s="97"/>
      <c r="AZ67" s="96" t="str">
        <f>IF($H67="","",COUNTIFS($H$28:$H67,$H67))</f>
        <v/>
      </c>
      <c r="BA67" s="96" t="str">
        <f>IF($H67="","",COUNTIFS($H$28:$H67,$H67,$B$28:$B67,$B67))</f>
        <v/>
      </c>
    </row>
    <row r="69" spans="1:53" ht="19.5" customHeight="1">
      <c r="A69" s="299" t="s">
        <v>2130</v>
      </c>
      <c r="B69" s="262"/>
      <c r="C69" s="262"/>
      <c r="D69" s="262"/>
      <c r="E69" s="262"/>
      <c r="F69" s="262"/>
      <c r="G69" s="262"/>
      <c r="H69" s="262"/>
      <c r="I69" s="262"/>
      <c r="J69" s="262"/>
      <c r="K69" s="262"/>
      <c r="L69" s="262"/>
      <c r="M69" s="262"/>
      <c r="N69" s="262"/>
      <c r="O69" s="262"/>
      <c r="P69" s="262"/>
      <c r="Q69" s="262"/>
      <c r="R69" s="262"/>
      <c r="S69" s="262"/>
      <c r="T69" s="262"/>
    </row>
    <row r="70" spans="1:53" ht="25.5" customHeight="1">
      <c r="A70" s="9" t="s">
        <v>2100</v>
      </c>
      <c r="B70" s="9" t="s">
        <v>2107</v>
      </c>
      <c r="C70" s="9" t="s">
        <v>207</v>
      </c>
      <c r="D70" s="9" t="s">
        <v>2131</v>
      </c>
      <c r="E70" s="9" t="s">
        <v>2132</v>
      </c>
      <c r="F70" s="9" t="s">
        <v>2133</v>
      </c>
      <c r="G70" s="9" t="s">
        <v>2134</v>
      </c>
      <c r="H70" s="9" t="s">
        <v>25</v>
      </c>
      <c r="I70" s="9" t="s">
        <v>2135</v>
      </c>
      <c r="J70" s="9" t="s">
        <v>2136</v>
      </c>
      <c r="K70" s="9" t="s">
        <v>2137</v>
      </c>
      <c r="L70" s="9" t="s">
        <v>2138</v>
      </c>
      <c r="M70" s="9" t="s">
        <v>2139</v>
      </c>
      <c r="N70" s="9" t="s">
        <v>2140</v>
      </c>
      <c r="O70" s="9" t="s">
        <v>2141</v>
      </c>
      <c r="P70" s="9" t="s">
        <v>189</v>
      </c>
      <c r="Q70" s="9" t="s">
        <v>191</v>
      </c>
      <c r="R70" s="9" t="s">
        <v>192</v>
      </c>
      <c r="S70" s="9" t="s">
        <v>194</v>
      </c>
      <c r="T70" s="9" t="s">
        <v>2142</v>
      </c>
    </row>
    <row r="71" spans="1:53" ht="15" customHeight="1">
      <c r="A71" s="96" t="str">
        <f t="shared" ref="A71:A110" si="13">A28</f>
        <v>BUD0001</v>
      </c>
      <c r="B71" s="96">
        <f t="shared" ref="B71:B110" si="14">T28</f>
        <v>0</v>
      </c>
      <c r="C71" s="96" t="str">
        <f t="shared" ref="C71:C110" si="15">U28</f>
        <v>Donne fournisseur</v>
      </c>
      <c r="D71" s="99"/>
      <c r="E71" s="99"/>
      <c r="F71" s="99"/>
      <c r="G71" s="99"/>
      <c r="H71" s="99"/>
      <c r="I71" s="99"/>
      <c r="J71" s="99"/>
      <c r="K71" s="99"/>
      <c r="L71" s="99"/>
      <c r="M71" s="99"/>
      <c r="N71" s="99"/>
      <c r="O71" s="99"/>
      <c r="P71" s="100">
        <f t="shared" ref="P71:P110" si="16">SUM(D71:F71)</f>
        <v>0</v>
      </c>
      <c r="Q71" s="100">
        <f t="shared" ref="Q71:Q110" si="17">SUM(G71:I71)</f>
        <v>0</v>
      </c>
      <c r="R71" s="100">
        <f t="shared" ref="R71:R110" si="18">SUM(J71:L71)</f>
        <v>0</v>
      </c>
      <c r="S71" s="100">
        <f t="shared" ref="S71:S110" si="19">SUM(M71:O71)</f>
        <v>0</v>
      </c>
      <c r="T71" s="100">
        <f t="shared" ref="T71:T110" si="20">SUM(P71:S71)</f>
        <v>0</v>
      </c>
    </row>
    <row r="72" spans="1:53" ht="15" customHeight="1">
      <c r="A72" s="96" t="str">
        <f t="shared" si="13"/>
        <v/>
      </c>
      <c r="B72" s="96">
        <f t="shared" si="14"/>
        <v>0</v>
      </c>
      <c r="C72" s="96">
        <f t="shared" si="15"/>
        <v>0</v>
      </c>
      <c r="D72" s="99"/>
      <c r="E72" s="99"/>
      <c r="F72" s="99"/>
      <c r="G72" s="99"/>
      <c r="H72" s="99"/>
      <c r="I72" s="99"/>
      <c r="J72" s="99"/>
      <c r="K72" s="99"/>
      <c r="L72" s="99"/>
      <c r="M72" s="99"/>
      <c r="N72" s="99"/>
      <c r="O72" s="99"/>
      <c r="P72" s="100">
        <f t="shared" si="16"/>
        <v>0</v>
      </c>
      <c r="Q72" s="100">
        <f t="shared" si="17"/>
        <v>0</v>
      </c>
      <c r="R72" s="100">
        <f t="shared" si="18"/>
        <v>0</v>
      </c>
      <c r="S72" s="100">
        <f t="shared" si="19"/>
        <v>0</v>
      </c>
      <c r="T72" s="100">
        <f t="shared" si="20"/>
        <v>0</v>
      </c>
    </row>
    <row r="73" spans="1:53" ht="15" customHeight="1">
      <c r="A73" s="96" t="str">
        <f t="shared" si="13"/>
        <v/>
      </c>
      <c r="B73" s="96">
        <f t="shared" si="14"/>
        <v>0</v>
      </c>
      <c r="C73" s="96">
        <f t="shared" si="15"/>
        <v>0</v>
      </c>
      <c r="D73" s="99"/>
      <c r="E73" s="99"/>
      <c r="F73" s="99"/>
      <c r="G73" s="99"/>
      <c r="H73" s="99"/>
      <c r="I73" s="99"/>
      <c r="J73" s="99"/>
      <c r="K73" s="99"/>
      <c r="L73" s="99"/>
      <c r="M73" s="99"/>
      <c r="N73" s="99"/>
      <c r="O73" s="99"/>
      <c r="P73" s="100">
        <f t="shared" si="16"/>
        <v>0</v>
      </c>
      <c r="Q73" s="100">
        <f t="shared" si="17"/>
        <v>0</v>
      </c>
      <c r="R73" s="100">
        <f t="shared" si="18"/>
        <v>0</v>
      </c>
      <c r="S73" s="100">
        <f t="shared" si="19"/>
        <v>0</v>
      </c>
      <c r="T73" s="100">
        <f t="shared" si="20"/>
        <v>0</v>
      </c>
    </row>
    <row r="74" spans="1:53" ht="15" customHeight="1">
      <c r="A74" s="96" t="str">
        <f t="shared" si="13"/>
        <v/>
      </c>
      <c r="B74" s="96">
        <f t="shared" si="14"/>
        <v>0</v>
      </c>
      <c r="C74" s="96">
        <f t="shared" si="15"/>
        <v>0</v>
      </c>
      <c r="D74" s="99"/>
      <c r="E74" s="99"/>
      <c r="F74" s="99"/>
      <c r="G74" s="99"/>
      <c r="H74" s="99"/>
      <c r="I74" s="99"/>
      <c r="J74" s="99"/>
      <c r="K74" s="99"/>
      <c r="L74" s="99"/>
      <c r="M74" s="99"/>
      <c r="N74" s="99"/>
      <c r="O74" s="99"/>
      <c r="P74" s="100">
        <f t="shared" si="16"/>
        <v>0</v>
      </c>
      <c r="Q74" s="100">
        <f t="shared" si="17"/>
        <v>0</v>
      </c>
      <c r="R74" s="100">
        <f t="shared" si="18"/>
        <v>0</v>
      </c>
      <c r="S74" s="100">
        <f t="shared" si="19"/>
        <v>0</v>
      </c>
      <c r="T74" s="100">
        <f t="shared" si="20"/>
        <v>0</v>
      </c>
    </row>
    <row r="75" spans="1:53" ht="15" customHeight="1">
      <c r="A75" s="96" t="str">
        <f t="shared" si="13"/>
        <v/>
      </c>
      <c r="B75" s="96">
        <f t="shared" si="14"/>
        <v>0</v>
      </c>
      <c r="C75" s="96">
        <f t="shared" si="15"/>
        <v>0</v>
      </c>
      <c r="D75" s="99"/>
      <c r="E75" s="99"/>
      <c r="F75" s="99"/>
      <c r="G75" s="99"/>
      <c r="H75" s="99"/>
      <c r="I75" s="99"/>
      <c r="J75" s="99"/>
      <c r="K75" s="99"/>
      <c r="L75" s="99"/>
      <c r="M75" s="99"/>
      <c r="N75" s="99"/>
      <c r="O75" s="99"/>
      <c r="P75" s="100">
        <f t="shared" si="16"/>
        <v>0</v>
      </c>
      <c r="Q75" s="100">
        <f t="shared" si="17"/>
        <v>0</v>
      </c>
      <c r="R75" s="100">
        <f t="shared" si="18"/>
        <v>0</v>
      </c>
      <c r="S75" s="100">
        <f t="shared" si="19"/>
        <v>0</v>
      </c>
      <c r="T75" s="100">
        <f t="shared" si="20"/>
        <v>0</v>
      </c>
    </row>
    <row r="76" spans="1:53" ht="15" customHeight="1">
      <c r="A76" s="96" t="str">
        <f t="shared" si="13"/>
        <v/>
      </c>
      <c r="B76" s="96">
        <f t="shared" si="14"/>
        <v>0</v>
      </c>
      <c r="C76" s="96">
        <f t="shared" si="15"/>
        <v>0</v>
      </c>
      <c r="D76" s="99"/>
      <c r="E76" s="99"/>
      <c r="F76" s="99"/>
      <c r="G76" s="99"/>
      <c r="H76" s="99"/>
      <c r="I76" s="99"/>
      <c r="J76" s="99"/>
      <c r="K76" s="99"/>
      <c r="L76" s="99"/>
      <c r="M76" s="99"/>
      <c r="N76" s="99"/>
      <c r="O76" s="99"/>
      <c r="P76" s="100">
        <f t="shared" si="16"/>
        <v>0</v>
      </c>
      <c r="Q76" s="100">
        <f t="shared" si="17"/>
        <v>0</v>
      </c>
      <c r="R76" s="100">
        <f t="shared" si="18"/>
        <v>0</v>
      </c>
      <c r="S76" s="100">
        <f t="shared" si="19"/>
        <v>0</v>
      </c>
      <c r="T76" s="100">
        <f t="shared" si="20"/>
        <v>0</v>
      </c>
    </row>
    <row r="77" spans="1:53" ht="15" customHeight="1">
      <c r="A77" s="96" t="str">
        <f t="shared" si="13"/>
        <v/>
      </c>
      <c r="B77" s="96">
        <f t="shared" si="14"/>
        <v>0</v>
      </c>
      <c r="C77" s="96">
        <f t="shared" si="15"/>
        <v>0</v>
      </c>
      <c r="D77" s="99"/>
      <c r="E77" s="99"/>
      <c r="F77" s="99"/>
      <c r="G77" s="99"/>
      <c r="H77" s="99"/>
      <c r="I77" s="99"/>
      <c r="J77" s="99"/>
      <c r="K77" s="99"/>
      <c r="L77" s="99"/>
      <c r="M77" s="99"/>
      <c r="N77" s="99"/>
      <c r="O77" s="99"/>
      <c r="P77" s="100">
        <f t="shared" si="16"/>
        <v>0</v>
      </c>
      <c r="Q77" s="100">
        <f t="shared" si="17"/>
        <v>0</v>
      </c>
      <c r="R77" s="100">
        <f t="shared" si="18"/>
        <v>0</v>
      </c>
      <c r="S77" s="100">
        <f t="shared" si="19"/>
        <v>0</v>
      </c>
      <c r="T77" s="100">
        <f t="shared" si="20"/>
        <v>0</v>
      </c>
    </row>
    <row r="78" spans="1:53" ht="15" customHeight="1">
      <c r="A78" s="96" t="str">
        <f t="shared" si="13"/>
        <v/>
      </c>
      <c r="B78" s="96">
        <f t="shared" si="14"/>
        <v>0</v>
      </c>
      <c r="C78" s="96">
        <f t="shared" si="15"/>
        <v>0</v>
      </c>
      <c r="D78" s="99"/>
      <c r="E78" s="99"/>
      <c r="F78" s="99"/>
      <c r="G78" s="99"/>
      <c r="H78" s="99"/>
      <c r="I78" s="99"/>
      <c r="J78" s="99"/>
      <c r="K78" s="99"/>
      <c r="L78" s="99"/>
      <c r="M78" s="99"/>
      <c r="N78" s="99"/>
      <c r="O78" s="99"/>
      <c r="P78" s="100">
        <f t="shared" si="16"/>
        <v>0</v>
      </c>
      <c r="Q78" s="100">
        <f t="shared" si="17"/>
        <v>0</v>
      </c>
      <c r="R78" s="100">
        <f t="shared" si="18"/>
        <v>0</v>
      </c>
      <c r="S78" s="100">
        <f t="shared" si="19"/>
        <v>0</v>
      </c>
      <c r="T78" s="100">
        <f t="shared" si="20"/>
        <v>0</v>
      </c>
    </row>
    <row r="79" spans="1:53" ht="15" customHeight="1">
      <c r="A79" s="96" t="str">
        <f t="shared" si="13"/>
        <v/>
      </c>
      <c r="B79" s="96">
        <f t="shared" si="14"/>
        <v>0</v>
      </c>
      <c r="C79" s="96">
        <f t="shared" si="15"/>
        <v>0</v>
      </c>
      <c r="D79" s="99"/>
      <c r="E79" s="99"/>
      <c r="F79" s="99"/>
      <c r="G79" s="99"/>
      <c r="H79" s="99"/>
      <c r="I79" s="99"/>
      <c r="J79" s="99"/>
      <c r="K79" s="99"/>
      <c r="L79" s="99"/>
      <c r="M79" s="99"/>
      <c r="N79" s="99"/>
      <c r="O79" s="99"/>
      <c r="P79" s="100">
        <f t="shared" si="16"/>
        <v>0</v>
      </c>
      <c r="Q79" s="100">
        <f t="shared" si="17"/>
        <v>0</v>
      </c>
      <c r="R79" s="100">
        <f t="shared" si="18"/>
        <v>0</v>
      </c>
      <c r="S79" s="100">
        <f t="shared" si="19"/>
        <v>0</v>
      </c>
      <c r="T79" s="100">
        <f t="shared" si="20"/>
        <v>0</v>
      </c>
    </row>
    <row r="80" spans="1:53" ht="15" customHeight="1">
      <c r="A80" s="96" t="str">
        <f t="shared" si="13"/>
        <v/>
      </c>
      <c r="B80" s="96">
        <f t="shared" si="14"/>
        <v>0</v>
      </c>
      <c r="C80" s="96">
        <f t="shared" si="15"/>
        <v>0</v>
      </c>
      <c r="D80" s="99"/>
      <c r="E80" s="99"/>
      <c r="F80" s="99"/>
      <c r="G80" s="99"/>
      <c r="H80" s="99"/>
      <c r="I80" s="99"/>
      <c r="J80" s="99"/>
      <c r="K80" s="99"/>
      <c r="L80" s="99"/>
      <c r="M80" s="99"/>
      <c r="N80" s="99"/>
      <c r="O80" s="99"/>
      <c r="P80" s="100">
        <f t="shared" si="16"/>
        <v>0</v>
      </c>
      <c r="Q80" s="100">
        <f t="shared" si="17"/>
        <v>0</v>
      </c>
      <c r="R80" s="100">
        <f t="shared" si="18"/>
        <v>0</v>
      </c>
      <c r="S80" s="100">
        <f t="shared" si="19"/>
        <v>0</v>
      </c>
      <c r="T80" s="100">
        <f t="shared" si="20"/>
        <v>0</v>
      </c>
    </row>
    <row r="81" spans="1:20" ht="15" customHeight="1">
      <c r="A81" s="96" t="str">
        <f t="shared" si="13"/>
        <v/>
      </c>
      <c r="B81" s="96">
        <f t="shared" si="14"/>
        <v>0</v>
      </c>
      <c r="C81" s="96">
        <f t="shared" si="15"/>
        <v>0</v>
      </c>
      <c r="D81" s="99"/>
      <c r="E81" s="99"/>
      <c r="F81" s="99"/>
      <c r="G81" s="99"/>
      <c r="H81" s="99"/>
      <c r="I81" s="99"/>
      <c r="J81" s="99"/>
      <c r="K81" s="99"/>
      <c r="L81" s="99"/>
      <c r="M81" s="99"/>
      <c r="N81" s="99"/>
      <c r="O81" s="99"/>
      <c r="P81" s="100">
        <f t="shared" si="16"/>
        <v>0</v>
      </c>
      <c r="Q81" s="100">
        <f t="shared" si="17"/>
        <v>0</v>
      </c>
      <c r="R81" s="100">
        <f t="shared" si="18"/>
        <v>0</v>
      </c>
      <c r="S81" s="100">
        <f t="shared" si="19"/>
        <v>0</v>
      </c>
      <c r="T81" s="100">
        <f t="shared" si="20"/>
        <v>0</v>
      </c>
    </row>
    <row r="82" spans="1:20" ht="15" customHeight="1">
      <c r="A82" s="96" t="str">
        <f t="shared" si="13"/>
        <v/>
      </c>
      <c r="B82" s="96">
        <f t="shared" si="14"/>
        <v>0</v>
      </c>
      <c r="C82" s="96">
        <f t="shared" si="15"/>
        <v>0</v>
      </c>
      <c r="D82" s="99"/>
      <c r="E82" s="99"/>
      <c r="F82" s="99"/>
      <c r="G82" s="99"/>
      <c r="H82" s="99"/>
      <c r="I82" s="99"/>
      <c r="J82" s="99"/>
      <c r="K82" s="99"/>
      <c r="L82" s="99"/>
      <c r="M82" s="99"/>
      <c r="N82" s="99"/>
      <c r="O82" s="99"/>
      <c r="P82" s="100">
        <f t="shared" si="16"/>
        <v>0</v>
      </c>
      <c r="Q82" s="100">
        <f t="shared" si="17"/>
        <v>0</v>
      </c>
      <c r="R82" s="100">
        <f t="shared" si="18"/>
        <v>0</v>
      </c>
      <c r="S82" s="100">
        <f t="shared" si="19"/>
        <v>0</v>
      </c>
      <c r="T82" s="100">
        <f t="shared" si="20"/>
        <v>0</v>
      </c>
    </row>
    <row r="83" spans="1:20" ht="15" customHeight="1">
      <c r="A83" s="96" t="str">
        <f t="shared" si="13"/>
        <v/>
      </c>
      <c r="B83" s="96">
        <f t="shared" si="14"/>
        <v>0</v>
      </c>
      <c r="C83" s="96">
        <f t="shared" si="15"/>
        <v>0</v>
      </c>
      <c r="D83" s="99"/>
      <c r="E83" s="99"/>
      <c r="F83" s="99"/>
      <c r="G83" s="99"/>
      <c r="H83" s="99"/>
      <c r="I83" s="99"/>
      <c r="J83" s="99"/>
      <c r="K83" s="99"/>
      <c r="L83" s="99"/>
      <c r="M83" s="99"/>
      <c r="N83" s="99"/>
      <c r="O83" s="99"/>
      <c r="P83" s="100">
        <f t="shared" si="16"/>
        <v>0</v>
      </c>
      <c r="Q83" s="100">
        <f t="shared" si="17"/>
        <v>0</v>
      </c>
      <c r="R83" s="100">
        <f t="shared" si="18"/>
        <v>0</v>
      </c>
      <c r="S83" s="100">
        <f t="shared" si="19"/>
        <v>0</v>
      </c>
      <c r="T83" s="100">
        <f t="shared" si="20"/>
        <v>0</v>
      </c>
    </row>
    <row r="84" spans="1:20" ht="15" customHeight="1">
      <c r="A84" s="96" t="str">
        <f t="shared" si="13"/>
        <v/>
      </c>
      <c r="B84" s="96">
        <f t="shared" si="14"/>
        <v>0</v>
      </c>
      <c r="C84" s="96">
        <f t="shared" si="15"/>
        <v>0</v>
      </c>
      <c r="D84" s="99"/>
      <c r="E84" s="99"/>
      <c r="F84" s="99"/>
      <c r="G84" s="99"/>
      <c r="H84" s="99"/>
      <c r="I84" s="99"/>
      <c r="J84" s="99"/>
      <c r="K84" s="99"/>
      <c r="L84" s="99"/>
      <c r="M84" s="99"/>
      <c r="N84" s="99"/>
      <c r="O84" s="99"/>
      <c r="P84" s="100">
        <f t="shared" si="16"/>
        <v>0</v>
      </c>
      <c r="Q84" s="100">
        <f t="shared" si="17"/>
        <v>0</v>
      </c>
      <c r="R84" s="100">
        <f t="shared" si="18"/>
        <v>0</v>
      </c>
      <c r="S84" s="100">
        <f t="shared" si="19"/>
        <v>0</v>
      </c>
      <c r="T84" s="100">
        <f t="shared" si="20"/>
        <v>0</v>
      </c>
    </row>
    <row r="85" spans="1:20" ht="15" customHeight="1">
      <c r="A85" s="96" t="str">
        <f t="shared" si="13"/>
        <v/>
      </c>
      <c r="B85" s="96">
        <f t="shared" si="14"/>
        <v>0</v>
      </c>
      <c r="C85" s="96">
        <f t="shared" si="15"/>
        <v>0</v>
      </c>
      <c r="D85" s="99"/>
      <c r="E85" s="99"/>
      <c r="F85" s="99"/>
      <c r="G85" s="99"/>
      <c r="H85" s="99"/>
      <c r="I85" s="99"/>
      <c r="J85" s="99"/>
      <c r="K85" s="99"/>
      <c r="L85" s="99"/>
      <c r="M85" s="99"/>
      <c r="N85" s="99"/>
      <c r="O85" s="99"/>
      <c r="P85" s="100">
        <f t="shared" si="16"/>
        <v>0</v>
      </c>
      <c r="Q85" s="100">
        <f t="shared" si="17"/>
        <v>0</v>
      </c>
      <c r="R85" s="100">
        <f t="shared" si="18"/>
        <v>0</v>
      </c>
      <c r="S85" s="100">
        <f t="shared" si="19"/>
        <v>0</v>
      </c>
      <c r="T85" s="100">
        <f t="shared" si="20"/>
        <v>0</v>
      </c>
    </row>
    <row r="86" spans="1:20" ht="15" customHeight="1">
      <c r="A86" s="96" t="str">
        <f t="shared" si="13"/>
        <v/>
      </c>
      <c r="B86" s="96">
        <f t="shared" si="14"/>
        <v>0</v>
      </c>
      <c r="C86" s="96">
        <f t="shared" si="15"/>
        <v>0</v>
      </c>
      <c r="D86" s="99"/>
      <c r="E86" s="99"/>
      <c r="F86" s="99"/>
      <c r="G86" s="99"/>
      <c r="H86" s="99"/>
      <c r="I86" s="99"/>
      <c r="J86" s="99"/>
      <c r="K86" s="99"/>
      <c r="L86" s="99"/>
      <c r="M86" s="99"/>
      <c r="N86" s="99"/>
      <c r="O86" s="99"/>
      <c r="P86" s="100">
        <f t="shared" si="16"/>
        <v>0</v>
      </c>
      <c r="Q86" s="100">
        <f t="shared" si="17"/>
        <v>0</v>
      </c>
      <c r="R86" s="100">
        <f t="shared" si="18"/>
        <v>0</v>
      </c>
      <c r="S86" s="100">
        <f t="shared" si="19"/>
        <v>0</v>
      </c>
      <c r="T86" s="100">
        <f t="shared" si="20"/>
        <v>0</v>
      </c>
    </row>
    <row r="87" spans="1:20" ht="15" customHeight="1">
      <c r="A87" s="96" t="str">
        <f t="shared" si="13"/>
        <v/>
      </c>
      <c r="B87" s="96">
        <f t="shared" si="14"/>
        <v>0</v>
      </c>
      <c r="C87" s="96">
        <f t="shared" si="15"/>
        <v>0</v>
      </c>
      <c r="D87" s="99"/>
      <c r="E87" s="99"/>
      <c r="F87" s="99"/>
      <c r="G87" s="99"/>
      <c r="H87" s="99"/>
      <c r="I87" s="99"/>
      <c r="J87" s="99"/>
      <c r="K87" s="99"/>
      <c r="L87" s="99"/>
      <c r="M87" s="99"/>
      <c r="N87" s="99"/>
      <c r="O87" s="99"/>
      <c r="P87" s="100">
        <f t="shared" si="16"/>
        <v>0</v>
      </c>
      <c r="Q87" s="100">
        <f t="shared" si="17"/>
        <v>0</v>
      </c>
      <c r="R87" s="100">
        <f t="shared" si="18"/>
        <v>0</v>
      </c>
      <c r="S87" s="100">
        <f t="shared" si="19"/>
        <v>0</v>
      </c>
      <c r="T87" s="100">
        <f t="shared" si="20"/>
        <v>0</v>
      </c>
    </row>
    <row r="88" spans="1:20" ht="15" customHeight="1">
      <c r="A88" s="96" t="str">
        <f t="shared" si="13"/>
        <v/>
      </c>
      <c r="B88" s="96">
        <f t="shared" si="14"/>
        <v>0</v>
      </c>
      <c r="C88" s="96">
        <f t="shared" si="15"/>
        <v>0</v>
      </c>
      <c r="D88" s="99"/>
      <c r="E88" s="99"/>
      <c r="F88" s="99"/>
      <c r="G88" s="99"/>
      <c r="H88" s="99"/>
      <c r="I88" s="99"/>
      <c r="J88" s="99"/>
      <c r="K88" s="99"/>
      <c r="L88" s="99"/>
      <c r="M88" s="99"/>
      <c r="N88" s="99"/>
      <c r="O88" s="99"/>
      <c r="P88" s="100">
        <f t="shared" si="16"/>
        <v>0</v>
      </c>
      <c r="Q88" s="100">
        <f t="shared" si="17"/>
        <v>0</v>
      </c>
      <c r="R88" s="100">
        <f t="shared" si="18"/>
        <v>0</v>
      </c>
      <c r="S88" s="100">
        <f t="shared" si="19"/>
        <v>0</v>
      </c>
      <c r="T88" s="100">
        <f t="shared" si="20"/>
        <v>0</v>
      </c>
    </row>
    <row r="89" spans="1:20" ht="15" customHeight="1">
      <c r="A89" s="96" t="str">
        <f t="shared" si="13"/>
        <v/>
      </c>
      <c r="B89" s="96">
        <f t="shared" si="14"/>
        <v>0</v>
      </c>
      <c r="C89" s="96">
        <f t="shared" si="15"/>
        <v>0</v>
      </c>
      <c r="D89" s="99"/>
      <c r="E89" s="99"/>
      <c r="F89" s="99"/>
      <c r="G89" s="99"/>
      <c r="H89" s="99"/>
      <c r="I89" s="99"/>
      <c r="J89" s="99"/>
      <c r="K89" s="99"/>
      <c r="L89" s="99"/>
      <c r="M89" s="99"/>
      <c r="N89" s="99"/>
      <c r="O89" s="99"/>
      <c r="P89" s="100">
        <f t="shared" si="16"/>
        <v>0</v>
      </c>
      <c r="Q89" s="100">
        <f t="shared" si="17"/>
        <v>0</v>
      </c>
      <c r="R89" s="100">
        <f t="shared" si="18"/>
        <v>0</v>
      </c>
      <c r="S89" s="100">
        <f t="shared" si="19"/>
        <v>0</v>
      </c>
      <c r="T89" s="100">
        <f t="shared" si="20"/>
        <v>0</v>
      </c>
    </row>
    <row r="90" spans="1:20" ht="15" customHeight="1">
      <c r="A90" s="96" t="str">
        <f t="shared" si="13"/>
        <v/>
      </c>
      <c r="B90" s="96">
        <f t="shared" si="14"/>
        <v>0</v>
      </c>
      <c r="C90" s="96">
        <f t="shared" si="15"/>
        <v>0</v>
      </c>
      <c r="D90" s="99"/>
      <c r="E90" s="99"/>
      <c r="F90" s="99"/>
      <c r="G90" s="99"/>
      <c r="H90" s="99"/>
      <c r="I90" s="99"/>
      <c r="J90" s="99"/>
      <c r="K90" s="99"/>
      <c r="L90" s="99"/>
      <c r="M90" s="99"/>
      <c r="N90" s="99"/>
      <c r="O90" s="99"/>
      <c r="P90" s="100">
        <f t="shared" si="16"/>
        <v>0</v>
      </c>
      <c r="Q90" s="100">
        <f t="shared" si="17"/>
        <v>0</v>
      </c>
      <c r="R90" s="100">
        <f t="shared" si="18"/>
        <v>0</v>
      </c>
      <c r="S90" s="100">
        <f t="shared" si="19"/>
        <v>0</v>
      </c>
      <c r="T90" s="100">
        <f t="shared" si="20"/>
        <v>0</v>
      </c>
    </row>
    <row r="91" spans="1:20" ht="15" customHeight="1">
      <c r="A91" s="96" t="str">
        <f t="shared" si="13"/>
        <v/>
      </c>
      <c r="B91" s="96">
        <f t="shared" si="14"/>
        <v>0</v>
      </c>
      <c r="C91" s="96">
        <f t="shared" si="15"/>
        <v>0</v>
      </c>
      <c r="D91" s="99"/>
      <c r="E91" s="99"/>
      <c r="F91" s="99"/>
      <c r="G91" s="99"/>
      <c r="H91" s="99"/>
      <c r="I91" s="99"/>
      <c r="J91" s="99"/>
      <c r="K91" s="99"/>
      <c r="L91" s="99"/>
      <c r="M91" s="99"/>
      <c r="N91" s="99"/>
      <c r="O91" s="99"/>
      <c r="P91" s="100">
        <f t="shared" si="16"/>
        <v>0</v>
      </c>
      <c r="Q91" s="100">
        <f t="shared" si="17"/>
        <v>0</v>
      </c>
      <c r="R91" s="100">
        <f t="shared" si="18"/>
        <v>0</v>
      </c>
      <c r="S91" s="100">
        <f t="shared" si="19"/>
        <v>0</v>
      </c>
      <c r="T91" s="100">
        <f t="shared" si="20"/>
        <v>0</v>
      </c>
    </row>
    <row r="92" spans="1:20" ht="15" customHeight="1">
      <c r="A92" s="96" t="str">
        <f t="shared" si="13"/>
        <v/>
      </c>
      <c r="B92" s="96">
        <f t="shared" si="14"/>
        <v>0</v>
      </c>
      <c r="C92" s="96">
        <f t="shared" si="15"/>
        <v>0</v>
      </c>
      <c r="D92" s="99"/>
      <c r="E92" s="99"/>
      <c r="F92" s="99"/>
      <c r="G92" s="99"/>
      <c r="H92" s="99"/>
      <c r="I92" s="99"/>
      <c r="J92" s="99"/>
      <c r="K92" s="99"/>
      <c r="L92" s="99"/>
      <c r="M92" s="99"/>
      <c r="N92" s="99"/>
      <c r="O92" s="99"/>
      <c r="P92" s="100">
        <f t="shared" si="16"/>
        <v>0</v>
      </c>
      <c r="Q92" s="100">
        <f t="shared" si="17"/>
        <v>0</v>
      </c>
      <c r="R92" s="100">
        <f t="shared" si="18"/>
        <v>0</v>
      </c>
      <c r="S92" s="100">
        <f t="shared" si="19"/>
        <v>0</v>
      </c>
      <c r="T92" s="100">
        <f t="shared" si="20"/>
        <v>0</v>
      </c>
    </row>
    <row r="93" spans="1:20" ht="15" customHeight="1">
      <c r="A93" s="96" t="str">
        <f t="shared" si="13"/>
        <v/>
      </c>
      <c r="B93" s="96">
        <f t="shared" si="14"/>
        <v>0</v>
      </c>
      <c r="C93" s="96">
        <f t="shared" si="15"/>
        <v>0</v>
      </c>
      <c r="D93" s="99"/>
      <c r="E93" s="99"/>
      <c r="F93" s="99"/>
      <c r="G93" s="99"/>
      <c r="H93" s="99"/>
      <c r="I93" s="99"/>
      <c r="J93" s="99"/>
      <c r="K93" s="99"/>
      <c r="L93" s="99"/>
      <c r="M93" s="99"/>
      <c r="N93" s="99"/>
      <c r="O93" s="99"/>
      <c r="P93" s="100">
        <f t="shared" si="16"/>
        <v>0</v>
      </c>
      <c r="Q93" s="100">
        <f t="shared" si="17"/>
        <v>0</v>
      </c>
      <c r="R93" s="100">
        <f t="shared" si="18"/>
        <v>0</v>
      </c>
      <c r="S93" s="100">
        <f t="shared" si="19"/>
        <v>0</v>
      </c>
      <c r="T93" s="100">
        <f t="shared" si="20"/>
        <v>0</v>
      </c>
    </row>
    <row r="94" spans="1:20" ht="15" customHeight="1">
      <c r="A94" s="96" t="str">
        <f t="shared" si="13"/>
        <v/>
      </c>
      <c r="B94" s="96">
        <f t="shared" si="14"/>
        <v>0</v>
      </c>
      <c r="C94" s="96">
        <f t="shared" si="15"/>
        <v>0</v>
      </c>
      <c r="D94" s="99"/>
      <c r="E94" s="99"/>
      <c r="F94" s="99"/>
      <c r="G94" s="99"/>
      <c r="H94" s="99"/>
      <c r="I94" s="99"/>
      <c r="J94" s="99"/>
      <c r="K94" s="99"/>
      <c r="L94" s="99"/>
      <c r="M94" s="99"/>
      <c r="N94" s="99"/>
      <c r="O94" s="99"/>
      <c r="P94" s="100">
        <f t="shared" si="16"/>
        <v>0</v>
      </c>
      <c r="Q94" s="100">
        <f t="shared" si="17"/>
        <v>0</v>
      </c>
      <c r="R94" s="100">
        <f t="shared" si="18"/>
        <v>0</v>
      </c>
      <c r="S94" s="100">
        <f t="shared" si="19"/>
        <v>0</v>
      </c>
      <c r="T94" s="100">
        <f t="shared" si="20"/>
        <v>0</v>
      </c>
    </row>
    <row r="95" spans="1:20" ht="15" customHeight="1">
      <c r="A95" s="96" t="str">
        <f t="shared" si="13"/>
        <v/>
      </c>
      <c r="B95" s="96">
        <f t="shared" si="14"/>
        <v>0</v>
      </c>
      <c r="C95" s="96">
        <f t="shared" si="15"/>
        <v>0</v>
      </c>
      <c r="D95" s="99"/>
      <c r="E95" s="99"/>
      <c r="F95" s="99"/>
      <c r="G95" s="99"/>
      <c r="H95" s="99"/>
      <c r="I95" s="99"/>
      <c r="J95" s="99"/>
      <c r="K95" s="99"/>
      <c r="L95" s="99"/>
      <c r="M95" s="99"/>
      <c r="N95" s="99"/>
      <c r="O95" s="99"/>
      <c r="P95" s="100">
        <f t="shared" si="16"/>
        <v>0</v>
      </c>
      <c r="Q95" s="100">
        <f t="shared" si="17"/>
        <v>0</v>
      </c>
      <c r="R95" s="100">
        <f t="shared" si="18"/>
        <v>0</v>
      </c>
      <c r="S95" s="100">
        <f t="shared" si="19"/>
        <v>0</v>
      </c>
      <c r="T95" s="100">
        <f t="shared" si="20"/>
        <v>0</v>
      </c>
    </row>
    <row r="96" spans="1:20" ht="15" customHeight="1">
      <c r="A96" s="96" t="str">
        <f t="shared" si="13"/>
        <v/>
      </c>
      <c r="B96" s="96">
        <f t="shared" si="14"/>
        <v>0</v>
      </c>
      <c r="C96" s="96">
        <f t="shared" si="15"/>
        <v>0</v>
      </c>
      <c r="D96" s="99"/>
      <c r="E96" s="99"/>
      <c r="F96" s="99"/>
      <c r="G96" s="99"/>
      <c r="H96" s="99"/>
      <c r="I96" s="99"/>
      <c r="J96" s="99"/>
      <c r="K96" s="99"/>
      <c r="L96" s="99"/>
      <c r="M96" s="99"/>
      <c r="N96" s="99"/>
      <c r="O96" s="99"/>
      <c r="P96" s="100">
        <f t="shared" si="16"/>
        <v>0</v>
      </c>
      <c r="Q96" s="100">
        <f t="shared" si="17"/>
        <v>0</v>
      </c>
      <c r="R96" s="100">
        <f t="shared" si="18"/>
        <v>0</v>
      </c>
      <c r="S96" s="100">
        <f t="shared" si="19"/>
        <v>0</v>
      </c>
      <c r="T96" s="100">
        <f t="shared" si="20"/>
        <v>0</v>
      </c>
    </row>
    <row r="97" spans="1:20" ht="15" customHeight="1">
      <c r="A97" s="96" t="str">
        <f t="shared" si="13"/>
        <v/>
      </c>
      <c r="B97" s="96">
        <f t="shared" si="14"/>
        <v>0</v>
      </c>
      <c r="C97" s="96">
        <f t="shared" si="15"/>
        <v>0</v>
      </c>
      <c r="D97" s="99"/>
      <c r="E97" s="99"/>
      <c r="F97" s="99"/>
      <c r="G97" s="99"/>
      <c r="H97" s="99"/>
      <c r="I97" s="99"/>
      <c r="J97" s="99"/>
      <c r="K97" s="99"/>
      <c r="L97" s="99"/>
      <c r="M97" s="99"/>
      <c r="N97" s="99"/>
      <c r="O97" s="99"/>
      <c r="P97" s="100">
        <f t="shared" si="16"/>
        <v>0</v>
      </c>
      <c r="Q97" s="100">
        <f t="shared" si="17"/>
        <v>0</v>
      </c>
      <c r="R97" s="100">
        <f t="shared" si="18"/>
        <v>0</v>
      </c>
      <c r="S97" s="100">
        <f t="shared" si="19"/>
        <v>0</v>
      </c>
      <c r="T97" s="100">
        <f t="shared" si="20"/>
        <v>0</v>
      </c>
    </row>
    <row r="98" spans="1:20" ht="15" customHeight="1">
      <c r="A98" s="96" t="str">
        <f t="shared" si="13"/>
        <v/>
      </c>
      <c r="B98" s="96">
        <f t="shared" si="14"/>
        <v>0</v>
      </c>
      <c r="C98" s="96">
        <f t="shared" si="15"/>
        <v>0</v>
      </c>
      <c r="D98" s="99"/>
      <c r="E98" s="99"/>
      <c r="F98" s="99"/>
      <c r="G98" s="99"/>
      <c r="H98" s="99"/>
      <c r="I98" s="99"/>
      <c r="J98" s="99"/>
      <c r="K98" s="99"/>
      <c r="L98" s="99"/>
      <c r="M98" s="99"/>
      <c r="N98" s="99"/>
      <c r="O98" s="99"/>
      <c r="P98" s="100">
        <f t="shared" si="16"/>
        <v>0</v>
      </c>
      <c r="Q98" s="100">
        <f t="shared" si="17"/>
        <v>0</v>
      </c>
      <c r="R98" s="100">
        <f t="shared" si="18"/>
        <v>0</v>
      </c>
      <c r="S98" s="100">
        <f t="shared" si="19"/>
        <v>0</v>
      </c>
      <c r="T98" s="100">
        <f t="shared" si="20"/>
        <v>0</v>
      </c>
    </row>
    <row r="99" spans="1:20" ht="15" customHeight="1">
      <c r="A99" s="96" t="str">
        <f t="shared" si="13"/>
        <v/>
      </c>
      <c r="B99" s="96">
        <f t="shared" si="14"/>
        <v>0</v>
      </c>
      <c r="C99" s="96">
        <f t="shared" si="15"/>
        <v>0</v>
      </c>
      <c r="D99" s="99"/>
      <c r="E99" s="99"/>
      <c r="F99" s="99"/>
      <c r="G99" s="99"/>
      <c r="H99" s="99"/>
      <c r="I99" s="99"/>
      <c r="J99" s="99"/>
      <c r="K99" s="99"/>
      <c r="L99" s="99"/>
      <c r="M99" s="99"/>
      <c r="N99" s="99"/>
      <c r="O99" s="99"/>
      <c r="P99" s="100">
        <f t="shared" si="16"/>
        <v>0</v>
      </c>
      <c r="Q99" s="100">
        <f t="shared" si="17"/>
        <v>0</v>
      </c>
      <c r="R99" s="100">
        <f t="shared" si="18"/>
        <v>0</v>
      </c>
      <c r="S99" s="100">
        <f t="shared" si="19"/>
        <v>0</v>
      </c>
      <c r="T99" s="100">
        <f t="shared" si="20"/>
        <v>0</v>
      </c>
    </row>
    <row r="100" spans="1:20" ht="15" customHeight="1">
      <c r="A100" s="96" t="str">
        <f t="shared" si="13"/>
        <v/>
      </c>
      <c r="B100" s="96">
        <f t="shared" si="14"/>
        <v>0</v>
      </c>
      <c r="C100" s="96">
        <f t="shared" si="15"/>
        <v>0</v>
      </c>
      <c r="D100" s="99"/>
      <c r="E100" s="99"/>
      <c r="F100" s="99"/>
      <c r="G100" s="99"/>
      <c r="H100" s="99"/>
      <c r="I100" s="99"/>
      <c r="J100" s="99"/>
      <c r="K100" s="99"/>
      <c r="L100" s="99"/>
      <c r="M100" s="99"/>
      <c r="N100" s="99"/>
      <c r="O100" s="99"/>
      <c r="P100" s="100">
        <f t="shared" si="16"/>
        <v>0</v>
      </c>
      <c r="Q100" s="100">
        <f t="shared" si="17"/>
        <v>0</v>
      </c>
      <c r="R100" s="100">
        <f t="shared" si="18"/>
        <v>0</v>
      </c>
      <c r="S100" s="100">
        <f t="shared" si="19"/>
        <v>0</v>
      </c>
      <c r="T100" s="100">
        <f t="shared" si="20"/>
        <v>0</v>
      </c>
    </row>
    <row r="101" spans="1:20" ht="15" customHeight="1">
      <c r="A101" s="96" t="str">
        <f t="shared" si="13"/>
        <v/>
      </c>
      <c r="B101" s="96">
        <f t="shared" si="14"/>
        <v>0</v>
      </c>
      <c r="C101" s="96">
        <f t="shared" si="15"/>
        <v>0</v>
      </c>
      <c r="D101" s="99"/>
      <c r="E101" s="99"/>
      <c r="F101" s="99"/>
      <c r="G101" s="99"/>
      <c r="H101" s="99"/>
      <c r="I101" s="99"/>
      <c r="J101" s="99"/>
      <c r="K101" s="99"/>
      <c r="L101" s="99"/>
      <c r="M101" s="99"/>
      <c r="N101" s="99"/>
      <c r="O101" s="99"/>
      <c r="P101" s="100">
        <f t="shared" si="16"/>
        <v>0</v>
      </c>
      <c r="Q101" s="100">
        <f t="shared" si="17"/>
        <v>0</v>
      </c>
      <c r="R101" s="100">
        <f t="shared" si="18"/>
        <v>0</v>
      </c>
      <c r="S101" s="100">
        <f t="shared" si="19"/>
        <v>0</v>
      </c>
      <c r="T101" s="100">
        <f t="shared" si="20"/>
        <v>0</v>
      </c>
    </row>
    <row r="102" spans="1:20" ht="15" customHeight="1">
      <c r="A102" s="96" t="str">
        <f t="shared" si="13"/>
        <v/>
      </c>
      <c r="B102" s="96">
        <f t="shared" si="14"/>
        <v>0</v>
      </c>
      <c r="C102" s="96">
        <f t="shared" si="15"/>
        <v>0</v>
      </c>
      <c r="D102" s="99"/>
      <c r="E102" s="99"/>
      <c r="F102" s="99"/>
      <c r="G102" s="99"/>
      <c r="H102" s="99"/>
      <c r="I102" s="99"/>
      <c r="J102" s="99"/>
      <c r="K102" s="99"/>
      <c r="L102" s="99"/>
      <c r="M102" s="99"/>
      <c r="N102" s="99"/>
      <c r="O102" s="99"/>
      <c r="P102" s="100">
        <f t="shared" si="16"/>
        <v>0</v>
      </c>
      <c r="Q102" s="100">
        <f t="shared" si="17"/>
        <v>0</v>
      </c>
      <c r="R102" s="100">
        <f t="shared" si="18"/>
        <v>0</v>
      </c>
      <c r="S102" s="100">
        <f t="shared" si="19"/>
        <v>0</v>
      </c>
      <c r="T102" s="100">
        <f t="shared" si="20"/>
        <v>0</v>
      </c>
    </row>
    <row r="103" spans="1:20" ht="15" customHeight="1">
      <c r="A103" s="96" t="str">
        <f t="shared" si="13"/>
        <v/>
      </c>
      <c r="B103" s="96">
        <f t="shared" si="14"/>
        <v>0</v>
      </c>
      <c r="C103" s="96">
        <f t="shared" si="15"/>
        <v>0</v>
      </c>
      <c r="D103" s="99"/>
      <c r="E103" s="99"/>
      <c r="F103" s="99"/>
      <c r="G103" s="99"/>
      <c r="H103" s="99"/>
      <c r="I103" s="99"/>
      <c r="J103" s="99"/>
      <c r="K103" s="99"/>
      <c r="L103" s="99"/>
      <c r="M103" s="99"/>
      <c r="N103" s="99"/>
      <c r="O103" s="99"/>
      <c r="P103" s="100">
        <f t="shared" si="16"/>
        <v>0</v>
      </c>
      <c r="Q103" s="100">
        <f t="shared" si="17"/>
        <v>0</v>
      </c>
      <c r="R103" s="100">
        <f t="shared" si="18"/>
        <v>0</v>
      </c>
      <c r="S103" s="100">
        <f t="shared" si="19"/>
        <v>0</v>
      </c>
      <c r="T103" s="100">
        <f t="shared" si="20"/>
        <v>0</v>
      </c>
    </row>
    <row r="104" spans="1:20" ht="15" customHeight="1">
      <c r="A104" s="96" t="str">
        <f t="shared" si="13"/>
        <v/>
      </c>
      <c r="B104" s="96">
        <f t="shared" si="14"/>
        <v>0</v>
      </c>
      <c r="C104" s="96">
        <f t="shared" si="15"/>
        <v>0</v>
      </c>
      <c r="D104" s="99"/>
      <c r="E104" s="99"/>
      <c r="F104" s="99"/>
      <c r="G104" s="99"/>
      <c r="H104" s="99"/>
      <c r="I104" s="99"/>
      <c r="J104" s="99"/>
      <c r="K104" s="99"/>
      <c r="L104" s="99"/>
      <c r="M104" s="99"/>
      <c r="N104" s="99"/>
      <c r="O104" s="99"/>
      <c r="P104" s="100">
        <f t="shared" si="16"/>
        <v>0</v>
      </c>
      <c r="Q104" s="100">
        <f t="shared" si="17"/>
        <v>0</v>
      </c>
      <c r="R104" s="100">
        <f t="shared" si="18"/>
        <v>0</v>
      </c>
      <c r="S104" s="100">
        <f t="shared" si="19"/>
        <v>0</v>
      </c>
      <c r="T104" s="100">
        <f t="shared" si="20"/>
        <v>0</v>
      </c>
    </row>
    <row r="105" spans="1:20" ht="15" customHeight="1">
      <c r="A105" s="96" t="str">
        <f t="shared" si="13"/>
        <v/>
      </c>
      <c r="B105" s="96">
        <f t="shared" si="14"/>
        <v>0</v>
      </c>
      <c r="C105" s="96">
        <f t="shared" si="15"/>
        <v>0</v>
      </c>
      <c r="D105" s="99"/>
      <c r="E105" s="99"/>
      <c r="F105" s="99"/>
      <c r="G105" s="99"/>
      <c r="H105" s="99"/>
      <c r="I105" s="99"/>
      <c r="J105" s="99"/>
      <c r="K105" s="99"/>
      <c r="L105" s="99"/>
      <c r="M105" s="99"/>
      <c r="N105" s="99"/>
      <c r="O105" s="99"/>
      <c r="P105" s="100">
        <f t="shared" si="16"/>
        <v>0</v>
      </c>
      <c r="Q105" s="100">
        <f t="shared" si="17"/>
        <v>0</v>
      </c>
      <c r="R105" s="100">
        <f t="shared" si="18"/>
        <v>0</v>
      </c>
      <c r="S105" s="100">
        <f t="shared" si="19"/>
        <v>0</v>
      </c>
      <c r="T105" s="100">
        <f t="shared" si="20"/>
        <v>0</v>
      </c>
    </row>
    <row r="106" spans="1:20" ht="15" customHeight="1">
      <c r="A106" s="96" t="str">
        <f t="shared" si="13"/>
        <v/>
      </c>
      <c r="B106" s="96">
        <f t="shared" si="14"/>
        <v>0</v>
      </c>
      <c r="C106" s="96">
        <f t="shared" si="15"/>
        <v>0</v>
      </c>
      <c r="D106" s="99"/>
      <c r="E106" s="99"/>
      <c r="F106" s="99"/>
      <c r="G106" s="99"/>
      <c r="H106" s="99"/>
      <c r="I106" s="99"/>
      <c r="J106" s="99"/>
      <c r="K106" s="99"/>
      <c r="L106" s="99"/>
      <c r="M106" s="99"/>
      <c r="N106" s="99"/>
      <c r="O106" s="99"/>
      <c r="P106" s="100">
        <f t="shared" si="16"/>
        <v>0</v>
      </c>
      <c r="Q106" s="100">
        <f t="shared" si="17"/>
        <v>0</v>
      </c>
      <c r="R106" s="100">
        <f t="shared" si="18"/>
        <v>0</v>
      </c>
      <c r="S106" s="100">
        <f t="shared" si="19"/>
        <v>0</v>
      </c>
      <c r="T106" s="100">
        <f t="shared" si="20"/>
        <v>0</v>
      </c>
    </row>
    <row r="107" spans="1:20" ht="15" customHeight="1">
      <c r="A107" s="96" t="str">
        <f t="shared" si="13"/>
        <v/>
      </c>
      <c r="B107" s="96">
        <f t="shared" si="14"/>
        <v>0</v>
      </c>
      <c r="C107" s="96">
        <f t="shared" si="15"/>
        <v>0</v>
      </c>
      <c r="D107" s="99"/>
      <c r="E107" s="99"/>
      <c r="F107" s="99"/>
      <c r="G107" s="99"/>
      <c r="H107" s="99"/>
      <c r="I107" s="99"/>
      <c r="J107" s="99"/>
      <c r="K107" s="99"/>
      <c r="L107" s="99"/>
      <c r="M107" s="99"/>
      <c r="N107" s="99"/>
      <c r="O107" s="99"/>
      <c r="P107" s="100">
        <f t="shared" si="16"/>
        <v>0</v>
      </c>
      <c r="Q107" s="100">
        <f t="shared" si="17"/>
        <v>0</v>
      </c>
      <c r="R107" s="100">
        <f t="shared" si="18"/>
        <v>0</v>
      </c>
      <c r="S107" s="100">
        <f t="shared" si="19"/>
        <v>0</v>
      </c>
      <c r="T107" s="100">
        <f t="shared" si="20"/>
        <v>0</v>
      </c>
    </row>
    <row r="108" spans="1:20" ht="15" customHeight="1">
      <c r="A108" s="96" t="str">
        <f t="shared" si="13"/>
        <v/>
      </c>
      <c r="B108" s="96">
        <f t="shared" si="14"/>
        <v>0</v>
      </c>
      <c r="C108" s="96">
        <f t="shared" si="15"/>
        <v>0</v>
      </c>
      <c r="D108" s="99"/>
      <c r="E108" s="99"/>
      <c r="F108" s="99"/>
      <c r="G108" s="99"/>
      <c r="H108" s="99"/>
      <c r="I108" s="99"/>
      <c r="J108" s="99"/>
      <c r="K108" s="99"/>
      <c r="L108" s="99"/>
      <c r="M108" s="99"/>
      <c r="N108" s="99"/>
      <c r="O108" s="99"/>
      <c r="P108" s="100">
        <f t="shared" si="16"/>
        <v>0</v>
      </c>
      <c r="Q108" s="100">
        <f t="shared" si="17"/>
        <v>0</v>
      </c>
      <c r="R108" s="100">
        <f t="shared" si="18"/>
        <v>0</v>
      </c>
      <c r="S108" s="100">
        <f t="shared" si="19"/>
        <v>0</v>
      </c>
      <c r="T108" s="100">
        <f t="shared" si="20"/>
        <v>0</v>
      </c>
    </row>
    <row r="109" spans="1:20" ht="15" customHeight="1">
      <c r="A109" s="96" t="str">
        <f t="shared" si="13"/>
        <v/>
      </c>
      <c r="B109" s="96">
        <f t="shared" si="14"/>
        <v>0</v>
      </c>
      <c r="C109" s="96">
        <f t="shared" si="15"/>
        <v>0</v>
      </c>
      <c r="D109" s="99"/>
      <c r="E109" s="99"/>
      <c r="F109" s="99"/>
      <c r="G109" s="99"/>
      <c r="H109" s="99"/>
      <c r="I109" s="99"/>
      <c r="J109" s="99"/>
      <c r="K109" s="99"/>
      <c r="L109" s="99"/>
      <c r="M109" s="99"/>
      <c r="N109" s="99"/>
      <c r="O109" s="99"/>
      <c r="P109" s="100">
        <f t="shared" si="16"/>
        <v>0</v>
      </c>
      <c r="Q109" s="100">
        <f t="shared" si="17"/>
        <v>0</v>
      </c>
      <c r="R109" s="100">
        <f t="shared" si="18"/>
        <v>0</v>
      </c>
      <c r="S109" s="100">
        <f t="shared" si="19"/>
        <v>0</v>
      </c>
      <c r="T109" s="100">
        <f t="shared" si="20"/>
        <v>0</v>
      </c>
    </row>
    <row r="110" spans="1:20" ht="15" customHeight="1">
      <c r="A110" s="96" t="str">
        <f t="shared" si="13"/>
        <v/>
      </c>
      <c r="B110" s="96">
        <f t="shared" si="14"/>
        <v>0</v>
      </c>
      <c r="C110" s="96">
        <f t="shared" si="15"/>
        <v>0</v>
      </c>
      <c r="D110" s="99"/>
      <c r="E110" s="99"/>
      <c r="F110" s="99"/>
      <c r="G110" s="99"/>
      <c r="H110" s="99"/>
      <c r="I110" s="99"/>
      <c r="J110" s="99"/>
      <c r="K110" s="99"/>
      <c r="L110" s="99"/>
      <c r="M110" s="99"/>
      <c r="N110" s="99"/>
      <c r="O110" s="99"/>
      <c r="P110" s="100">
        <f t="shared" si="16"/>
        <v>0</v>
      </c>
      <c r="Q110" s="100">
        <f t="shared" si="17"/>
        <v>0</v>
      </c>
      <c r="R110" s="100">
        <f t="shared" si="18"/>
        <v>0</v>
      </c>
      <c r="S110" s="100">
        <f t="shared" si="19"/>
        <v>0</v>
      </c>
      <c r="T110" s="100">
        <f t="shared" si="20"/>
        <v>0</v>
      </c>
    </row>
    <row r="112" spans="1:20" ht="19.5" customHeight="1">
      <c r="A112" s="299" t="s">
        <v>2143</v>
      </c>
      <c r="B112" s="262"/>
      <c r="C112" s="262"/>
      <c r="D112" s="262"/>
      <c r="E112" s="262"/>
      <c r="F112" s="262"/>
      <c r="G112" s="262"/>
      <c r="H112" s="262"/>
    </row>
    <row r="113" spans="1:8" ht="25.5" customHeight="1">
      <c r="A113" s="9" t="s">
        <v>1648</v>
      </c>
      <c r="B113" s="9" t="s">
        <v>1586</v>
      </c>
      <c r="C113" s="9" t="s">
        <v>1806</v>
      </c>
      <c r="D113" s="9" t="s">
        <v>2075</v>
      </c>
      <c r="E113" s="9" t="s">
        <v>2076</v>
      </c>
      <c r="F113" s="9" t="s">
        <v>1675</v>
      </c>
      <c r="G113" s="9" t="s">
        <v>1677</v>
      </c>
      <c r="H113" s="9" t="s">
        <v>2078</v>
      </c>
    </row>
    <row r="114" spans="1:8" ht="42.75" customHeight="1">
      <c r="A114" s="96" t="str">
        <f>PROJETS!A56</f>
        <v>PROJ0001</v>
      </c>
      <c r="B114" s="96" t="str">
        <f>PROJETS!C56</f>
        <v>Projet d'appui a l'insertion professionnelle des jeunes</v>
      </c>
      <c r="C114" s="100">
        <f>IF($A114="",0,SUMIF(tbl_Budget[ID Projet],$A114,tbl_Budget[Montant prevu (FCFA)]))</f>
        <v>0</v>
      </c>
      <c r="D114" s="100">
        <f>IF($A114="",0,SUMIF(tbl_Budget[ID Projet],$A114,tbl_Budget[Budget de reference (FCFA)]))</f>
        <v>0</v>
      </c>
      <c r="E114" s="100">
        <f>IF($A114="",0,SUMIF(tbl_Budget[ID Projet],$A114,tbl_Budget[Montant engage (FCFA)]))</f>
        <v>0</v>
      </c>
      <c r="F114" s="100">
        <f>IF($A114="",0,SUMIF(tbl_Budget[ID Projet],$A114,tbl_Budget[Depenses realisees (FCFA)]))</f>
        <v>0</v>
      </c>
      <c r="G114" s="100">
        <f t="shared" ref="G114:G153" si="21">$D114-$F114</f>
        <v>0</v>
      </c>
      <c r="H114" s="101">
        <f t="shared" ref="H114:H153" si="22">IF($D114=0,0,$F114/$D114)</f>
        <v>0</v>
      </c>
    </row>
    <row r="115" spans="1:8" ht="15" customHeight="1">
      <c r="A115" s="96" t="str">
        <f>PROJETS!A57</f>
        <v/>
      </c>
      <c r="B115" s="96">
        <f>PROJETS!C57</f>
        <v>0</v>
      </c>
      <c r="C115" s="100">
        <f>IF($A115="",0,SUMIF(tbl_Budget[ID Projet],$A115,tbl_Budget[Montant prevu (FCFA)]))</f>
        <v>0</v>
      </c>
      <c r="D115" s="100">
        <f>IF($A115="",0,SUMIF(tbl_Budget[ID Projet],$A115,tbl_Budget[Budget de reference (FCFA)]))</f>
        <v>0</v>
      </c>
      <c r="E115" s="100">
        <f>IF($A115="",0,SUMIF(tbl_Budget[ID Projet],$A115,tbl_Budget[Montant engage (FCFA)]))</f>
        <v>0</v>
      </c>
      <c r="F115" s="100">
        <f>IF($A115="",0,SUMIF(tbl_Budget[ID Projet],$A115,tbl_Budget[Depenses realisees (FCFA)]))</f>
        <v>0</v>
      </c>
      <c r="G115" s="100">
        <f t="shared" si="21"/>
        <v>0</v>
      </c>
      <c r="H115" s="101">
        <f t="shared" si="22"/>
        <v>0</v>
      </c>
    </row>
    <row r="116" spans="1:8" ht="15" customHeight="1">
      <c r="A116" s="96" t="str">
        <f>PROJETS!A58</f>
        <v/>
      </c>
      <c r="B116" s="96">
        <f>PROJETS!C58</f>
        <v>0</v>
      </c>
      <c r="C116" s="100">
        <f>IF($A116="",0,SUMIF(tbl_Budget[ID Projet],$A116,tbl_Budget[Montant prevu (FCFA)]))</f>
        <v>0</v>
      </c>
      <c r="D116" s="100">
        <f>IF($A116="",0,SUMIF(tbl_Budget[ID Projet],$A116,tbl_Budget[Budget de reference (FCFA)]))</f>
        <v>0</v>
      </c>
      <c r="E116" s="100">
        <f>IF($A116="",0,SUMIF(tbl_Budget[ID Projet],$A116,tbl_Budget[Montant engage (FCFA)]))</f>
        <v>0</v>
      </c>
      <c r="F116" s="100">
        <f>IF($A116="",0,SUMIF(tbl_Budget[ID Projet],$A116,tbl_Budget[Depenses realisees (FCFA)]))</f>
        <v>0</v>
      </c>
      <c r="G116" s="100">
        <f t="shared" si="21"/>
        <v>0</v>
      </c>
      <c r="H116" s="101">
        <f t="shared" si="22"/>
        <v>0</v>
      </c>
    </row>
    <row r="117" spans="1:8" ht="15" customHeight="1">
      <c r="A117" s="96" t="str">
        <f>PROJETS!A59</f>
        <v/>
      </c>
      <c r="B117" s="96">
        <f>PROJETS!C59</f>
        <v>0</v>
      </c>
      <c r="C117" s="100">
        <f>IF($A117="",0,SUMIF(tbl_Budget[ID Projet],$A117,tbl_Budget[Montant prevu (FCFA)]))</f>
        <v>0</v>
      </c>
      <c r="D117" s="100">
        <f>IF($A117="",0,SUMIF(tbl_Budget[ID Projet],$A117,tbl_Budget[Budget de reference (FCFA)]))</f>
        <v>0</v>
      </c>
      <c r="E117" s="100">
        <f>IF($A117="",0,SUMIF(tbl_Budget[ID Projet],$A117,tbl_Budget[Montant engage (FCFA)]))</f>
        <v>0</v>
      </c>
      <c r="F117" s="100">
        <f>IF($A117="",0,SUMIF(tbl_Budget[ID Projet],$A117,tbl_Budget[Depenses realisees (FCFA)]))</f>
        <v>0</v>
      </c>
      <c r="G117" s="100">
        <f t="shared" si="21"/>
        <v>0</v>
      </c>
      <c r="H117" s="101">
        <f t="shared" si="22"/>
        <v>0</v>
      </c>
    </row>
    <row r="118" spans="1:8" ht="15" customHeight="1">
      <c r="A118" s="96" t="str">
        <f>PROJETS!A60</f>
        <v/>
      </c>
      <c r="B118" s="96">
        <f>PROJETS!C60</f>
        <v>0</v>
      </c>
      <c r="C118" s="100">
        <f>IF($A118="",0,SUMIF(tbl_Budget[ID Projet],$A118,tbl_Budget[Montant prevu (FCFA)]))</f>
        <v>0</v>
      </c>
      <c r="D118" s="100">
        <f>IF($A118="",0,SUMIF(tbl_Budget[ID Projet],$A118,tbl_Budget[Budget de reference (FCFA)]))</f>
        <v>0</v>
      </c>
      <c r="E118" s="100">
        <f>IF($A118="",0,SUMIF(tbl_Budget[ID Projet],$A118,tbl_Budget[Montant engage (FCFA)]))</f>
        <v>0</v>
      </c>
      <c r="F118" s="100">
        <f>IF($A118="",0,SUMIF(tbl_Budget[ID Projet],$A118,tbl_Budget[Depenses realisees (FCFA)]))</f>
        <v>0</v>
      </c>
      <c r="G118" s="100">
        <f t="shared" si="21"/>
        <v>0</v>
      </c>
      <c r="H118" s="101">
        <f t="shared" si="22"/>
        <v>0</v>
      </c>
    </row>
    <row r="119" spans="1:8" ht="15" customHeight="1">
      <c r="A119" s="96" t="str">
        <f>PROJETS!A61</f>
        <v/>
      </c>
      <c r="B119" s="96">
        <f>PROJETS!C61</f>
        <v>0</v>
      </c>
      <c r="C119" s="100">
        <f>IF($A119="",0,SUMIF(tbl_Budget[ID Projet],$A119,tbl_Budget[Montant prevu (FCFA)]))</f>
        <v>0</v>
      </c>
      <c r="D119" s="100">
        <f>IF($A119="",0,SUMIF(tbl_Budget[ID Projet],$A119,tbl_Budget[Budget de reference (FCFA)]))</f>
        <v>0</v>
      </c>
      <c r="E119" s="100">
        <f>IF($A119="",0,SUMIF(tbl_Budget[ID Projet],$A119,tbl_Budget[Montant engage (FCFA)]))</f>
        <v>0</v>
      </c>
      <c r="F119" s="100">
        <f>IF($A119="",0,SUMIF(tbl_Budget[ID Projet],$A119,tbl_Budget[Depenses realisees (FCFA)]))</f>
        <v>0</v>
      </c>
      <c r="G119" s="100">
        <f t="shared" si="21"/>
        <v>0</v>
      </c>
      <c r="H119" s="101">
        <f t="shared" si="22"/>
        <v>0</v>
      </c>
    </row>
    <row r="120" spans="1:8" ht="15" customHeight="1">
      <c r="A120" s="96" t="str">
        <f>PROJETS!A62</f>
        <v/>
      </c>
      <c r="B120" s="96">
        <f>PROJETS!C62</f>
        <v>0</v>
      </c>
      <c r="C120" s="100">
        <f>IF($A120="",0,SUMIF(tbl_Budget[ID Projet],$A120,tbl_Budget[Montant prevu (FCFA)]))</f>
        <v>0</v>
      </c>
      <c r="D120" s="100">
        <f>IF($A120="",0,SUMIF(tbl_Budget[ID Projet],$A120,tbl_Budget[Budget de reference (FCFA)]))</f>
        <v>0</v>
      </c>
      <c r="E120" s="100">
        <f>IF($A120="",0,SUMIF(tbl_Budget[ID Projet],$A120,tbl_Budget[Montant engage (FCFA)]))</f>
        <v>0</v>
      </c>
      <c r="F120" s="100">
        <f>IF($A120="",0,SUMIF(tbl_Budget[ID Projet],$A120,tbl_Budget[Depenses realisees (FCFA)]))</f>
        <v>0</v>
      </c>
      <c r="G120" s="100">
        <f t="shared" si="21"/>
        <v>0</v>
      </c>
      <c r="H120" s="101">
        <f t="shared" si="22"/>
        <v>0</v>
      </c>
    </row>
    <row r="121" spans="1:8" ht="15" customHeight="1">
      <c r="A121" s="96" t="str">
        <f>PROJETS!A63</f>
        <v/>
      </c>
      <c r="B121" s="96">
        <f>PROJETS!C63</f>
        <v>0</v>
      </c>
      <c r="C121" s="100">
        <f>IF($A121="",0,SUMIF(tbl_Budget[ID Projet],$A121,tbl_Budget[Montant prevu (FCFA)]))</f>
        <v>0</v>
      </c>
      <c r="D121" s="100">
        <f>IF($A121="",0,SUMIF(tbl_Budget[ID Projet],$A121,tbl_Budget[Budget de reference (FCFA)]))</f>
        <v>0</v>
      </c>
      <c r="E121" s="100">
        <f>IF($A121="",0,SUMIF(tbl_Budget[ID Projet],$A121,tbl_Budget[Montant engage (FCFA)]))</f>
        <v>0</v>
      </c>
      <c r="F121" s="100">
        <f>IF($A121="",0,SUMIF(tbl_Budget[ID Projet],$A121,tbl_Budget[Depenses realisees (FCFA)]))</f>
        <v>0</v>
      </c>
      <c r="G121" s="100">
        <f t="shared" si="21"/>
        <v>0</v>
      </c>
      <c r="H121" s="101">
        <f t="shared" si="22"/>
        <v>0</v>
      </c>
    </row>
    <row r="122" spans="1:8" ht="15" customHeight="1">
      <c r="A122" s="96" t="str">
        <f>PROJETS!A64</f>
        <v/>
      </c>
      <c r="B122" s="96">
        <f>PROJETS!C64</f>
        <v>0</v>
      </c>
      <c r="C122" s="100">
        <f>IF($A122="",0,SUMIF(tbl_Budget[ID Projet],$A122,tbl_Budget[Montant prevu (FCFA)]))</f>
        <v>0</v>
      </c>
      <c r="D122" s="100">
        <f>IF($A122="",0,SUMIF(tbl_Budget[ID Projet],$A122,tbl_Budget[Budget de reference (FCFA)]))</f>
        <v>0</v>
      </c>
      <c r="E122" s="100">
        <f>IF($A122="",0,SUMIF(tbl_Budget[ID Projet],$A122,tbl_Budget[Montant engage (FCFA)]))</f>
        <v>0</v>
      </c>
      <c r="F122" s="100">
        <f>IF($A122="",0,SUMIF(tbl_Budget[ID Projet],$A122,tbl_Budget[Depenses realisees (FCFA)]))</f>
        <v>0</v>
      </c>
      <c r="G122" s="100">
        <f t="shared" si="21"/>
        <v>0</v>
      </c>
      <c r="H122" s="101">
        <f t="shared" si="22"/>
        <v>0</v>
      </c>
    </row>
    <row r="123" spans="1:8" ht="15" customHeight="1">
      <c r="A123" s="96" t="str">
        <f>PROJETS!A65</f>
        <v/>
      </c>
      <c r="B123" s="96">
        <f>PROJETS!C65</f>
        <v>0</v>
      </c>
      <c r="C123" s="100">
        <f>IF($A123="",0,SUMIF(tbl_Budget[ID Projet],$A123,tbl_Budget[Montant prevu (FCFA)]))</f>
        <v>0</v>
      </c>
      <c r="D123" s="100">
        <f>IF($A123="",0,SUMIF(tbl_Budget[ID Projet],$A123,tbl_Budget[Budget de reference (FCFA)]))</f>
        <v>0</v>
      </c>
      <c r="E123" s="100">
        <f>IF($A123="",0,SUMIF(tbl_Budget[ID Projet],$A123,tbl_Budget[Montant engage (FCFA)]))</f>
        <v>0</v>
      </c>
      <c r="F123" s="100">
        <f>IF($A123="",0,SUMIF(tbl_Budget[ID Projet],$A123,tbl_Budget[Depenses realisees (FCFA)]))</f>
        <v>0</v>
      </c>
      <c r="G123" s="100">
        <f t="shared" si="21"/>
        <v>0</v>
      </c>
      <c r="H123" s="101">
        <f t="shared" si="22"/>
        <v>0</v>
      </c>
    </row>
    <row r="124" spans="1:8" ht="15" customHeight="1">
      <c r="A124" s="96" t="str">
        <f>PROJETS!A66</f>
        <v/>
      </c>
      <c r="B124" s="96">
        <f>PROJETS!C66</f>
        <v>0</v>
      </c>
      <c r="C124" s="100">
        <f>IF($A124="",0,SUMIF(tbl_Budget[ID Projet],$A124,tbl_Budget[Montant prevu (FCFA)]))</f>
        <v>0</v>
      </c>
      <c r="D124" s="100">
        <f>IF($A124="",0,SUMIF(tbl_Budget[ID Projet],$A124,tbl_Budget[Budget de reference (FCFA)]))</f>
        <v>0</v>
      </c>
      <c r="E124" s="100">
        <f>IF($A124="",0,SUMIF(tbl_Budget[ID Projet],$A124,tbl_Budget[Montant engage (FCFA)]))</f>
        <v>0</v>
      </c>
      <c r="F124" s="100">
        <f>IF($A124="",0,SUMIF(tbl_Budget[ID Projet],$A124,tbl_Budget[Depenses realisees (FCFA)]))</f>
        <v>0</v>
      </c>
      <c r="G124" s="100">
        <f t="shared" si="21"/>
        <v>0</v>
      </c>
      <c r="H124" s="101">
        <f t="shared" si="22"/>
        <v>0</v>
      </c>
    </row>
    <row r="125" spans="1:8" ht="15" customHeight="1">
      <c r="A125" s="96" t="str">
        <f>PROJETS!A67</f>
        <v/>
      </c>
      <c r="B125" s="96">
        <f>PROJETS!C67</f>
        <v>0</v>
      </c>
      <c r="C125" s="100">
        <f>IF($A125="",0,SUMIF(tbl_Budget[ID Projet],$A125,tbl_Budget[Montant prevu (FCFA)]))</f>
        <v>0</v>
      </c>
      <c r="D125" s="100">
        <f>IF($A125="",0,SUMIF(tbl_Budget[ID Projet],$A125,tbl_Budget[Budget de reference (FCFA)]))</f>
        <v>0</v>
      </c>
      <c r="E125" s="100">
        <f>IF($A125="",0,SUMIF(tbl_Budget[ID Projet],$A125,tbl_Budget[Montant engage (FCFA)]))</f>
        <v>0</v>
      </c>
      <c r="F125" s="100">
        <f>IF($A125="",0,SUMIF(tbl_Budget[ID Projet],$A125,tbl_Budget[Depenses realisees (FCFA)]))</f>
        <v>0</v>
      </c>
      <c r="G125" s="100">
        <f t="shared" si="21"/>
        <v>0</v>
      </c>
      <c r="H125" s="101">
        <f t="shared" si="22"/>
        <v>0</v>
      </c>
    </row>
    <row r="126" spans="1:8" ht="15" customHeight="1">
      <c r="A126" s="96" t="str">
        <f>PROJETS!A68</f>
        <v/>
      </c>
      <c r="B126" s="96">
        <f>PROJETS!C68</f>
        <v>0</v>
      </c>
      <c r="C126" s="100">
        <f>IF($A126="",0,SUMIF(tbl_Budget[ID Projet],$A126,tbl_Budget[Montant prevu (FCFA)]))</f>
        <v>0</v>
      </c>
      <c r="D126" s="100">
        <f>IF($A126="",0,SUMIF(tbl_Budget[ID Projet],$A126,tbl_Budget[Budget de reference (FCFA)]))</f>
        <v>0</v>
      </c>
      <c r="E126" s="100">
        <f>IF($A126="",0,SUMIF(tbl_Budget[ID Projet],$A126,tbl_Budget[Montant engage (FCFA)]))</f>
        <v>0</v>
      </c>
      <c r="F126" s="100">
        <f>IF($A126="",0,SUMIF(tbl_Budget[ID Projet],$A126,tbl_Budget[Depenses realisees (FCFA)]))</f>
        <v>0</v>
      </c>
      <c r="G126" s="100">
        <f t="shared" si="21"/>
        <v>0</v>
      </c>
      <c r="H126" s="101">
        <f t="shared" si="22"/>
        <v>0</v>
      </c>
    </row>
    <row r="127" spans="1:8" ht="15" customHeight="1">
      <c r="A127" s="96" t="str">
        <f>PROJETS!A69</f>
        <v/>
      </c>
      <c r="B127" s="96">
        <f>PROJETS!C69</f>
        <v>0</v>
      </c>
      <c r="C127" s="100">
        <f>IF($A127="",0,SUMIF(tbl_Budget[ID Projet],$A127,tbl_Budget[Montant prevu (FCFA)]))</f>
        <v>0</v>
      </c>
      <c r="D127" s="100">
        <f>IF($A127="",0,SUMIF(tbl_Budget[ID Projet],$A127,tbl_Budget[Budget de reference (FCFA)]))</f>
        <v>0</v>
      </c>
      <c r="E127" s="100">
        <f>IF($A127="",0,SUMIF(tbl_Budget[ID Projet],$A127,tbl_Budget[Montant engage (FCFA)]))</f>
        <v>0</v>
      </c>
      <c r="F127" s="100">
        <f>IF($A127="",0,SUMIF(tbl_Budget[ID Projet],$A127,tbl_Budget[Depenses realisees (FCFA)]))</f>
        <v>0</v>
      </c>
      <c r="G127" s="100">
        <f t="shared" si="21"/>
        <v>0</v>
      </c>
      <c r="H127" s="101">
        <f t="shared" si="22"/>
        <v>0</v>
      </c>
    </row>
    <row r="128" spans="1:8" ht="15" customHeight="1">
      <c r="A128" s="96" t="str">
        <f>PROJETS!A70</f>
        <v/>
      </c>
      <c r="B128" s="96">
        <f>PROJETS!C70</f>
        <v>0</v>
      </c>
      <c r="C128" s="100">
        <f>IF($A128="",0,SUMIF(tbl_Budget[ID Projet],$A128,tbl_Budget[Montant prevu (FCFA)]))</f>
        <v>0</v>
      </c>
      <c r="D128" s="100">
        <f>IF($A128="",0,SUMIF(tbl_Budget[ID Projet],$A128,tbl_Budget[Budget de reference (FCFA)]))</f>
        <v>0</v>
      </c>
      <c r="E128" s="100">
        <f>IF($A128="",0,SUMIF(tbl_Budget[ID Projet],$A128,tbl_Budget[Montant engage (FCFA)]))</f>
        <v>0</v>
      </c>
      <c r="F128" s="100">
        <f>IF($A128="",0,SUMIF(tbl_Budget[ID Projet],$A128,tbl_Budget[Depenses realisees (FCFA)]))</f>
        <v>0</v>
      </c>
      <c r="G128" s="100">
        <f t="shared" si="21"/>
        <v>0</v>
      </c>
      <c r="H128" s="101">
        <f t="shared" si="22"/>
        <v>0</v>
      </c>
    </row>
    <row r="129" spans="1:8" ht="15" customHeight="1">
      <c r="A129" s="96" t="str">
        <f>PROJETS!A71</f>
        <v/>
      </c>
      <c r="B129" s="96">
        <f>PROJETS!C71</f>
        <v>0</v>
      </c>
      <c r="C129" s="100">
        <f>IF($A129="",0,SUMIF(tbl_Budget[ID Projet],$A129,tbl_Budget[Montant prevu (FCFA)]))</f>
        <v>0</v>
      </c>
      <c r="D129" s="100">
        <f>IF($A129="",0,SUMIF(tbl_Budget[ID Projet],$A129,tbl_Budget[Budget de reference (FCFA)]))</f>
        <v>0</v>
      </c>
      <c r="E129" s="100">
        <f>IF($A129="",0,SUMIF(tbl_Budget[ID Projet],$A129,tbl_Budget[Montant engage (FCFA)]))</f>
        <v>0</v>
      </c>
      <c r="F129" s="100">
        <f>IF($A129="",0,SUMIF(tbl_Budget[ID Projet],$A129,tbl_Budget[Depenses realisees (FCFA)]))</f>
        <v>0</v>
      </c>
      <c r="G129" s="100">
        <f t="shared" si="21"/>
        <v>0</v>
      </c>
      <c r="H129" s="101">
        <f t="shared" si="22"/>
        <v>0</v>
      </c>
    </row>
    <row r="130" spans="1:8" ht="15" customHeight="1">
      <c r="A130" s="96" t="str">
        <f>PROJETS!A72</f>
        <v/>
      </c>
      <c r="B130" s="96">
        <f>PROJETS!C72</f>
        <v>0</v>
      </c>
      <c r="C130" s="100">
        <f>IF($A130="",0,SUMIF(tbl_Budget[ID Projet],$A130,tbl_Budget[Montant prevu (FCFA)]))</f>
        <v>0</v>
      </c>
      <c r="D130" s="100">
        <f>IF($A130="",0,SUMIF(tbl_Budget[ID Projet],$A130,tbl_Budget[Budget de reference (FCFA)]))</f>
        <v>0</v>
      </c>
      <c r="E130" s="100">
        <f>IF($A130="",0,SUMIF(tbl_Budget[ID Projet],$A130,tbl_Budget[Montant engage (FCFA)]))</f>
        <v>0</v>
      </c>
      <c r="F130" s="100">
        <f>IF($A130="",0,SUMIF(tbl_Budget[ID Projet],$A130,tbl_Budget[Depenses realisees (FCFA)]))</f>
        <v>0</v>
      </c>
      <c r="G130" s="100">
        <f t="shared" si="21"/>
        <v>0</v>
      </c>
      <c r="H130" s="101">
        <f t="shared" si="22"/>
        <v>0</v>
      </c>
    </row>
    <row r="131" spans="1:8" ht="15" customHeight="1">
      <c r="A131" s="96" t="str">
        <f>PROJETS!A73</f>
        <v/>
      </c>
      <c r="B131" s="96">
        <f>PROJETS!C73</f>
        <v>0</v>
      </c>
      <c r="C131" s="100">
        <f>IF($A131="",0,SUMIF(tbl_Budget[ID Projet],$A131,tbl_Budget[Montant prevu (FCFA)]))</f>
        <v>0</v>
      </c>
      <c r="D131" s="100">
        <f>IF($A131="",0,SUMIF(tbl_Budget[ID Projet],$A131,tbl_Budget[Budget de reference (FCFA)]))</f>
        <v>0</v>
      </c>
      <c r="E131" s="100">
        <f>IF($A131="",0,SUMIF(tbl_Budget[ID Projet],$A131,tbl_Budget[Montant engage (FCFA)]))</f>
        <v>0</v>
      </c>
      <c r="F131" s="100">
        <f>IF($A131="",0,SUMIF(tbl_Budget[ID Projet],$A131,tbl_Budget[Depenses realisees (FCFA)]))</f>
        <v>0</v>
      </c>
      <c r="G131" s="100">
        <f t="shared" si="21"/>
        <v>0</v>
      </c>
      <c r="H131" s="101">
        <f t="shared" si="22"/>
        <v>0</v>
      </c>
    </row>
    <row r="132" spans="1:8" ht="15" customHeight="1">
      <c r="A132" s="96" t="str">
        <f>PROJETS!A74</f>
        <v/>
      </c>
      <c r="B132" s="96">
        <f>PROJETS!C74</f>
        <v>0</v>
      </c>
      <c r="C132" s="100">
        <f>IF($A132="",0,SUMIF(tbl_Budget[ID Projet],$A132,tbl_Budget[Montant prevu (FCFA)]))</f>
        <v>0</v>
      </c>
      <c r="D132" s="100">
        <f>IF($A132="",0,SUMIF(tbl_Budget[ID Projet],$A132,tbl_Budget[Budget de reference (FCFA)]))</f>
        <v>0</v>
      </c>
      <c r="E132" s="100">
        <f>IF($A132="",0,SUMIF(tbl_Budget[ID Projet],$A132,tbl_Budget[Montant engage (FCFA)]))</f>
        <v>0</v>
      </c>
      <c r="F132" s="100">
        <f>IF($A132="",0,SUMIF(tbl_Budget[ID Projet],$A132,tbl_Budget[Depenses realisees (FCFA)]))</f>
        <v>0</v>
      </c>
      <c r="G132" s="100">
        <f t="shared" si="21"/>
        <v>0</v>
      </c>
      <c r="H132" s="101">
        <f t="shared" si="22"/>
        <v>0</v>
      </c>
    </row>
    <row r="133" spans="1:8" ht="15" customHeight="1">
      <c r="A133" s="96" t="str">
        <f>PROJETS!A75</f>
        <v/>
      </c>
      <c r="B133" s="96">
        <f>PROJETS!C75</f>
        <v>0</v>
      </c>
      <c r="C133" s="100">
        <f>IF($A133="",0,SUMIF(tbl_Budget[ID Projet],$A133,tbl_Budget[Montant prevu (FCFA)]))</f>
        <v>0</v>
      </c>
      <c r="D133" s="100">
        <f>IF($A133="",0,SUMIF(tbl_Budget[ID Projet],$A133,tbl_Budget[Budget de reference (FCFA)]))</f>
        <v>0</v>
      </c>
      <c r="E133" s="100">
        <f>IF($A133="",0,SUMIF(tbl_Budget[ID Projet],$A133,tbl_Budget[Montant engage (FCFA)]))</f>
        <v>0</v>
      </c>
      <c r="F133" s="100">
        <f>IF($A133="",0,SUMIF(tbl_Budget[ID Projet],$A133,tbl_Budget[Depenses realisees (FCFA)]))</f>
        <v>0</v>
      </c>
      <c r="G133" s="100">
        <f t="shared" si="21"/>
        <v>0</v>
      </c>
      <c r="H133" s="101">
        <f t="shared" si="22"/>
        <v>0</v>
      </c>
    </row>
    <row r="134" spans="1:8" ht="15" customHeight="1">
      <c r="A134" s="96" t="str">
        <f>PROJETS!A76</f>
        <v/>
      </c>
      <c r="B134" s="96">
        <f>PROJETS!C76</f>
        <v>0</v>
      </c>
      <c r="C134" s="100">
        <f>IF($A134="",0,SUMIF(tbl_Budget[ID Projet],$A134,tbl_Budget[Montant prevu (FCFA)]))</f>
        <v>0</v>
      </c>
      <c r="D134" s="100">
        <f>IF($A134="",0,SUMIF(tbl_Budget[ID Projet],$A134,tbl_Budget[Budget de reference (FCFA)]))</f>
        <v>0</v>
      </c>
      <c r="E134" s="100">
        <f>IF($A134="",0,SUMIF(tbl_Budget[ID Projet],$A134,tbl_Budget[Montant engage (FCFA)]))</f>
        <v>0</v>
      </c>
      <c r="F134" s="100">
        <f>IF($A134="",0,SUMIF(tbl_Budget[ID Projet],$A134,tbl_Budget[Depenses realisees (FCFA)]))</f>
        <v>0</v>
      </c>
      <c r="G134" s="100">
        <f t="shared" si="21"/>
        <v>0</v>
      </c>
      <c r="H134" s="101">
        <f t="shared" si="22"/>
        <v>0</v>
      </c>
    </row>
    <row r="135" spans="1:8" ht="15" customHeight="1">
      <c r="A135" s="96" t="str">
        <f>PROJETS!A77</f>
        <v/>
      </c>
      <c r="B135" s="96">
        <f>PROJETS!C77</f>
        <v>0</v>
      </c>
      <c r="C135" s="100">
        <f>IF($A135="",0,SUMIF(tbl_Budget[ID Projet],$A135,tbl_Budget[Montant prevu (FCFA)]))</f>
        <v>0</v>
      </c>
      <c r="D135" s="100">
        <f>IF($A135="",0,SUMIF(tbl_Budget[ID Projet],$A135,tbl_Budget[Budget de reference (FCFA)]))</f>
        <v>0</v>
      </c>
      <c r="E135" s="100">
        <f>IF($A135="",0,SUMIF(tbl_Budget[ID Projet],$A135,tbl_Budget[Montant engage (FCFA)]))</f>
        <v>0</v>
      </c>
      <c r="F135" s="100">
        <f>IF($A135="",0,SUMIF(tbl_Budget[ID Projet],$A135,tbl_Budget[Depenses realisees (FCFA)]))</f>
        <v>0</v>
      </c>
      <c r="G135" s="100">
        <f t="shared" si="21"/>
        <v>0</v>
      </c>
      <c r="H135" s="101">
        <f t="shared" si="22"/>
        <v>0</v>
      </c>
    </row>
    <row r="136" spans="1:8" ht="15" customHeight="1">
      <c r="A136" s="96" t="str">
        <f>PROJETS!A78</f>
        <v/>
      </c>
      <c r="B136" s="96">
        <f>PROJETS!C78</f>
        <v>0</v>
      </c>
      <c r="C136" s="100">
        <f>IF($A136="",0,SUMIF(tbl_Budget[ID Projet],$A136,tbl_Budget[Montant prevu (FCFA)]))</f>
        <v>0</v>
      </c>
      <c r="D136" s="100">
        <f>IF($A136="",0,SUMIF(tbl_Budget[ID Projet],$A136,tbl_Budget[Budget de reference (FCFA)]))</f>
        <v>0</v>
      </c>
      <c r="E136" s="100">
        <f>IF($A136="",0,SUMIF(tbl_Budget[ID Projet],$A136,tbl_Budget[Montant engage (FCFA)]))</f>
        <v>0</v>
      </c>
      <c r="F136" s="100">
        <f>IF($A136="",0,SUMIF(tbl_Budget[ID Projet],$A136,tbl_Budget[Depenses realisees (FCFA)]))</f>
        <v>0</v>
      </c>
      <c r="G136" s="100">
        <f t="shared" si="21"/>
        <v>0</v>
      </c>
      <c r="H136" s="101">
        <f t="shared" si="22"/>
        <v>0</v>
      </c>
    </row>
    <row r="137" spans="1:8" ht="15" customHeight="1">
      <c r="A137" s="96" t="str">
        <f>PROJETS!A79</f>
        <v/>
      </c>
      <c r="B137" s="96">
        <f>PROJETS!C79</f>
        <v>0</v>
      </c>
      <c r="C137" s="100">
        <f>IF($A137="",0,SUMIF(tbl_Budget[ID Projet],$A137,tbl_Budget[Montant prevu (FCFA)]))</f>
        <v>0</v>
      </c>
      <c r="D137" s="100">
        <f>IF($A137="",0,SUMIF(tbl_Budget[ID Projet],$A137,tbl_Budget[Budget de reference (FCFA)]))</f>
        <v>0</v>
      </c>
      <c r="E137" s="100">
        <f>IF($A137="",0,SUMIF(tbl_Budget[ID Projet],$A137,tbl_Budget[Montant engage (FCFA)]))</f>
        <v>0</v>
      </c>
      <c r="F137" s="100">
        <f>IF($A137="",0,SUMIF(tbl_Budget[ID Projet],$A137,tbl_Budget[Depenses realisees (FCFA)]))</f>
        <v>0</v>
      </c>
      <c r="G137" s="100">
        <f t="shared" si="21"/>
        <v>0</v>
      </c>
      <c r="H137" s="101">
        <f t="shared" si="22"/>
        <v>0</v>
      </c>
    </row>
    <row r="138" spans="1:8" ht="15" customHeight="1">
      <c r="A138" s="96" t="str">
        <f>PROJETS!A80</f>
        <v/>
      </c>
      <c r="B138" s="96">
        <f>PROJETS!C80</f>
        <v>0</v>
      </c>
      <c r="C138" s="100">
        <f>IF($A138="",0,SUMIF(tbl_Budget[ID Projet],$A138,tbl_Budget[Montant prevu (FCFA)]))</f>
        <v>0</v>
      </c>
      <c r="D138" s="100">
        <f>IF($A138="",0,SUMIF(tbl_Budget[ID Projet],$A138,tbl_Budget[Budget de reference (FCFA)]))</f>
        <v>0</v>
      </c>
      <c r="E138" s="100">
        <f>IF($A138="",0,SUMIF(tbl_Budget[ID Projet],$A138,tbl_Budget[Montant engage (FCFA)]))</f>
        <v>0</v>
      </c>
      <c r="F138" s="100">
        <f>IF($A138="",0,SUMIF(tbl_Budget[ID Projet],$A138,tbl_Budget[Depenses realisees (FCFA)]))</f>
        <v>0</v>
      </c>
      <c r="G138" s="100">
        <f t="shared" si="21"/>
        <v>0</v>
      </c>
      <c r="H138" s="101">
        <f t="shared" si="22"/>
        <v>0</v>
      </c>
    </row>
    <row r="139" spans="1:8" ht="15" customHeight="1">
      <c r="A139" s="96" t="str">
        <f>PROJETS!A81</f>
        <v/>
      </c>
      <c r="B139" s="96">
        <f>PROJETS!C81</f>
        <v>0</v>
      </c>
      <c r="C139" s="100">
        <f>IF($A139="",0,SUMIF(tbl_Budget[ID Projet],$A139,tbl_Budget[Montant prevu (FCFA)]))</f>
        <v>0</v>
      </c>
      <c r="D139" s="100">
        <f>IF($A139="",0,SUMIF(tbl_Budget[ID Projet],$A139,tbl_Budget[Budget de reference (FCFA)]))</f>
        <v>0</v>
      </c>
      <c r="E139" s="100">
        <f>IF($A139="",0,SUMIF(tbl_Budget[ID Projet],$A139,tbl_Budget[Montant engage (FCFA)]))</f>
        <v>0</v>
      </c>
      <c r="F139" s="100">
        <f>IF($A139="",0,SUMIF(tbl_Budget[ID Projet],$A139,tbl_Budget[Depenses realisees (FCFA)]))</f>
        <v>0</v>
      </c>
      <c r="G139" s="100">
        <f t="shared" si="21"/>
        <v>0</v>
      </c>
      <c r="H139" s="101">
        <f t="shared" si="22"/>
        <v>0</v>
      </c>
    </row>
    <row r="140" spans="1:8" ht="15" customHeight="1">
      <c r="A140" s="96" t="str">
        <f>PROJETS!A82</f>
        <v/>
      </c>
      <c r="B140" s="96">
        <f>PROJETS!C82</f>
        <v>0</v>
      </c>
      <c r="C140" s="100">
        <f>IF($A140="",0,SUMIF(tbl_Budget[ID Projet],$A140,tbl_Budget[Montant prevu (FCFA)]))</f>
        <v>0</v>
      </c>
      <c r="D140" s="100">
        <f>IF($A140="",0,SUMIF(tbl_Budget[ID Projet],$A140,tbl_Budget[Budget de reference (FCFA)]))</f>
        <v>0</v>
      </c>
      <c r="E140" s="100">
        <f>IF($A140="",0,SUMIF(tbl_Budget[ID Projet],$A140,tbl_Budget[Montant engage (FCFA)]))</f>
        <v>0</v>
      </c>
      <c r="F140" s="100">
        <f>IF($A140="",0,SUMIF(tbl_Budget[ID Projet],$A140,tbl_Budget[Depenses realisees (FCFA)]))</f>
        <v>0</v>
      </c>
      <c r="G140" s="100">
        <f t="shared" si="21"/>
        <v>0</v>
      </c>
      <c r="H140" s="101">
        <f t="shared" si="22"/>
        <v>0</v>
      </c>
    </row>
    <row r="141" spans="1:8" ht="15" customHeight="1">
      <c r="A141" s="96" t="str">
        <f>PROJETS!A83</f>
        <v/>
      </c>
      <c r="B141" s="96">
        <f>PROJETS!C83</f>
        <v>0</v>
      </c>
      <c r="C141" s="100">
        <f>IF($A141="",0,SUMIF(tbl_Budget[ID Projet],$A141,tbl_Budget[Montant prevu (FCFA)]))</f>
        <v>0</v>
      </c>
      <c r="D141" s="100">
        <f>IF($A141="",0,SUMIF(tbl_Budget[ID Projet],$A141,tbl_Budget[Budget de reference (FCFA)]))</f>
        <v>0</v>
      </c>
      <c r="E141" s="100">
        <f>IF($A141="",0,SUMIF(tbl_Budget[ID Projet],$A141,tbl_Budget[Montant engage (FCFA)]))</f>
        <v>0</v>
      </c>
      <c r="F141" s="100">
        <f>IF($A141="",0,SUMIF(tbl_Budget[ID Projet],$A141,tbl_Budget[Depenses realisees (FCFA)]))</f>
        <v>0</v>
      </c>
      <c r="G141" s="100">
        <f t="shared" si="21"/>
        <v>0</v>
      </c>
      <c r="H141" s="101">
        <f t="shared" si="22"/>
        <v>0</v>
      </c>
    </row>
    <row r="142" spans="1:8" ht="15" customHeight="1">
      <c r="A142" s="96" t="str">
        <f>PROJETS!A84</f>
        <v/>
      </c>
      <c r="B142" s="96">
        <f>PROJETS!C84</f>
        <v>0</v>
      </c>
      <c r="C142" s="100">
        <f>IF($A142="",0,SUMIF(tbl_Budget[ID Projet],$A142,tbl_Budget[Montant prevu (FCFA)]))</f>
        <v>0</v>
      </c>
      <c r="D142" s="100">
        <f>IF($A142="",0,SUMIF(tbl_Budget[ID Projet],$A142,tbl_Budget[Budget de reference (FCFA)]))</f>
        <v>0</v>
      </c>
      <c r="E142" s="100">
        <f>IF($A142="",0,SUMIF(tbl_Budget[ID Projet],$A142,tbl_Budget[Montant engage (FCFA)]))</f>
        <v>0</v>
      </c>
      <c r="F142" s="100">
        <f>IF($A142="",0,SUMIF(tbl_Budget[ID Projet],$A142,tbl_Budget[Depenses realisees (FCFA)]))</f>
        <v>0</v>
      </c>
      <c r="G142" s="100">
        <f t="shared" si="21"/>
        <v>0</v>
      </c>
      <c r="H142" s="101">
        <f t="shared" si="22"/>
        <v>0</v>
      </c>
    </row>
    <row r="143" spans="1:8" ht="15" customHeight="1">
      <c r="A143" s="96" t="str">
        <f>PROJETS!A85</f>
        <v/>
      </c>
      <c r="B143" s="96">
        <f>PROJETS!C85</f>
        <v>0</v>
      </c>
      <c r="C143" s="100">
        <f>IF($A143="",0,SUMIF(tbl_Budget[ID Projet],$A143,tbl_Budget[Montant prevu (FCFA)]))</f>
        <v>0</v>
      </c>
      <c r="D143" s="100">
        <f>IF($A143="",0,SUMIF(tbl_Budget[ID Projet],$A143,tbl_Budget[Budget de reference (FCFA)]))</f>
        <v>0</v>
      </c>
      <c r="E143" s="100">
        <f>IF($A143="",0,SUMIF(tbl_Budget[ID Projet],$A143,tbl_Budget[Montant engage (FCFA)]))</f>
        <v>0</v>
      </c>
      <c r="F143" s="100">
        <f>IF($A143="",0,SUMIF(tbl_Budget[ID Projet],$A143,tbl_Budget[Depenses realisees (FCFA)]))</f>
        <v>0</v>
      </c>
      <c r="G143" s="100">
        <f t="shared" si="21"/>
        <v>0</v>
      </c>
      <c r="H143" s="101">
        <f t="shared" si="22"/>
        <v>0</v>
      </c>
    </row>
    <row r="144" spans="1:8" ht="15" customHeight="1">
      <c r="A144" s="96" t="str">
        <f>PROJETS!A86</f>
        <v/>
      </c>
      <c r="B144" s="96">
        <f>PROJETS!C86</f>
        <v>0</v>
      </c>
      <c r="C144" s="100">
        <f>IF($A144="",0,SUMIF(tbl_Budget[ID Projet],$A144,tbl_Budget[Montant prevu (FCFA)]))</f>
        <v>0</v>
      </c>
      <c r="D144" s="100">
        <f>IF($A144="",0,SUMIF(tbl_Budget[ID Projet],$A144,tbl_Budget[Budget de reference (FCFA)]))</f>
        <v>0</v>
      </c>
      <c r="E144" s="100">
        <f>IF($A144="",0,SUMIF(tbl_Budget[ID Projet],$A144,tbl_Budget[Montant engage (FCFA)]))</f>
        <v>0</v>
      </c>
      <c r="F144" s="100">
        <f>IF($A144="",0,SUMIF(tbl_Budget[ID Projet],$A144,tbl_Budget[Depenses realisees (FCFA)]))</f>
        <v>0</v>
      </c>
      <c r="G144" s="100">
        <f t="shared" si="21"/>
        <v>0</v>
      </c>
      <c r="H144" s="101">
        <f t="shared" si="22"/>
        <v>0</v>
      </c>
    </row>
    <row r="145" spans="1:8" ht="15" customHeight="1">
      <c r="A145" s="96" t="str">
        <f>PROJETS!A87</f>
        <v/>
      </c>
      <c r="B145" s="96">
        <f>PROJETS!C87</f>
        <v>0</v>
      </c>
      <c r="C145" s="100">
        <f>IF($A145="",0,SUMIF(tbl_Budget[ID Projet],$A145,tbl_Budget[Montant prevu (FCFA)]))</f>
        <v>0</v>
      </c>
      <c r="D145" s="100">
        <f>IF($A145="",0,SUMIF(tbl_Budget[ID Projet],$A145,tbl_Budget[Budget de reference (FCFA)]))</f>
        <v>0</v>
      </c>
      <c r="E145" s="100">
        <f>IF($A145="",0,SUMIF(tbl_Budget[ID Projet],$A145,tbl_Budget[Montant engage (FCFA)]))</f>
        <v>0</v>
      </c>
      <c r="F145" s="100">
        <f>IF($A145="",0,SUMIF(tbl_Budget[ID Projet],$A145,tbl_Budget[Depenses realisees (FCFA)]))</f>
        <v>0</v>
      </c>
      <c r="G145" s="100">
        <f t="shared" si="21"/>
        <v>0</v>
      </c>
      <c r="H145" s="101">
        <f t="shared" si="22"/>
        <v>0</v>
      </c>
    </row>
    <row r="146" spans="1:8" ht="15" customHeight="1">
      <c r="A146" s="96" t="str">
        <f>PROJETS!A88</f>
        <v/>
      </c>
      <c r="B146" s="96">
        <f>PROJETS!C88</f>
        <v>0</v>
      </c>
      <c r="C146" s="100">
        <f>IF($A146="",0,SUMIF(tbl_Budget[ID Projet],$A146,tbl_Budget[Montant prevu (FCFA)]))</f>
        <v>0</v>
      </c>
      <c r="D146" s="100">
        <f>IF($A146="",0,SUMIF(tbl_Budget[ID Projet],$A146,tbl_Budget[Budget de reference (FCFA)]))</f>
        <v>0</v>
      </c>
      <c r="E146" s="100">
        <f>IF($A146="",0,SUMIF(tbl_Budget[ID Projet],$A146,tbl_Budget[Montant engage (FCFA)]))</f>
        <v>0</v>
      </c>
      <c r="F146" s="100">
        <f>IF($A146="",0,SUMIF(tbl_Budget[ID Projet],$A146,tbl_Budget[Depenses realisees (FCFA)]))</f>
        <v>0</v>
      </c>
      <c r="G146" s="100">
        <f t="shared" si="21"/>
        <v>0</v>
      </c>
      <c r="H146" s="101">
        <f t="shared" si="22"/>
        <v>0</v>
      </c>
    </row>
    <row r="147" spans="1:8" ht="15" customHeight="1">
      <c r="A147" s="96" t="str">
        <f>PROJETS!A89</f>
        <v/>
      </c>
      <c r="B147" s="96">
        <f>PROJETS!C89</f>
        <v>0</v>
      </c>
      <c r="C147" s="100">
        <f>IF($A147="",0,SUMIF(tbl_Budget[ID Projet],$A147,tbl_Budget[Montant prevu (FCFA)]))</f>
        <v>0</v>
      </c>
      <c r="D147" s="100">
        <f>IF($A147="",0,SUMIF(tbl_Budget[ID Projet],$A147,tbl_Budget[Budget de reference (FCFA)]))</f>
        <v>0</v>
      </c>
      <c r="E147" s="100">
        <f>IF($A147="",0,SUMIF(tbl_Budget[ID Projet],$A147,tbl_Budget[Montant engage (FCFA)]))</f>
        <v>0</v>
      </c>
      <c r="F147" s="100">
        <f>IF($A147="",0,SUMIF(tbl_Budget[ID Projet],$A147,tbl_Budget[Depenses realisees (FCFA)]))</f>
        <v>0</v>
      </c>
      <c r="G147" s="100">
        <f t="shared" si="21"/>
        <v>0</v>
      </c>
      <c r="H147" s="101">
        <f t="shared" si="22"/>
        <v>0</v>
      </c>
    </row>
    <row r="148" spans="1:8" ht="15" customHeight="1">
      <c r="A148" s="96" t="str">
        <f>PROJETS!A90</f>
        <v/>
      </c>
      <c r="B148" s="96">
        <f>PROJETS!C90</f>
        <v>0</v>
      </c>
      <c r="C148" s="100">
        <f>IF($A148="",0,SUMIF(tbl_Budget[ID Projet],$A148,tbl_Budget[Montant prevu (FCFA)]))</f>
        <v>0</v>
      </c>
      <c r="D148" s="100">
        <f>IF($A148="",0,SUMIF(tbl_Budget[ID Projet],$A148,tbl_Budget[Budget de reference (FCFA)]))</f>
        <v>0</v>
      </c>
      <c r="E148" s="100">
        <f>IF($A148="",0,SUMIF(tbl_Budget[ID Projet],$A148,tbl_Budget[Montant engage (FCFA)]))</f>
        <v>0</v>
      </c>
      <c r="F148" s="100">
        <f>IF($A148="",0,SUMIF(tbl_Budget[ID Projet],$A148,tbl_Budget[Depenses realisees (FCFA)]))</f>
        <v>0</v>
      </c>
      <c r="G148" s="100">
        <f t="shared" si="21"/>
        <v>0</v>
      </c>
      <c r="H148" s="101">
        <f t="shared" si="22"/>
        <v>0</v>
      </c>
    </row>
    <row r="149" spans="1:8" ht="15" customHeight="1">
      <c r="A149" s="96" t="str">
        <f>PROJETS!A91</f>
        <v/>
      </c>
      <c r="B149" s="96">
        <f>PROJETS!C91</f>
        <v>0</v>
      </c>
      <c r="C149" s="100">
        <f>IF($A149="",0,SUMIF(tbl_Budget[ID Projet],$A149,tbl_Budget[Montant prevu (FCFA)]))</f>
        <v>0</v>
      </c>
      <c r="D149" s="100">
        <f>IF($A149="",0,SUMIF(tbl_Budget[ID Projet],$A149,tbl_Budget[Budget de reference (FCFA)]))</f>
        <v>0</v>
      </c>
      <c r="E149" s="100">
        <f>IF($A149="",0,SUMIF(tbl_Budget[ID Projet],$A149,tbl_Budget[Montant engage (FCFA)]))</f>
        <v>0</v>
      </c>
      <c r="F149" s="100">
        <f>IF($A149="",0,SUMIF(tbl_Budget[ID Projet],$A149,tbl_Budget[Depenses realisees (FCFA)]))</f>
        <v>0</v>
      </c>
      <c r="G149" s="100">
        <f t="shared" si="21"/>
        <v>0</v>
      </c>
      <c r="H149" s="101">
        <f t="shared" si="22"/>
        <v>0</v>
      </c>
    </row>
    <row r="150" spans="1:8" ht="15" customHeight="1">
      <c r="A150" s="96" t="str">
        <f>PROJETS!A92</f>
        <v/>
      </c>
      <c r="B150" s="96">
        <f>PROJETS!C92</f>
        <v>0</v>
      </c>
      <c r="C150" s="100">
        <f>IF($A150="",0,SUMIF(tbl_Budget[ID Projet],$A150,tbl_Budget[Montant prevu (FCFA)]))</f>
        <v>0</v>
      </c>
      <c r="D150" s="100">
        <f>IF($A150="",0,SUMIF(tbl_Budget[ID Projet],$A150,tbl_Budget[Budget de reference (FCFA)]))</f>
        <v>0</v>
      </c>
      <c r="E150" s="100">
        <f>IF($A150="",0,SUMIF(tbl_Budget[ID Projet],$A150,tbl_Budget[Montant engage (FCFA)]))</f>
        <v>0</v>
      </c>
      <c r="F150" s="100">
        <f>IF($A150="",0,SUMIF(tbl_Budget[ID Projet],$A150,tbl_Budget[Depenses realisees (FCFA)]))</f>
        <v>0</v>
      </c>
      <c r="G150" s="100">
        <f t="shared" si="21"/>
        <v>0</v>
      </c>
      <c r="H150" s="101">
        <f t="shared" si="22"/>
        <v>0</v>
      </c>
    </row>
    <row r="151" spans="1:8" ht="15" customHeight="1">
      <c r="A151" s="96" t="str">
        <f>PROJETS!A93</f>
        <v/>
      </c>
      <c r="B151" s="96">
        <f>PROJETS!C93</f>
        <v>0</v>
      </c>
      <c r="C151" s="100">
        <f>IF($A151="",0,SUMIF(tbl_Budget[ID Projet],$A151,tbl_Budget[Montant prevu (FCFA)]))</f>
        <v>0</v>
      </c>
      <c r="D151" s="100">
        <f>IF($A151="",0,SUMIF(tbl_Budget[ID Projet],$A151,tbl_Budget[Budget de reference (FCFA)]))</f>
        <v>0</v>
      </c>
      <c r="E151" s="100">
        <f>IF($A151="",0,SUMIF(tbl_Budget[ID Projet],$A151,tbl_Budget[Montant engage (FCFA)]))</f>
        <v>0</v>
      </c>
      <c r="F151" s="100">
        <f>IF($A151="",0,SUMIF(tbl_Budget[ID Projet],$A151,tbl_Budget[Depenses realisees (FCFA)]))</f>
        <v>0</v>
      </c>
      <c r="G151" s="100">
        <f t="shared" si="21"/>
        <v>0</v>
      </c>
      <c r="H151" s="101">
        <f t="shared" si="22"/>
        <v>0</v>
      </c>
    </row>
    <row r="152" spans="1:8" ht="15" customHeight="1">
      <c r="A152" s="96" t="str">
        <f>PROJETS!A94</f>
        <v/>
      </c>
      <c r="B152" s="96">
        <f>PROJETS!C94</f>
        <v>0</v>
      </c>
      <c r="C152" s="100">
        <f>IF($A152="",0,SUMIF(tbl_Budget[ID Projet],$A152,tbl_Budget[Montant prevu (FCFA)]))</f>
        <v>0</v>
      </c>
      <c r="D152" s="100">
        <f>IF($A152="",0,SUMIF(tbl_Budget[ID Projet],$A152,tbl_Budget[Budget de reference (FCFA)]))</f>
        <v>0</v>
      </c>
      <c r="E152" s="100">
        <f>IF($A152="",0,SUMIF(tbl_Budget[ID Projet],$A152,tbl_Budget[Montant engage (FCFA)]))</f>
        <v>0</v>
      </c>
      <c r="F152" s="100">
        <f>IF($A152="",0,SUMIF(tbl_Budget[ID Projet],$A152,tbl_Budget[Depenses realisees (FCFA)]))</f>
        <v>0</v>
      </c>
      <c r="G152" s="100">
        <f t="shared" si="21"/>
        <v>0</v>
      </c>
      <c r="H152" s="101">
        <f t="shared" si="22"/>
        <v>0</v>
      </c>
    </row>
    <row r="153" spans="1:8" ht="15" customHeight="1">
      <c r="A153" s="96" t="str">
        <f>PROJETS!A95</f>
        <v/>
      </c>
      <c r="B153" s="96">
        <f>PROJETS!C95</f>
        <v>0</v>
      </c>
      <c r="C153" s="100">
        <f>IF($A153="",0,SUMIF(tbl_Budget[ID Projet],$A153,tbl_Budget[Montant prevu (FCFA)]))</f>
        <v>0</v>
      </c>
      <c r="D153" s="100">
        <f>IF($A153="",0,SUMIF(tbl_Budget[ID Projet],$A153,tbl_Budget[Budget de reference (FCFA)]))</f>
        <v>0</v>
      </c>
      <c r="E153" s="100">
        <f>IF($A153="",0,SUMIF(tbl_Budget[ID Projet],$A153,tbl_Budget[Montant engage (FCFA)]))</f>
        <v>0</v>
      </c>
      <c r="F153" s="100">
        <f>IF($A153="",0,SUMIF(tbl_Budget[ID Projet],$A153,tbl_Budget[Depenses realisees (FCFA)]))</f>
        <v>0</v>
      </c>
      <c r="G153" s="100">
        <f t="shared" si="21"/>
        <v>0</v>
      </c>
      <c r="H153" s="101">
        <f t="shared" si="22"/>
        <v>0</v>
      </c>
    </row>
    <row r="155" spans="1:8" ht="19.5" customHeight="1">
      <c r="A155" s="299" t="s">
        <v>2144</v>
      </c>
      <c r="B155" s="262"/>
      <c r="C155" s="262"/>
      <c r="D155" s="262"/>
      <c r="E155" s="262"/>
    </row>
    <row r="156" spans="1:8" ht="25.5" customHeight="1">
      <c r="A156" s="9" t="s">
        <v>1400</v>
      </c>
      <c r="B156" s="9" t="s">
        <v>1806</v>
      </c>
      <c r="C156" s="9" t="s">
        <v>1675</v>
      </c>
      <c r="D156" s="9" t="s">
        <v>1677</v>
      </c>
      <c r="E156" s="9" t="s">
        <v>2078</v>
      </c>
    </row>
    <row r="157" spans="1:8" ht="15" customHeight="1">
      <c r="A157" s="96" t="str">
        <f>IFERROR(INDEX(Liste_Domaines,1),"")</f>
        <v>Education</v>
      </c>
      <c r="B157" s="100">
        <f>IF($A157="",0,SUMIF(tbl_Budget[Domaine],$A157,tbl_Budget[Montant prevu (FCFA)]))</f>
        <v>0</v>
      </c>
      <c r="C157" s="100">
        <f>IF($A157="",0,SUMIF(tbl_Budget[Domaine],$A157,tbl_Budget[Depenses realisees (FCFA)]))</f>
        <v>0</v>
      </c>
      <c r="D157" s="100">
        <f t="shared" ref="D157:D196" si="23">$B157-$C157</f>
        <v>0</v>
      </c>
      <c r="E157" s="101">
        <f t="shared" ref="E157:E196" si="24">IF($B157=0,0,$C157/$B157)</f>
        <v>0</v>
      </c>
    </row>
    <row r="158" spans="1:8" ht="21.75" customHeight="1">
      <c r="A158" s="96" t="str">
        <f>IFERROR(INDEX(Liste_Domaines,2),"")</f>
        <v>Formation professionnelle</v>
      </c>
      <c r="B158" s="100">
        <f>IF($A158="",0,SUMIF(tbl_Budget[Domaine],$A158,tbl_Budget[Montant prevu (FCFA)]))</f>
        <v>0</v>
      </c>
      <c r="C158" s="100">
        <f>IF($A158="",0,SUMIF(tbl_Budget[Domaine],$A158,tbl_Budget[Depenses realisees (FCFA)]))</f>
        <v>0</v>
      </c>
      <c r="D158" s="100">
        <f t="shared" si="23"/>
        <v>0</v>
      </c>
      <c r="E158" s="101">
        <f t="shared" si="24"/>
        <v>0</v>
      </c>
    </row>
    <row r="159" spans="1:8" ht="15" customHeight="1">
      <c r="A159" s="96" t="str">
        <f>IFERROR(INDEX(Liste_Domaines,3),"")</f>
        <v>Entrepreneuriat</v>
      </c>
      <c r="B159" s="100">
        <f>IF($A159="",0,SUMIF(tbl_Budget[Domaine],$A159,tbl_Budget[Montant prevu (FCFA)]))</f>
        <v>0</v>
      </c>
      <c r="C159" s="100">
        <f>IF($A159="",0,SUMIF(tbl_Budget[Domaine],$A159,tbl_Budget[Depenses realisees (FCFA)]))</f>
        <v>0</v>
      </c>
      <c r="D159" s="100">
        <f t="shared" si="23"/>
        <v>0</v>
      </c>
      <c r="E159" s="101">
        <f t="shared" si="24"/>
        <v>0</v>
      </c>
    </row>
    <row r="160" spans="1:8" ht="15" customHeight="1">
      <c r="A160" s="96" t="str">
        <f>IFERROR(INDEX(Liste_Domaines,4),"")</f>
        <v>Culture</v>
      </c>
      <c r="B160" s="100">
        <f>IF($A160="",0,SUMIF(tbl_Budget[Domaine],$A160,tbl_Budget[Montant prevu (FCFA)]))</f>
        <v>0</v>
      </c>
      <c r="C160" s="100">
        <f>IF($A160="",0,SUMIF(tbl_Budget[Domaine],$A160,tbl_Budget[Depenses realisees (FCFA)]))</f>
        <v>0</v>
      </c>
      <c r="D160" s="100">
        <f t="shared" si="23"/>
        <v>0</v>
      </c>
      <c r="E160" s="101">
        <f t="shared" si="24"/>
        <v>0</v>
      </c>
    </row>
    <row r="161" spans="1:5" ht="15" customHeight="1">
      <c r="A161" s="96" t="str">
        <f>IFERROR(INDEX(Liste_Domaines,5),"")</f>
        <v>Environnement</v>
      </c>
      <c r="B161" s="100">
        <f>IF($A161="",0,SUMIF(tbl_Budget[Domaine],$A161,tbl_Budget[Montant prevu (FCFA)]))</f>
        <v>0</v>
      </c>
      <c r="C161" s="100">
        <f>IF($A161="",0,SUMIF(tbl_Budget[Domaine],$A161,tbl_Budget[Depenses realisees (FCFA)]))</f>
        <v>0</v>
      </c>
      <c r="D161" s="100">
        <f t="shared" si="23"/>
        <v>0</v>
      </c>
      <c r="E161" s="101">
        <f t="shared" si="24"/>
        <v>0</v>
      </c>
    </row>
    <row r="162" spans="1:5" ht="15" customHeight="1">
      <c r="A162" s="96" t="str">
        <f>IFERROR(INDEX(Liste_Domaines,6),"")</f>
        <v>Sante</v>
      </c>
      <c r="B162" s="100">
        <f>IF($A162="",0,SUMIF(tbl_Budget[Domaine],$A162,tbl_Budget[Montant prevu (FCFA)]))</f>
        <v>0</v>
      </c>
      <c r="C162" s="100">
        <f>IF($A162="",0,SUMIF(tbl_Budget[Domaine],$A162,tbl_Budget[Depenses realisees (FCFA)]))</f>
        <v>0</v>
      </c>
      <c r="D162" s="100">
        <f t="shared" si="23"/>
        <v>0</v>
      </c>
      <c r="E162" s="101">
        <f t="shared" si="24"/>
        <v>0</v>
      </c>
    </row>
    <row r="163" spans="1:5" ht="15" customHeight="1">
      <c r="A163" s="96" t="str">
        <f>IFERROR(INDEX(Liste_Domaines,7),"")</f>
        <v>Genre</v>
      </c>
      <c r="B163" s="100">
        <f>IF($A163="",0,SUMIF(tbl_Budget[Domaine],$A163,tbl_Budget[Montant prevu (FCFA)]))</f>
        <v>0</v>
      </c>
      <c r="C163" s="100">
        <f>IF($A163="",0,SUMIF(tbl_Budget[Domaine],$A163,tbl_Budget[Depenses realisees (FCFA)]))</f>
        <v>0</v>
      </c>
      <c r="D163" s="100">
        <f t="shared" si="23"/>
        <v>0</v>
      </c>
      <c r="E163" s="101">
        <f t="shared" si="24"/>
        <v>0</v>
      </c>
    </row>
    <row r="164" spans="1:5" ht="15" customHeight="1">
      <c r="A164" s="96" t="str">
        <f>IFERROR(INDEX(Liste_Domaines,8),"")</f>
        <v>Tourisme</v>
      </c>
      <c r="B164" s="100">
        <f>IF($A164="",0,SUMIF(tbl_Budget[Domaine],$A164,tbl_Budget[Montant prevu (FCFA)]))</f>
        <v>0</v>
      </c>
      <c r="C164" s="100">
        <f>IF($A164="",0,SUMIF(tbl_Budget[Domaine],$A164,tbl_Budget[Depenses realisees (FCFA)]))</f>
        <v>0</v>
      </c>
      <c r="D164" s="100">
        <f t="shared" si="23"/>
        <v>0</v>
      </c>
      <c r="E164" s="101">
        <f t="shared" si="24"/>
        <v>0</v>
      </c>
    </row>
    <row r="165" spans="1:5" ht="15" customHeight="1">
      <c r="A165" s="96" t="str">
        <f>IFERROR(INDEX(Liste_Domaines,9),"")</f>
        <v>Sport</v>
      </c>
      <c r="B165" s="100">
        <f>IF($A165="",0,SUMIF(tbl_Budget[Domaine],$A165,tbl_Budget[Montant prevu (FCFA)]))</f>
        <v>0</v>
      </c>
      <c r="C165" s="100">
        <f>IF($A165="",0,SUMIF(tbl_Budget[Domaine],$A165,tbl_Budget[Depenses realisees (FCFA)]))</f>
        <v>0</v>
      </c>
      <c r="D165" s="100">
        <f t="shared" si="23"/>
        <v>0</v>
      </c>
      <c r="E165" s="101">
        <f t="shared" si="24"/>
        <v>0</v>
      </c>
    </row>
    <row r="166" spans="1:5" ht="32.25" customHeight="1">
      <c r="A166" s="96" t="str">
        <f>IFERROR(INDEX(Liste_Domaines,10),"")</f>
        <v>Agriculture et developpement rural</v>
      </c>
      <c r="B166" s="100">
        <f>IF($A166="",0,SUMIF(tbl_Budget[Domaine],$A166,tbl_Budget[Montant prevu (FCFA)]))</f>
        <v>0</v>
      </c>
      <c r="C166" s="100">
        <f>IF($A166="",0,SUMIF(tbl_Budget[Domaine],$A166,tbl_Budget[Depenses realisees (FCFA)]))</f>
        <v>0</v>
      </c>
      <c r="D166" s="100">
        <f t="shared" si="23"/>
        <v>0</v>
      </c>
      <c r="E166" s="101">
        <f t="shared" si="24"/>
        <v>0</v>
      </c>
    </row>
    <row r="167" spans="1:5" ht="15" customHeight="1">
      <c r="A167" s="96" t="str">
        <f>IFERROR(INDEX(Liste_Domaines,11),"")</f>
        <v>Elevage</v>
      </c>
      <c r="B167" s="100">
        <f>IF($A167="",0,SUMIF(tbl_Budget[Domaine],$A167,tbl_Budget[Montant prevu (FCFA)]))</f>
        <v>0</v>
      </c>
      <c r="C167" s="100">
        <f>IF($A167="",0,SUMIF(tbl_Budget[Domaine],$A167,tbl_Budget[Depenses realisees (FCFA)]))</f>
        <v>0</v>
      </c>
      <c r="D167" s="100">
        <f t="shared" si="23"/>
        <v>0</v>
      </c>
      <c r="E167" s="101">
        <f t="shared" si="24"/>
        <v>0</v>
      </c>
    </row>
    <row r="168" spans="1:5" ht="21.75" customHeight="1">
      <c r="A168" s="96" t="str">
        <f>IFERROR(INDEX(Liste_Domaines,12),"")</f>
        <v>Peche et aquaculture</v>
      </c>
      <c r="B168" s="100">
        <f>IF($A168="",0,SUMIF(tbl_Budget[Domaine],$A168,tbl_Budget[Montant prevu (FCFA)]))</f>
        <v>0</v>
      </c>
      <c r="C168" s="100">
        <f>IF($A168="",0,SUMIF(tbl_Budget[Domaine],$A168,tbl_Budget[Depenses realisees (FCFA)]))</f>
        <v>0</v>
      </c>
      <c r="D168" s="100">
        <f t="shared" si="23"/>
        <v>0</v>
      </c>
      <c r="E168" s="101">
        <f t="shared" si="24"/>
        <v>0</v>
      </c>
    </row>
    <row r="169" spans="1:5" ht="32.25" customHeight="1">
      <c r="A169" s="96" t="str">
        <f>IFERROR(INDEX(Liste_Domaines,13),"")</f>
        <v>Securite alimentaire et nutrition</v>
      </c>
      <c r="B169" s="100">
        <f>IF($A169="",0,SUMIF(tbl_Budget[Domaine],$A169,tbl_Budget[Montant prevu (FCFA)]))</f>
        <v>0</v>
      </c>
      <c r="C169" s="100">
        <f>IF($A169="",0,SUMIF(tbl_Budget[Domaine],$A169,tbl_Budget[Depenses realisees (FCFA)]))</f>
        <v>0</v>
      </c>
      <c r="D169" s="100">
        <f t="shared" si="23"/>
        <v>0</v>
      </c>
      <c r="E169" s="101">
        <f t="shared" si="24"/>
        <v>0</v>
      </c>
    </row>
    <row r="170" spans="1:5" ht="21.75" customHeight="1">
      <c r="A170" s="96" t="str">
        <f>IFERROR(INDEX(Liste_Domaines,14),"")</f>
        <v>Eau, hygiene et assainissement</v>
      </c>
      <c r="B170" s="100">
        <f>IF($A170="",0,SUMIF(tbl_Budget[Domaine],$A170,tbl_Budget[Montant prevu (FCFA)]))</f>
        <v>0</v>
      </c>
      <c r="C170" s="100">
        <f>IF($A170="",0,SUMIF(tbl_Budget[Domaine],$A170,tbl_Budget[Depenses realisees (FCFA)]))</f>
        <v>0</v>
      </c>
      <c r="D170" s="100">
        <f t="shared" si="23"/>
        <v>0</v>
      </c>
      <c r="E170" s="101">
        <f t="shared" si="24"/>
        <v>0</v>
      </c>
    </row>
    <row r="171" spans="1:5" ht="15" customHeight="1">
      <c r="A171" s="96" t="str">
        <f>IFERROR(INDEX(Liste_Domaines,15),"")</f>
        <v>Protection sociale</v>
      </c>
      <c r="B171" s="100">
        <f>IF($A171="",0,SUMIF(tbl_Budget[Domaine],$A171,tbl_Budget[Montant prevu (FCFA)]))</f>
        <v>0</v>
      </c>
      <c r="C171" s="100">
        <f>IF($A171="",0,SUMIF(tbl_Budget[Domaine],$A171,tbl_Budget[Depenses realisees (FCFA)]))</f>
        <v>0</v>
      </c>
      <c r="D171" s="100">
        <f t="shared" si="23"/>
        <v>0</v>
      </c>
      <c r="E171" s="101">
        <f t="shared" si="24"/>
        <v>0</v>
      </c>
    </row>
    <row r="172" spans="1:5" ht="21.75" customHeight="1">
      <c r="A172" s="96" t="str">
        <f>IFERROR(INDEX(Liste_Domaines,16),"")</f>
        <v>Protection de l'enfance</v>
      </c>
      <c r="B172" s="100">
        <f>IF($A172="",0,SUMIF(tbl_Budget[Domaine],$A172,tbl_Budget[Montant prevu (FCFA)]))</f>
        <v>0</v>
      </c>
      <c r="C172" s="100">
        <f>IF($A172="",0,SUMIF(tbl_Budget[Domaine],$A172,tbl_Budget[Depenses realisees (FCFA)]))</f>
        <v>0</v>
      </c>
      <c r="D172" s="100">
        <f t="shared" si="23"/>
        <v>0</v>
      </c>
      <c r="E172" s="101">
        <f t="shared" si="24"/>
        <v>0</v>
      </c>
    </row>
    <row r="173" spans="1:5" ht="15" customHeight="1">
      <c r="A173" s="96" t="str">
        <f>IFERROR(INDEX(Liste_Domaines,17),"")</f>
        <v>Jeunesse</v>
      </c>
      <c r="B173" s="100">
        <f>IF($A173="",0,SUMIF(tbl_Budget[Domaine],$A173,tbl_Budget[Montant prevu (FCFA)]))</f>
        <v>0</v>
      </c>
      <c r="C173" s="100">
        <f>IF($A173="",0,SUMIF(tbl_Budget[Domaine],$A173,tbl_Budget[Depenses realisees (FCFA)]))</f>
        <v>0</v>
      </c>
      <c r="D173" s="100">
        <f t="shared" si="23"/>
        <v>0</v>
      </c>
      <c r="E173" s="101">
        <f t="shared" si="24"/>
        <v>0</v>
      </c>
    </row>
    <row r="174" spans="1:5" ht="21.75" customHeight="1">
      <c r="A174" s="96" t="str">
        <f>IFERROR(INDEX(Liste_Domaines,18),"")</f>
        <v>Autonomisation des femmes</v>
      </c>
      <c r="B174" s="100">
        <f>IF($A174="",0,SUMIF(tbl_Budget[Domaine],$A174,tbl_Budget[Montant prevu (FCFA)]))</f>
        <v>0</v>
      </c>
      <c r="C174" s="100">
        <f>IF($A174="",0,SUMIF(tbl_Budget[Domaine],$A174,tbl_Budget[Depenses realisees (FCFA)]))</f>
        <v>0</v>
      </c>
      <c r="D174" s="100">
        <f t="shared" si="23"/>
        <v>0</v>
      </c>
      <c r="E174" s="101">
        <f t="shared" si="24"/>
        <v>0</v>
      </c>
    </row>
    <row r="175" spans="1:5" ht="21.75" customHeight="1">
      <c r="A175" s="96" t="str">
        <f>IFERROR(INDEX(Liste_Domaines,19),"")</f>
        <v>Developpement communautaire</v>
      </c>
      <c r="B175" s="100">
        <f>IF($A175="",0,SUMIF(tbl_Budget[Domaine],$A175,tbl_Budget[Montant prevu (FCFA)]))</f>
        <v>0</v>
      </c>
      <c r="C175" s="100">
        <f>IF($A175="",0,SUMIF(tbl_Budget[Domaine],$A175,tbl_Budget[Depenses realisees (FCFA)]))</f>
        <v>0</v>
      </c>
      <c r="D175" s="100">
        <f t="shared" si="23"/>
        <v>0</v>
      </c>
      <c r="E175" s="101">
        <f t="shared" si="24"/>
        <v>0</v>
      </c>
    </row>
    <row r="176" spans="1:5" ht="15" customHeight="1">
      <c r="A176" s="96" t="str">
        <f>IFERROR(INDEX(Liste_Domaines,20),"")</f>
        <v>Inclusion sociale</v>
      </c>
      <c r="B176" s="100">
        <f>IF($A176="",0,SUMIF(tbl_Budget[Domaine],$A176,tbl_Budget[Montant prevu (FCFA)]))</f>
        <v>0</v>
      </c>
      <c r="C176" s="100">
        <f>IF($A176="",0,SUMIF(tbl_Budget[Domaine],$A176,tbl_Budget[Depenses realisees (FCFA)]))</f>
        <v>0</v>
      </c>
      <c r="D176" s="100">
        <f t="shared" si="23"/>
        <v>0</v>
      </c>
      <c r="E176" s="101">
        <f t="shared" si="24"/>
        <v>0</v>
      </c>
    </row>
    <row r="177" spans="1:5" ht="42.75" customHeight="1">
      <c r="A177" s="96" t="str">
        <f>IFERROR(INDEX(Liste_Domaines,21),"")</f>
        <v>Handicap et inclusion des personnes vulnerables</v>
      </c>
      <c r="B177" s="100">
        <f>IF($A177="",0,SUMIF(tbl_Budget[Domaine],$A177,tbl_Budget[Montant prevu (FCFA)]))</f>
        <v>0</v>
      </c>
      <c r="C177" s="100">
        <f>IF($A177="",0,SUMIF(tbl_Budget[Domaine],$A177,tbl_Budget[Depenses realisees (FCFA)]))</f>
        <v>0</v>
      </c>
      <c r="D177" s="100">
        <f t="shared" si="23"/>
        <v>0</v>
      </c>
      <c r="E177" s="101">
        <f t="shared" si="24"/>
        <v>0</v>
      </c>
    </row>
    <row r="178" spans="1:5" ht="32.25" customHeight="1">
      <c r="A178" s="96" t="str">
        <f>IFERROR(INDEX(Liste_Domaines,22),"")</f>
        <v>Emploi et insertion professionnelle</v>
      </c>
      <c r="B178" s="100">
        <f>IF($A178="",0,SUMIF(tbl_Budget[Domaine],$A178,tbl_Budget[Montant prevu (FCFA)]))</f>
        <v>0</v>
      </c>
      <c r="C178" s="100">
        <f>IF($A178="",0,SUMIF(tbl_Budget[Domaine],$A178,tbl_Budget[Depenses realisees (FCFA)]))</f>
        <v>0</v>
      </c>
      <c r="D178" s="100">
        <f t="shared" si="23"/>
        <v>0</v>
      </c>
      <c r="E178" s="101">
        <f t="shared" si="24"/>
        <v>0</v>
      </c>
    </row>
    <row r="179" spans="1:5" ht="21.75" customHeight="1">
      <c r="A179" s="96" t="str">
        <f>IFERROR(INDEX(Liste_Domaines,23),"")</f>
        <v>Developpement economique local</v>
      </c>
      <c r="B179" s="100">
        <f>IF($A179="",0,SUMIF(tbl_Budget[Domaine],$A179,tbl_Budget[Montant prevu (FCFA)]))</f>
        <v>0</v>
      </c>
      <c r="C179" s="100">
        <f>IF($A179="",0,SUMIF(tbl_Budget[Domaine],$A179,tbl_Budget[Depenses realisees (FCFA)]))</f>
        <v>0</v>
      </c>
      <c r="D179" s="100">
        <f t="shared" si="23"/>
        <v>0</v>
      </c>
      <c r="E179" s="101">
        <f t="shared" si="24"/>
        <v>0</v>
      </c>
    </row>
    <row r="180" spans="1:5" ht="15" customHeight="1">
      <c r="A180" s="96" t="str">
        <f>IFERROR(INDEX(Liste_Domaines,24),"")</f>
        <v>Artisanat</v>
      </c>
      <c r="B180" s="100">
        <f>IF($A180="",0,SUMIF(tbl_Budget[Domaine],$A180,tbl_Budget[Montant prevu (FCFA)]))</f>
        <v>0</v>
      </c>
      <c r="C180" s="100">
        <f>IF($A180="",0,SUMIF(tbl_Budget[Domaine],$A180,tbl_Budget[Depenses realisees (FCFA)]))</f>
        <v>0</v>
      </c>
      <c r="D180" s="100">
        <f t="shared" si="23"/>
        <v>0</v>
      </c>
      <c r="E180" s="101">
        <f t="shared" si="24"/>
        <v>0</v>
      </c>
    </row>
    <row r="181" spans="1:5" ht="32.25" customHeight="1">
      <c r="A181" s="96" t="str">
        <f>IFERROR(INDEX(Liste_Domaines,25),"")</f>
        <v>Numerique et transformation digitale</v>
      </c>
      <c r="B181" s="100">
        <f>IF($A181="",0,SUMIF(tbl_Budget[Domaine],$A181,tbl_Budget[Montant prevu (FCFA)]))</f>
        <v>0</v>
      </c>
      <c r="C181" s="100">
        <f>IF($A181="",0,SUMIF(tbl_Budget[Domaine],$A181,tbl_Budget[Depenses realisees (FCFA)]))</f>
        <v>0</v>
      </c>
      <c r="D181" s="100">
        <f t="shared" si="23"/>
        <v>0</v>
      </c>
      <c r="E181" s="101">
        <f t="shared" si="24"/>
        <v>0</v>
      </c>
    </row>
    <row r="182" spans="1:5" ht="21.75" customHeight="1">
      <c r="A182" s="96" t="str">
        <f>IFERROR(INDEX(Liste_Domaines,26),"")</f>
        <v>Technologies et innovation</v>
      </c>
      <c r="B182" s="100">
        <f>IF($A182="",0,SUMIF(tbl_Budget[Domaine],$A182,tbl_Budget[Montant prevu (FCFA)]))</f>
        <v>0</v>
      </c>
      <c r="C182" s="100">
        <f>IF($A182="",0,SUMIF(tbl_Budget[Domaine],$A182,tbl_Budget[Depenses realisees (FCFA)]))</f>
        <v>0</v>
      </c>
      <c r="D182" s="100">
        <f t="shared" si="23"/>
        <v>0</v>
      </c>
      <c r="E182" s="101">
        <f t="shared" si="24"/>
        <v>0</v>
      </c>
    </row>
    <row r="183" spans="1:5" ht="21.75" customHeight="1">
      <c r="A183" s="96" t="str">
        <f>IFERROR(INDEX(Liste_Domaines,27),"")</f>
        <v>Recherche et developpement</v>
      </c>
      <c r="B183" s="100">
        <f>IF($A183="",0,SUMIF(tbl_Budget[Domaine],$A183,tbl_Budget[Montant prevu (FCFA)]))</f>
        <v>0</v>
      </c>
      <c r="C183" s="100">
        <f>IF($A183="",0,SUMIF(tbl_Budget[Domaine],$A183,tbl_Budget[Depenses realisees (FCFA)]))</f>
        <v>0</v>
      </c>
      <c r="D183" s="100">
        <f t="shared" si="23"/>
        <v>0</v>
      </c>
      <c r="E183" s="101">
        <f t="shared" si="24"/>
        <v>0</v>
      </c>
    </row>
    <row r="184" spans="1:5" ht="21.75" customHeight="1">
      <c r="A184" s="96" t="str">
        <f>IFERROR(INDEX(Liste_Domaines,28),"")</f>
        <v>Gouvernance et citoyennete</v>
      </c>
      <c r="B184" s="100">
        <f>IF($A184="",0,SUMIF(tbl_Budget[Domaine],$A184,tbl_Budget[Montant prevu (FCFA)]))</f>
        <v>0</v>
      </c>
      <c r="C184" s="100">
        <f>IF($A184="",0,SUMIF(tbl_Budget[Domaine],$A184,tbl_Budget[Depenses realisees (FCFA)]))</f>
        <v>0</v>
      </c>
      <c r="D184" s="100">
        <f t="shared" si="23"/>
        <v>0</v>
      </c>
      <c r="E184" s="101">
        <f t="shared" si="24"/>
        <v>0</v>
      </c>
    </row>
    <row r="185" spans="1:5" ht="15" customHeight="1">
      <c r="A185" s="96" t="str">
        <f>IFERROR(INDEX(Liste_Domaines,29),"")</f>
        <v>Droits humains</v>
      </c>
      <c r="B185" s="100">
        <f>IF($A185="",0,SUMIF(tbl_Budget[Domaine],$A185,tbl_Budget[Montant prevu (FCFA)]))</f>
        <v>0</v>
      </c>
      <c r="C185" s="100">
        <f>IF($A185="",0,SUMIF(tbl_Budget[Domaine],$A185,tbl_Budget[Depenses realisees (FCFA)]))</f>
        <v>0</v>
      </c>
      <c r="D185" s="100">
        <f t="shared" si="23"/>
        <v>0</v>
      </c>
      <c r="E185" s="101">
        <f t="shared" si="24"/>
        <v>0</v>
      </c>
    </row>
    <row r="186" spans="1:5" ht="42.75" customHeight="1">
      <c r="A186" s="96" t="str">
        <f>IFERROR(INDEX(Liste_Domaines,30),"")</f>
        <v>Paix, cohesion sociale et prevention des conflits</v>
      </c>
      <c r="B186" s="100">
        <f>IF($A186="",0,SUMIF(tbl_Budget[Domaine],$A186,tbl_Budget[Montant prevu (FCFA)]))</f>
        <v>0</v>
      </c>
      <c r="C186" s="100">
        <f>IF($A186="",0,SUMIF(tbl_Budget[Domaine],$A186,tbl_Budget[Depenses realisees (FCFA)]))</f>
        <v>0</v>
      </c>
      <c r="D186" s="100">
        <f t="shared" si="23"/>
        <v>0</v>
      </c>
      <c r="E186" s="101">
        <f t="shared" si="24"/>
        <v>0</v>
      </c>
    </row>
    <row r="187" spans="1:5" ht="42.75" customHeight="1">
      <c r="A187" s="96" t="str">
        <f>IFERROR(INDEX(Liste_Domaines,31),"")</f>
        <v>Action humanitaire et gestion des urgences</v>
      </c>
      <c r="B187" s="100">
        <f>IF($A187="",0,SUMIF(tbl_Budget[Domaine],$A187,tbl_Budget[Montant prevu (FCFA)]))</f>
        <v>0</v>
      </c>
      <c r="C187" s="100">
        <f>IF($A187="",0,SUMIF(tbl_Budget[Domaine],$A187,tbl_Budget[Depenses realisees (FCFA)]))</f>
        <v>0</v>
      </c>
      <c r="D187" s="100">
        <f t="shared" si="23"/>
        <v>0</v>
      </c>
      <c r="E187" s="101">
        <f t="shared" si="24"/>
        <v>0</v>
      </c>
    </row>
    <row r="188" spans="1:5" ht="21.75" customHeight="1">
      <c r="A188" s="96" t="str">
        <f>IFERROR(INDEX(Liste_Domaines,32),"")</f>
        <v>Climat et resilience</v>
      </c>
      <c r="B188" s="100">
        <f>IF($A188="",0,SUMIF(tbl_Budget[Domaine],$A188,tbl_Budget[Montant prevu (FCFA)]))</f>
        <v>0</v>
      </c>
      <c r="C188" s="100">
        <f>IF($A188="",0,SUMIF(tbl_Budget[Domaine],$A188,tbl_Budget[Depenses realisees (FCFA)]))</f>
        <v>0</v>
      </c>
      <c r="D188" s="100">
        <f t="shared" si="23"/>
        <v>0</v>
      </c>
      <c r="E188" s="101">
        <f t="shared" si="24"/>
        <v>0</v>
      </c>
    </row>
    <row r="189" spans="1:5" ht="32.25" customHeight="1">
      <c r="A189" s="96" t="str">
        <f>IFERROR(INDEX(Liste_Domaines,33),"")</f>
        <v>Gestion durable des ressources naturelles</v>
      </c>
      <c r="B189" s="100">
        <f>IF($A189="",0,SUMIF(tbl_Budget[Domaine],$A189,tbl_Budget[Montant prevu (FCFA)]))</f>
        <v>0</v>
      </c>
      <c r="C189" s="100">
        <f>IF($A189="",0,SUMIF(tbl_Budget[Domaine],$A189,tbl_Budget[Depenses realisees (FCFA)]))</f>
        <v>0</v>
      </c>
      <c r="D189" s="100">
        <f t="shared" si="23"/>
        <v>0</v>
      </c>
      <c r="E189" s="101">
        <f t="shared" si="24"/>
        <v>0</v>
      </c>
    </row>
    <row r="190" spans="1:5" ht="21.75" customHeight="1">
      <c r="A190" s="96" t="str">
        <f>IFERROR(INDEX(Liste_Domaines,34),"")</f>
        <v>Biodiversite et conservation</v>
      </c>
      <c r="B190" s="100">
        <f>IF($A190="",0,SUMIF(tbl_Budget[Domaine],$A190,tbl_Budget[Montant prevu (FCFA)]))</f>
        <v>0</v>
      </c>
      <c r="C190" s="100">
        <f>IF($A190="",0,SUMIF(tbl_Budget[Domaine],$A190,tbl_Budget[Depenses realisees (FCFA)]))</f>
        <v>0</v>
      </c>
      <c r="D190" s="100">
        <f t="shared" si="23"/>
        <v>0</v>
      </c>
      <c r="E190" s="101">
        <f t="shared" si="24"/>
        <v>0</v>
      </c>
    </row>
    <row r="191" spans="1:5" ht="32.25" customHeight="1">
      <c r="A191" s="96" t="str">
        <f>IFERROR(INDEX(Liste_Domaines,35),"")</f>
        <v>Infrastructures et equipements communautaires</v>
      </c>
      <c r="B191" s="100">
        <f>IF($A191="",0,SUMIF(tbl_Budget[Domaine],$A191,tbl_Budget[Montant prevu (FCFA)]))</f>
        <v>0</v>
      </c>
      <c r="C191" s="100">
        <f>IF($A191="",0,SUMIF(tbl_Budget[Domaine],$A191,tbl_Budget[Depenses realisees (FCFA)]))</f>
        <v>0</v>
      </c>
      <c r="D191" s="100">
        <f t="shared" si="23"/>
        <v>0</v>
      </c>
      <c r="E191" s="101">
        <f t="shared" si="24"/>
        <v>0</v>
      </c>
    </row>
    <row r="192" spans="1:5" ht="21.75" customHeight="1">
      <c r="A192" s="96" t="str">
        <f>IFERROR(INDEX(Liste_Domaines,36),"")</f>
        <v>Developpement urbain et territorial</v>
      </c>
      <c r="B192" s="100">
        <f>IF($A192="",0,SUMIF(tbl_Budget[Domaine],$A192,tbl_Budget[Montant prevu (FCFA)]))</f>
        <v>0</v>
      </c>
      <c r="C192" s="100">
        <f>IF($A192="",0,SUMIF(tbl_Budget[Domaine],$A192,tbl_Budget[Depenses realisees (FCFA)]))</f>
        <v>0</v>
      </c>
      <c r="D192" s="100">
        <f t="shared" si="23"/>
        <v>0</v>
      </c>
      <c r="E192" s="101">
        <f t="shared" si="24"/>
        <v>0</v>
      </c>
    </row>
    <row r="193" spans="1:5" ht="21.75" customHeight="1">
      <c r="A193" s="96" t="str">
        <f>IFERROR(INDEX(Liste_Domaines,37),"")</f>
        <v>Communication et information</v>
      </c>
      <c r="B193" s="100">
        <f>IF($A193="",0,SUMIF(tbl_Budget[Domaine],$A193,tbl_Budget[Montant prevu (FCFA)]))</f>
        <v>0</v>
      </c>
      <c r="C193" s="100">
        <f>IF($A193="",0,SUMIF(tbl_Budget[Domaine],$A193,tbl_Budget[Depenses realisees (FCFA)]))</f>
        <v>0</v>
      </c>
      <c r="D193" s="100">
        <f t="shared" si="23"/>
        <v>0</v>
      </c>
      <c r="E193" s="101">
        <f t="shared" si="24"/>
        <v>0</v>
      </c>
    </row>
    <row r="194" spans="1:5" ht="32.25" customHeight="1">
      <c r="A194" s="96" t="str">
        <f>IFERROR(INDEX(Liste_Domaines,38),"")</f>
        <v>Mobilite et echanges culturels</v>
      </c>
      <c r="B194" s="100">
        <f>IF($A194="",0,SUMIF(tbl_Budget[Domaine],$A194,tbl_Budget[Montant prevu (FCFA)]))</f>
        <v>0</v>
      </c>
      <c r="C194" s="100">
        <f>IF($A194="",0,SUMIF(tbl_Budget[Domaine],$A194,tbl_Budget[Depenses realisees (FCFA)]))</f>
        <v>0</v>
      </c>
      <c r="D194" s="100">
        <f t="shared" si="23"/>
        <v>0</v>
      </c>
      <c r="E194" s="101">
        <f t="shared" si="24"/>
        <v>0</v>
      </c>
    </row>
    <row r="195" spans="1:5" ht="21.75" customHeight="1">
      <c r="A195" s="96" t="str">
        <f>IFERROR(INDEX(Liste_Domaines,39),"")</f>
        <v>Patrimoine et tourisme culturel</v>
      </c>
      <c r="B195" s="100">
        <f>IF($A195="",0,SUMIF(tbl_Budget[Domaine],$A195,tbl_Budget[Montant prevu (FCFA)]))</f>
        <v>0</v>
      </c>
      <c r="C195" s="100">
        <f>IF($A195="",0,SUMIF(tbl_Budget[Domaine],$A195,tbl_Budget[Depenses realisees (FCFA)]))</f>
        <v>0</v>
      </c>
      <c r="D195" s="100">
        <f t="shared" si="23"/>
        <v>0</v>
      </c>
      <c r="E195" s="101">
        <f t="shared" si="24"/>
        <v>0</v>
      </c>
    </row>
    <row r="196" spans="1:5" ht="15" customHeight="1">
      <c r="A196" s="96" t="str">
        <f>IFERROR(INDEX(Liste_Domaines,40),"")</f>
        <v>Autre domaine</v>
      </c>
      <c r="B196" s="100">
        <f>IF($A196="",0,SUMIF(tbl_Budget[Domaine],$A196,tbl_Budget[Montant prevu (FCFA)]))</f>
        <v>0</v>
      </c>
      <c r="C196" s="100">
        <f>IF($A196="",0,SUMIF(tbl_Budget[Domaine],$A196,tbl_Budget[Depenses realisees (FCFA)]))</f>
        <v>0</v>
      </c>
      <c r="D196" s="100">
        <f t="shared" si="23"/>
        <v>0</v>
      </c>
      <c r="E196" s="101">
        <f t="shared" si="24"/>
        <v>0</v>
      </c>
    </row>
    <row r="198" spans="1:5" ht="19.5" customHeight="1">
      <c r="A198" s="299" t="s">
        <v>2145</v>
      </c>
      <c r="B198" s="262"/>
      <c r="C198" s="262"/>
      <c r="D198" s="262"/>
      <c r="E198" s="262"/>
    </row>
    <row r="199" spans="1:5" ht="25.5" customHeight="1">
      <c r="A199" s="9" t="s">
        <v>2106</v>
      </c>
      <c r="B199" s="9" t="s">
        <v>1806</v>
      </c>
      <c r="C199" s="9" t="s">
        <v>1675</v>
      </c>
      <c r="D199" s="9" t="s">
        <v>1677</v>
      </c>
      <c r="E199" s="9" t="s">
        <v>2078</v>
      </c>
    </row>
    <row r="200" spans="1:5" ht="15" customHeight="1">
      <c r="A200" s="96" t="str">
        <f>IFERROR(INDEX(Liste_CategoriesDepenses,1),"")</f>
        <v>Personnel</v>
      </c>
      <c r="B200" s="100">
        <f>IF($A200="",0,SUMIF(tbl_Budget[Categorie budgetaire],$A200,tbl_Budget[Montant prevu (FCFA)]))</f>
        <v>0</v>
      </c>
      <c r="C200" s="100">
        <f>IF($A200="",0,SUMIF(tbl_Budget[Categorie budgetaire],$A200,tbl_Budget[Depenses realisees (FCFA)]))</f>
        <v>0</v>
      </c>
      <c r="D200" s="100">
        <f t="shared" ref="D200:D229" si="25">$B200-$C200</f>
        <v>0</v>
      </c>
      <c r="E200" s="101">
        <f t="shared" ref="E200:E229" si="26">IF($B200=0,0,$C200/$B200)</f>
        <v>0</v>
      </c>
    </row>
    <row r="201" spans="1:5" ht="15" customHeight="1">
      <c r="A201" s="96" t="str">
        <f>IFERROR(INDEX(Liste_CategoriesDepenses,2),"")</f>
        <v>Honoraires</v>
      </c>
      <c r="B201" s="100">
        <f>IF($A201="",0,SUMIF(tbl_Budget[Categorie budgetaire],$A201,tbl_Budget[Montant prevu (FCFA)]))</f>
        <v>0</v>
      </c>
      <c r="C201" s="100">
        <f>IF($A201="",0,SUMIF(tbl_Budget[Categorie budgetaire],$A201,tbl_Budget[Depenses realisees (FCFA)]))</f>
        <v>0</v>
      </c>
      <c r="D201" s="100">
        <f t="shared" si="25"/>
        <v>0</v>
      </c>
      <c r="E201" s="101">
        <f t="shared" si="26"/>
        <v>0</v>
      </c>
    </row>
    <row r="202" spans="1:5" ht="15" customHeight="1">
      <c r="A202" s="96" t="str">
        <f>IFERROR(INDEX(Liste_CategoriesDepenses,3),"")</f>
        <v>Consultants</v>
      </c>
      <c r="B202" s="100">
        <f>IF($A202="",0,SUMIF(tbl_Budget[Categorie budgetaire],$A202,tbl_Budget[Montant prevu (FCFA)]))</f>
        <v>0</v>
      </c>
      <c r="C202" s="100">
        <f>IF($A202="",0,SUMIF(tbl_Budget[Categorie budgetaire],$A202,tbl_Budget[Depenses realisees (FCFA)]))</f>
        <v>0</v>
      </c>
      <c r="D202" s="100">
        <f t="shared" si="25"/>
        <v>0</v>
      </c>
      <c r="E202" s="101">
        <f t="shared" si="26"/>
        <v>0</v>
      </c>
    </row>
    <row r="203" spans="1:5" ht="15" customHeight="1">
      <c r="A203" s="96" t="str">
        <f>IFERROR(INDEX(Liste_CategoriesDepenses,4),"")</f>
        <v>Transport</v>
      </c>
      <c r="B203" s="100">
        <f>IF($A203="",0,SUMIF(tbl_Budget[Categorie budgetaire],$A203,tbl_Budget[Montant prevu (FCFA)]))</f>
        <v>0</v>
      </c>
      <c r="C203" s="100">
        <f>IF($A203="",0,SUMIF(tbl_Budget[Categorie budgetaire],$A203,tbl_Budget[Depenses realisees (FCFA)]))</f>
        <v>0</v>
      </c>
      <c r="D203" s="100">
        <f t="shared" si="25"/>
        <v>0</v>
      </c>
      <c r="E203" s="101">
        <f t="shared" si="26"/>
        <v>0</v>
      </c>
    </row>
    <row r="204" spans="1:5" ht="15" customHeight="1">
      <c r="A204" s="96" t="str">
        <f>IFERROR(INDEX(Liste_CategoriesDepenses,5),"")</f>
        <v>Carburant</v>
      </c>
      <c r="B204" s="100">
        <f>IF($A204="",0,SUMIF(tbl_Budget[Categorie budgetaire],$A204,tbl_Budget[Montant prevu (FCFA)]))</f>
        <v>0</v>
      </c>
      <c r="C204" s="100">
        <f>IF($A204="",0,SUMIF(tbl_Budget[Categorie budgetaire],$A204,tbl_Budget[Depenses realisees (FCFA)]))</f>
        <v>0</v>
      </c>
      <c r="D204" s="100">
        <f t="shared" si="25"/>
        <v>0</v>
      </c>
      <c r="E204" s="101">
        <f t="shared" si="26"/>
        <v>0</v>
      </c>
    </row>
    <row r="205" spans="1:5" ht="15" customHeight="1">
      <c r="A205" s="96" t="str">
        <f>IFERROR(INDEX(Liste_CategoriesDepenses,6),"")</f>
        <v>Hebergement</v>
      </c>
      <c r="B205" s="100">
        <f>IF($A205="",0,SUMIF(tbl_Budget[Categorie budgetaire],$A205,tbl_Budget[Montant prevu (FCFA)]))</f>
        <v>0</v>
      </c>
      <c r="C205" s="100">
        <f>IF($A205="",0,SUMIF(tbl_Budget[Categorie budgetaire],$A205,tbl_Budget[Depenses realisees (FCFA)]))</f>
        <v>0</v>
      </c>
      <c r="D205" s="100">
        <f t="shared" si="25"/>
        <v>0</v>
      </c>
      <c r="E205" s="101">
        <f t="shared" si="26"/>
        <v>0</v>
      </c>
    </row>
    <row r="206" spans="1:5" ht="15" customHeight="1">
      <c r="A206" s="96" t="str">
        <f>IFERROR(INDEX(Liste_CategoriesDepenses,7),"")</f>
        <v>Restauration</v>
      </c>
      <c r="B206" s="100">
        <f>IF($A206="",0,SUMIF(tbl_Budget[Categorie budgetaire],$A206,tbl_Budget[Montant prevu (FCFA)]))</f>
        <v>0</v>
      </c>
      <c r="C206" s="100">
        <f>IF($A206="",0,SUMIF(tbl_Budget[Categorie budgetaire],$A206,tbl_Budget[Depenses realisees (FCFA)]))</f>
        <v>0</v>
      </c>
      <c r="D206" s="100">
        <f t="shared" si="25"/>
        <v>0</v>
      </c>
      <c r="E206" s="101">
        <f t="shared" si="26"/>
        <v>0</v>
      </c>
    </row>
    <row r="207" spans="1:5" ht="15" customHeight="1">
      <c r="A207" s="96" t="str">
        <f>IFERROR(INDEX(Liste_CategoriesDepenses,8),"")</f>
        <v>Formation</v>
      </c>
      <c r="B207" s="100">
        <f>IF($A207="",0,SUMIF(tbl_Budget[Categorie budgetaire],$A207,tbl_Budget[Montant prevu (FCFA)]))</f>
        <v>0</v>
      </c>
      <c r="C207" s="100">
        <f>IF($A207="",0,SUMIF(tbl_Budget[Categorie budgetaire],$A207,tbl_Budget[Depenses realisees (FCFA)]))</f>
        <v>0</v>
      </c>
      <c r="D207" s="100">
        <f t="shared" si="25"/>
        <v>0</v>
      </c>
      <c r="E207" s="101">
        <f t="shared" si="26"/>
        <v>0</v>
      </c>
    </row>
    <row r="208" spans="1:5" ht="15" customHeight="1">
      <c r="A208" s="96" t="str">
        <f>IFERROR(INDEX(Liste_CategoriesDepenses,9),"")</f>
        <v>Communication</v>
      </c>
      <c r="B208" s="100">
        <f>IF($A208="",0,SUMIF(tbl_Budget[Categorie budgetaire],$A208,tbl_Budget[Montant prevu (FCFA)]))</f>
        <v>0</v>
      </c>
      <c r="C208" s="100">
        <f>IF($A208="",0,SUMIF(tbl_Budget[Categorie budgetaire],$A208,tbl_Budget[Depenses realisees (FCFA)]))</f>
        <v>0</v>
      </c>
      <c r="D208" s="100">
        <f t="shared" si="25"/>
        <v>0</v>
      </c>
      <c r="E208" s="101">
        <f t="shared" si="26"/>
        <v>0</v>
      </c>
    </row>
    <row r="209" spans="1:5" ht="15" customHeight="1">
      <c r="A209" s="96" t="str">
        <f>IFERROR(INDEX(Liste_CategoriesDepenses,10),"")</f>
        <v>Visibilite</v>
      </c>
      <c r="B209" s="100">
        <f>IF($A209="",0,SUMIF(tbl_Budget[Categorie budgetaire],$A209,tbl_Budget[Montant prevu (FCFA)]))</f>
        <v>0</v>
      </c>
      <c r="C209" s="100">
        <f>IF($A209="",0,SUMIF(tbl_Budget[Categorie budgetaire],$A209,tbl_Budget[Depenses realisees (FCFA)]))</f>
        <v>0</v>
      </c>
      <c r="D209" s="100">
        <f t="shared" si="25"/>
        <v>0</v>
      </c>
      <c r="E209" s="101">
        <f t="shared" si="26"/>
        <v>0</v>
      </c>
    </row>
    <row r="210" spans="1:5" ht="15" customHeight="1">
      <c r="A210" s="96" t="str">
        <f>IFERROR(INDEX(Liste_CategoriesDepenses,11),"")</f>
        <v>Fournitures</v>
      </c>
      <c r="B210" s="100">
        <f>IF($A210="",0,SUMIF(tbl_Budget[Categorie budgetaire],$A210,tbl_Budget[Montant prevu (FCFA)]))</f>
        <v>0</v>
      </c>
      <c r="C210" s="100">
        <f>IF($A210="",0,SUMIF(tbl_Budget[Categorie budgetaire],$A210,tbl_Budget[Depenses realisees (FCFA)]))</f>
        <v>0</v>
      </c>
      <c r="D210" s="100">
        <f t="shared" si="25"/>
        <v>0</v>
      </c>
      <c r="E210" s="101">
        <f t="shared" si="26"/>
        <v>0</v>
      </c>
    </row>
    <row r="211" spans="1:5" ht="15" customHeight="1">
      <c r="A211" s="96" t="str">
        <f>IFERROR(INDEX(Liste_CategoriesDepenses,12),"")</f>
        <v>Materiel</v>
      </c>
      <c r="B211" s="100">
        <f>IF($A211="",0,SUMIF(tbl_Budget[Categorie budgetaire],$A211,tbl_Budget[Montant prevu (FCFA)]))</f>
        <v>0</v>
      </c>
      <c r="C211" s="100">
        <f>IF($A211="",0,SUMIF(tbl_Budget[Categorie budgetaire],$A211,tbl_Budget[Depenses realisees (FCFA)]))</f>
        <v>0</v>
      </c>
      <c r="D211" s="100">
        <f t="shared" si="25"/>
        <v>0</v>
      </c>
      <c r="E211" s="101">
        <f t="shared" si="26"/>
        <v>0</v>
      </c>
    </row>
    <row r="212" spans="1:5" ht="15" customHeight="1">
      <c r="A212" s="96" t="str">
        <f>IFERROR(INDEX(Liste_CategoriesDepenses,13),"")</f>
        <v>Equipements</v>
      </c>
      <c r="B212" s="100">
        <f>IF($A212="",0,SUMIF(tbl_Budget[Categorie budgetaire],$A212,tbl_Budget[Montant prevu (FCFA)]))</f>
        <v>0</v>
      </c>
      <c r="C212" s="100">
        <f>IF($A212="",0,SUMIF(tbl_Budget[Categorie budgetaire],$A212,tbl_Budget[Depenses realisees (FCFA)]))</f>
        <v>0</v>
      </c>
      <c r="D212" s="100">
        <f t="shared" si="25"/>
        <v>0</v>
      </c>
      <c r="E212" s="101">
        <f t="shared" si="26"/>
        <v>0</v>
      </c>
    </row>
    <row r="213" spans="1:5" ht="15" customHeight="1">
      <c r="A213" s="96" t="str">
        <f>IFERROR(INDEX(Liste_CategoriesDepenses,14),"")</f>
        <v>Construction</v>
      </c>
      <c r="B213" s="100">
        <f>IF($A213="",0,SUMIF(tbl_Budget[Categorie budgetaire],$A213,tbl_Budget[Montant prevu (FCFA)]))</f>
        <v>0</v>
      </c>
      <c r="C213" s="100">
        <f>IF($A213="",0,SUMIF(tbl_Budget[Categorie budgetaire],$A213,tbl_Budget[Depenses realisees (FCFA)]))</f>
        <v>0</v>
      </c>
      <c r="D213" s="100">
        <f t="shared" si="25"/>
        <v>0</v>
      </c>
      <c r="E213" s="101">
        <f t="shared" si="26"/>
        <v>0</v>
      </c>
    </row>
    <row r="214" spans="1:5" ht="15" customHeight="1">
      <c r="A214" s="96" t="str">
        <f>IFERROR(INDEX(Liste_CategoriesDepenses,15),"")</f>
        <v>Rehabilitation</v>
      </c>
      <c r="B214" s="100">
        <f>IF($A214="",0,SUMIF(tbl_Budget[Categorie budgetaire],$A214,tbl_Budget[Montant prevu (FCFA)]))</f>
        <v>0</v>
      </c>
      <c r="C214" s="100">
        <f>IF($A214="",0,SUMIF(tbl_Budget[Categorie budgetaire],$A214,tbl_Budget[Depenses realisees (FCFA)]))</f>
        <v>0</v>
      </c>
      <c r="D214" s="100">
        <f t="shared" si="25"/>
        <v>0</v>
      </c>
      <c r="E214" s="101">
        <f t="shared" si="26"/>
        <v>0</v>
      </c>
    </row>
    <row r="215" spans="1:5" ht="15" customHeight="1">
      <c r="A215" s="96" t="str">
        <f>IFERROR(INDEX(Liste_CategoriesDepenses,16),"")</f>
        <v>Location</v>
      </c>
      <c r="B215" s="100">
        <f>IF($A215="",0,SUMIF(tbl_Budget[Categorie budgetaire],$A215,tbl_Budget[Montant prevu (FCFA)]))</f>
        <v>0</v>
      </c>
      <c r="C215" s="100">
        <f>IF($A215="",0,SUMIF(tbl_Budget[Categorie budgetaire],$A215,tbl_Budget[Depenses realisees (FCFA)]))</f>
        <v>0</v>
      </c>
      <c r="D215" s="100">
        <f t="shared" si="25"/>
        <v>0</v>
      </c>
      <c r="E215" s="101">
        <f t="shared" si="26"/>
        <v>0</v>
      </c>
    </row>
    <row r="216" spans="1:5" ht="15" customHeight="1">
      <c r="A216" s="96" t="str">
        <f>IFERROR(INDEX(Liste_CategoriesDepenses,17),"")</f>
        <v>Services</v>
      </c>
      <c r="B216" s="100">
        <f>IF($A216="",0,SUMIF(tbl_Budget[Categorie budgetaire],$A216,tbl_Budget[Montant prevu (FCFA)]))</f>
        <v>0</v>
      </c>
      <c r="C216" s="100">
        <f>IF($A216="",0,SUMIF(tbl_Budget[Categorie budgetaire],$A216,tbl_Budget[Depenses realisees (FCFA)]))</f>
        <v>0</v>
      </c>
      <c r="D216" s="100">
        <f t="shared" si="25"/>
        <v>0</v>
      </c>
      <c r="E216" s="101">
        <f t="shared" si="26"/>
        <v>0</v>
      </c>
    </row>
    <row r="217" spans="1:5" ht="21.75" customHeight="1">
      <c r="A217" s="96" t="str">
        <f>IFERROR(INDEX(Liste_CategoriesDepenses,18),"")</f>
        <v>Telecommunication</v>
      </c>
      <c r="B217" s="100">
        <f>IF($A217="",0,SUMIF(tbl_Budget[Categorie budgetaire],$A217,tbl_Budget[Montant prevu (FCFA)]))</f>
        <v>0</v>
      </c>
      <c r="C217" s="100">
        <f>IF($A217="",0,SUMIF(tbl_Budget[Categorie budgetaire],$A217,tbl_Budget[Depenses realisees (FCFA)]))</f>
        <v>0</v>
      </c>
      <c r="D217" s="100">
        <f t="shared" si="25"/>
        <v>0</v>
      </c>
      <c r="E217" s="101">
        <f t="shared" si="26"/>
        <v>0</v>
      </c>
    </row>
    <row r="218" spans="1:5" ht="15" customHeight="1">
      <c r="A218" s="96" t="str">
        <f>IFERROR(INDEX(Liste_CategoriesDepenses,19),"")</f>
        <v>Internet</v>
      </c>
      <c r="B218" s="100">
        <f>IF($A218="",0,SUMIF(tbl_Budget[Categorie budgetaire],$A218,tbl_Budget[Montant prevu (FCFA)]))</f>
        <v>0</v>
      </c>
      <c r="C218" s="100">
        <f>IF($A218="",0,SUMIF(tbl_Budget[Categorie budgetaire],$A218,tbl_Budget[Depenses realisees (FCFA)]))</f>
        <v>0</v>
      </c>
      <c r="D218" s="100">
        <f t="shared" si="25"/>
        <v>0</v>
      </c>
      <c r="E218" s="101">
        <f t="shared" si="26"/>
        <v>0</v>
      </c>
    </row>
    <row r="219" spans="1:5" ht="15" customHeight="1">
      <c r="A219" s="96" t="str">
        <f>IFERROR(INDEX(Liste_CategoriesDepenses,20),"")</f>
        <v>Frais bancaires</v>
      </c>
      <c r="B219" s="100">
        <f>IF($A219="",0,SUMIF(tbl_Budget[Categorie budgetaire],$A219,tbl_Budget[Montant prevu (FCFA)]))</f>
        <v>0</v>
      </c>
      <c r="C219" s="100">
        <f>IF($A219="",0,SUMIF(tbl_Budget[Categorie budgetaire],$A219,tbl_Budget[Depenses realisees (FCFA)]))</f>
        <v>0</v>
      </c>
      <c r="D219" s="100">
        <f t="shared" si="25"/>
        <v>0</v>
      </c>
      <c r="E219" s="101">
        <f t="shared" si="26"/>
        <v>0</v>
      </c>
    </row>
    <row r="220" spans="1:5" ht="15" customHeight="1">
      <c r="A220" s="96" t="str">
        <f>IFERROR(INDEX(Liste_CategoriesDepenses,21),"")</f>
        <v>Administration</v>
      </c>
      <c r="B220" s="100">
        <f>IF($A220="",0,SUMIF(tbl_Budget[Categorie budgetaire],$A220,tbl_Budget[Montant prevu (FCFA)]))</f>
        <v>0</v>
      </c>
      <c r="C220" s="100">
        <f>IF($A220="",0,SUMIF(tbl_Budget[Categorie budgetaire],$A220,tbl_Budget[Depenses realisees (FCFA)]))</f>
        <v>0</v>
      </c>
      <c r="D220" s="100">
        <f t="shared" si="25"/>
        <v>0</v>
      </c>
      <c r="E220" s="101">
        <f t="shared" si="26"/>
        <v>0</v>
      </c>
    </row>
    <row r="221" spans="1:5" ht="15" customHeight="1">
      <c r="A221" s="96" t="str">
        <f>IFERROR(INDEX(Liste_CategoriesDepenses,22),"")</f>
        <v>Mission</v>
      </c>
      <c r="B221" s="100">
        <f>IF($A221="",0,SUMIF(tbl_Budget[Categorie budgetaire],$A221,tbl_Budget[Montant prevu (FCFA)]))</f>
        <v>0</v>
      </c>
      <c r="C221" s="100">
        <f>IF($A221="",0,SUMIF(tbl_Budget[Categorie budgetaire],$A221,tbl_Budget[Depenses realisees (FCFA)]))</f>
        <v>0</v>
      </c>
      <c r="D221" s="100">
        <f t="shared" si="25"/>
        <v>0</v>
      </c>
      <c r="E221" s="101">
        <f t="shared" si="26"/>
        <v>0</v>
      </c>
    </row>
    <row r="222" spans="1:5" ht="15" customHeight="1">
      <c r="A222" s="96" t="str">
        <f>IFERROR(INDEX(Liste_CategoriesDepenses,23),"")</f>
        <v>Logistique</v>
      </c>
      <c r="B222" s="100">
        <f>IF($A222="",0,SUMIF(tbl_Budget[Categorie budgetaire],$A222,tbl_Budget[Montant prevu (FCFA)]))</f>
        <v>0</v>
      </c>
      <c r="C222" s="100">
        <f>IF($A222="",0,SUMIF(tbl_Budget[Categorie budgetaire],$A222,tbl_Budget[Depenses realisees (FCFA)]))</f>
        <v>0</v>
      </c>
      <c r="D222" s="100">
        <f t="shared" si="25"/>
        <v>0</v>
      </c>
      <c r="E222" s="101">
        <f t="shared" si="26"/>
        <v>0</v>
      </c>
    </row>
    <row r="223" spans="1:5" ht="15" customHeight="1">
      <c r="A223" s="96" t="str">
        <f>IFERROR(INDEX(Liste_CategoriesDepenses,24),"")</f>
        <v>Suivi-evaluation</v>
      </c>
      <c r="B223" s="100">
        <f>IF($A223="",0,SUMIF(tbl_Budget[Categorie budgetaire],$A223,tbl_Budget[Montant prevu (FCFA)]))</f>
        <v>0</v>
      </c>
      <c r="C223" s="100">
        <f>IF($A223="",0,SUMIF(tbl_Budget[Categorie budgetaire],$A223,tbl_Budget[Depenses realisees (FCFA)]))</f>
        <v>0</v>
      </c>
      <c r="D223" s="100">
        <f t="shared" si="25"/>
        <v>0</v>
      </c>
      <c r="E223" s="101">
        <f t="shared" si="26"/>
        <v>0</v>
      </c>
    </row>
    <row r="224" spans="1:5" ht="15" customHeight="1">
      <c r="A224" s="96" t="str">
        <f>IFERROR(INDEX(Liste_CategoriesDepenses,25),"")</f>
        <v>Audit</v>
      </c>
      <c r="B224" s="100">
        <f>IF($A224="",0,SUMIF(tbl_Budget[Categorie budgetaire],$A224,tbl_Budget[Montant prevu (FCFA)]))</f>
        <v>0</v>
      </c>
      <c r="C224" s="100">
        <f>IF($A224="",0,SUMIF(tbl_Budget[Categorie budgetaire],$A224,tbl_Budget[Depenses realisees (FCFA)]))</f>
        <v>0</v>
      </c>
      <c r="D224" s="100">
        <f t="shared" si="25"/>
        <v>0</v>
      </c>
      <c r="E224" s="101">
        <f t="shared" si="26"/>
        <v>0</v>
      </c>
    </row>
    <row r="225" spans="1:6" ht="15" customHeight="1">
      <c r="A225" s="96" t="str">
        <f>IFERROR(INDEX(Liste_CategoriesDepenses,26),"")</f>
        <v>Assurance</v>
      </c>
      <c r="B225" s="100">
        <f>IF($A225="",0,SUMIF(tbl_Budget[Categorie budgetaire],$A225,tbl_Budget[Montant prevu (FCFA)]))</f>
        <v>0</v>
      </c>
      <c r="C225" s="100">
        <f>IF($A225="",0,SUMIF(tbl_Budget[Categorie budgetaire],$A225,tbl_Budget[Depenses realisees (FCFA)]))</f>
        <v>0</v>
      </c>
      <c r="D225" s="100">
        <f t="shared" si="25"/>
        <v>0</v>
      </c>
      <c r="E225" s="101">
        <f t="shared" si="26"/>
        <v>0</v>
      </c>
    </row>
    <row r="226" spans="1:6" ht="15" customHeight="1">
      <c r="A226" s="96" t="str">
        <f>IFERROR(INDEX(Liste_CategoriesDepenses,27),"")</f>
        <v>Maintenance</v>
      </c>
      <c r="B226" s="100">
        <f>IF($A226="",0,SUMIF(tbl_Budget[Categorie budgetaire],$A226,tbl_Budget[Montant prevu (FCFA)]))</f>
        <v>0</v>
      </c>
      <c r="C226" s="100">
        <f>IF($A226="",0,SUMIF(tbl_Budget[Categorie budgetaire],$A226,tbl_Budget[Depenses realisees (FCFA)]))</f>
        <v>0</v>
      </c>
      <c r="D226" s="100">
        <f t="shared" si="25"/>
        <v>0</v>
      </c>
      <c r="E226" s="101">
        <f t="shared" si="26"/>
        <v>0</v>
      </c>
    </row>
    <row r="227" spans="1:6" ht="15" customHeight="1">
      <c r="A227" s="96" t="str">
        <f>IFERROR(INDEX(Liste_CategoriesDepenses,28),"")</f>
        <v>Securite</v>
      </c>
      <c r="B227" s="100">
        <f>IF($A227="",0,SUMIF(tbl_Budget[Categorie budgetaire],$A227,tbl_Budget[Montant prevu (FCFA)]))</f>
        <v>0</v>
      </c>
      <c r="C227" s="100">
        <f>IF($A227="",0,SUMIF(tbl_Budget[Categorie budgetaire],$A227,tbl_Budget[Depenses realisees (FCFA)]))</f>
        <v>0</v>
      </c>
      <c r="D227" s="100">
        <f t="shared" si="25"/>
        <v>0</v>
      </c>
      <c r="E227" s="101">
        <f t="shared" si="26"/>
        <v>0</v>
      </c>
    </row>
    <row r="228" spans="1:6" ht="21.75" customHeight="1">
      <c r="A228" s="96" t="str">
        <f>IFERROR(INDEX(Liste_CategoriesDepenses,29),"")</f>
        <v>Taxes et frais administratifs</v>
      </c>
      <c r="B228" s="100">
        <f>IF($A228="",0,SUMIF(tbl_Budget[Categorie budgetaire],$A228,tbl_Budget[Montant prevu (FCFA)]))</f>
        <v>0</v>
      </c>
      <c r="C228" s="100">
        <f>IF($A228="",0,SUMIF(tbl_Budget[Categorie budgetaire],$A228,tbl_Budget[Depenses realisees (FCFA)]))</f>
        <v>0</v>
      </c>
      <c r="D228" s="100">
        <f t="shared" si="25"/>
        <v>0</v>
      </c>
      <c r="E228" s="101">
        <f t="shared" si="26"/>
        <v>0</v>
      </c>
    </row>
    <row r="229" spans="1:6" ht="15" customHeight="1">
      <c r="A229" s="96" t="str">
        <f>IFERROR(INDEX(Liste_CategoriesDepenses,30),"")</f>
        <v>Autres depenses</v>
      </c>
      <c r="B229" s="100">
        <f>IF($A229="",0,SUMIF(tbl_Budget[Categorie budgetaire],$A229,tbl_Budget[Montant prevu (FCFA)]))</f>
        <v>0</v>
      </c>
      <c r="C229" s="100">
        <f>IF($A229="",0,SUMIF(tbl_Budget[Categorie budgetaire],$A229,tbl_Budget[Depenses realisees (FCFA)]))</f>
        <v>0</v>
      </c>
      <c r="D229" s="100">
        <f t="shared" si="25"/>
        <v>0</v>
      </c>
      <c r="E229" s="101">
        <f t="shared" si="26"/>
        <v>0</v>
      </c>
    </row>
    <row r="231" spans="1:6" ht="19.5" customHeight="1">
      <c r="A231" s="299" t="s">
        <v>2146</v>
      </c>
      <c r="B231" s="262"/>
      <c r="C231" s="262"/>
      <c r="D231" s="262"/>
      <c r="E231" s="262"/>
      <c r="F231" s="262"/>
    </row>
    <row r="232" spans="1:6" ht="25.5" customHeight="1">
      <c r="A232" s="9" t="s">
        <v>1987</v>
      </c>
      <c r="B232" s="9" t="s">
        <v>2104</v>
      </c>
      <c r="C232" s="9" t="s">
        <v>1806</v>
      </c>
      <c r="D232" s="9" t="s">
        <v>1674</v>
      </c>
      <c r="E232" s="9" t="s">
        <v>1675</v>
      </c>
      <c r="F232" s="9" t="s">
        <v>1677</v>
      </c>
    </row>
    <row r="233" spans="1:6" ht="15" customHeight="1">
      <c r="A233" s="96" t="str">
        <f>DONATEURS!A56</f>
        <v>DON00001</v>
      </c>
      <c r="B233" s="96" t="str">
        <f>DONATEURS!B56</f>
        <v>AUSP</v>
      </c>
      <c r="C233" s="100">
        <f>IF($A233="",0,SUMIF(tbl_Budget[ID Donateur],$A233,tbl_Budget[Montant prevu (FCFA)]))</f>
        <v>0</v>
      </c>
      <c r="D233" s="100">
        <f>IF($A233="",0,SUMIF(tbl_Budget[ID Donateur],$A233,tbl_Budget[Montant engage (FCFA)]))</f>
        <v>0</v>
      </c>
      <c r="E233" s="100">
        <f>IF($A233="",0,SUMIF(tbl_Budget[ID Donateur],$A233,tbl_Budget[Depenses realisees (FCFA)]))</f>
        <v>0</v>
      </c>
      <c r="F233" s="100">
        <f t="shared" ref="F233:F264" si="27">$C233-$E233</f>
        <v>0</v>
      </c>
    </row>
    <row r="234" spans="1:6" ht="15" customHeight="1">
      <c r="A234" s="96" t="str">
        <f>DONATEURS!A57</f>
        <v/>
      </c>
      <c r="B234" s="96">
        <f>DONATEURS!B57</f>
        <v>0</v>
      </c>
      <c r="C234" s="100">
        <f>IF($A234="",0,SUMIF(tbl_Budget[ID Donateur],$A234,tbl_Budget[Montant prevu (FCFA)]))</f>
        <v>0</v>
      </c>
      <c r="D234" s="100">
        <f>IF($A234="",0,SUMIF(tbl_Budget[ID Donateur],$A234,tbl_Budget[Montant engage (FCFA)]))</f>
        <v>0</v>
      </c>
      <c r="E234" s="100">
        <f>IF($A234="",0,SUMIF(tbl_Budget[ID Donateur],$A234,tbl_Budget[Depenses realisees (FCFA)]))</f>
        <v>0</v>
      </c>
      <c r="F234" s="100">
        <f t="shared" si="27"/>
        <v>0</v>
      </c>
    </row>
    <row r="235" spans="1:6" ht="15" customHeight="1">
      <c r="A235" s="96" t="str">
        <f>DONATEURS!A58</f>
        <v/>
      </c>
      <c r="B235" s="96">
        <f>DONATEURS!B58</f>
        <v>0</v>
      </c>
      <c r="C235" s="100">
        <f>IF($A235="",0,SUMIF(tbl_Budget[ID Donateur],$A235,tbl_Budget[Montant prevu (FCFA)]))</f>
        <v>0</v>
      </c>
      <c r="D235" s="100">
        <f>IF($A235="",0,SUMIF(tbl_Budget[ID Donateur],$A235,tbl_Budget[Montant engage (FCFA)]))</f>
        <v>0</v>
      </c>
      <c r="E235" s="100">
        <f>IF($A235="",0,SUMIF(tbl_Budget[ID Donateur],$A235,tbl_Budget[Depenses realisees (FCFA)]))</f>
        <v>0</v>
      </c>
      <c r="F235" s="100">
        <f t="shared" si="27"/>
        <v>0</v>
      </c>
    </row>
    <row r="236" spans="1:6" ht="15" customHeight="1">
      <c r="A236" s="96" t="str">
        <f>DONATEURS!A59</f>
        <v/>
      </c>
      <c r="B236" s="96">
        <f>DONATEURS!B59</f>
        <v>0</v>
      </c>
      <c r="C236" s="100">
        <f>IF($A236="",0,SUMIF(tbl_Budget[ID Donateur],$A236,tbl_Budget[Montant prevu (FCFA)]))</f>
        <v>0</v>
      </c>
      <c r="D236" s="100">
        <f>IF($A236="",0,SUMIF(tbl_Budget[ID Donateur],$A236,tbl_Budget[Montant engage (FCFA)]))</f>
        <v>0</v>
      </c>
      <c r="E236" s="100">
        <f>IF($A236="",0,SUMIF(tbl_Budget[ID Donateur],$A236,tbl_Budget[Depenses realisees (FCFA)]))</f>
        <v>0</v>
      </c>
      <c r="F236" s="100">
        <f t="shared" si="27"/>
        <v>0</v>
      </c>
    </row>
    <row r="237" spans="1:6" ht="15" customHeight="1">
      <c r="A237" s="96" t="str">
        <f>DONATEURS!A60</f>
        <v/>
      </c>
      <c r="B237" s="96">
        <f>DONATEURS!B60</f>
        <v>0</v>
      </c>
      <c r="C237" s="100">
        <f>IF($A237="",0,SUMIF(tbl_Budget[ID Donateur],$A237,tbl_Budget[Montant prevu (FCFA)]))</f>
        <v>0</v>
      </c>
      <c r="D237" s="100">
        <f>IF($A237="",0,SUMIF(tbl_Budget[ID Donateur],$A237,tbl_Budget[Montant engage (FCFA)]))</f>
        <v>0</v>
      </c>
      <c r="E237" s="100">
        <f>IF($A237="",0,SUMIF(tbl_Budget[ID Donateur],$A237,tbl_Budget[Depenses realisees (FCFA)]))</f>
        <v>0</v>
      </c>
      <c r="F237" s="100">
        <f t="shared" si="27"/>
        <v>0</v>
      </c>
    </row>
    <row r="238" spans="1:6" ht="15" customHeight="1">
      <c r="A238" s="96" t="str">
        <f>DONATEURS!A61</f>
        <v/>
      </c>
      <c r="B238" s="96">
        <f>DONATEURS!B61</f>
        <v>0</v>
      </c>
      <c r="C238" s="100">
        <f>IF($A238="",0,SUMIF(tbl_Budget[ID Donateur],$A238,tbl_Budget[Montant prevu (FCFA)]))</f>
        <v>0</v>
      </c>
      <c r="D238" s="100">
        <f>IF($A238="",0,SUMIF(tbl_Budget[ID Donateur],$A238,tbl_Budget[Montant engage (FCFA)]))</f>
        <v>0</v>
      </c>
      <c r="E238" s="100">
        <f>IF($A238="",0,SUMIF(tbl_Budget[ID Donateur],$A238,tbl_Budget[Depenses realisees (FCFA)]))</f>
        <v>0</v>
      </c>
      <c r="F238" s="100">
        <f t="shared" si="27"/>
        <v>0</v>
      </c>
    </row>
    <row r="239" spans="1:6" ht="15" customHeight="1">
      <c r="A239" s="96" t="str">
        <f>DONATEURS!A62</f>
        <v/>
      </c>
      <c r="B239" s="96">
        <f>DONATEURS!B62</f>
        <v>0</v>
      </c>
      <c r="C239" s="100">
        <f>IF($A239="",0,SUMIF(tbl_Budget[ID Donateur],$A239,tbl_Budget[Montant prevu (FCFA)]))</f>
        <v>0</v>
      </c>
      <c r="D239" s="100">
        <f>IF($A239="",0,SUMIF(tbl_Budget[ID Donateur],$A239,tbl_Budget[Montant engage (FCFA)]))</f>
        <v>0</v>
      </c>
      <c r="E239" s="100">
        <f>IF($A239="",0,SUMIF(tbl_Budget[ID Donateur],$A239,tbl_Budget[Depenses realisees (FCFA)]))</f>
        <v>0</v>
      </c>
      <c r="F239" s="100">
        <f t="shared" si="27"/>
        <v>0</v>
      </c>
    </row>
    <row r="240" spans="1:6" ht="15" customHeight="1">
      <c r="A240" s="96" t="str">
        <f>DONATEURS!A63</f>
        <v/>
      </c>
      <c r="B240" s="96">
        <f>DONATEURS!B63</f>
        <v>0</v>
      </c>
      <c r="C240" s="100">
        <f>IF($A240="",0,SUMIF(tbl_Budget[ID Donateur],$A240,tbl_Budget[Montant prevu (FCFA)]))</f>
        <v>0</v>
      </c>
      <c r="D240" s="100">
        <f>IF($A240="",0,SUMIF(tbl_Budget[ID Donateur],$A240,tbl_Budget[Montant engage (FCFA)]))</f>
        <v>0</v>
      </c>
      <c r="E240" s="100">
        <f>IF($A240="",0,SUMIF(tbl_Budget[ID Donateur],$A240,tbl_Budget[Depenses realisees (FCFA)]))</f>
        <v>0</v>
      </c>
      <c r="F240" s="100">
        <f t="shared" si="27"/>
        <v>0</v>
      </c>
    </row>
    <row r="241" spans="1:6" ht="15" customHeight="1">
      <c r="A241" s="96" t="str">
        <f>DONATEURS!A64</f>
        <v/>
      </c>
      <c r="B241" s="96">
        <f>DONATEURS!B64</f>
        <v>0</v>
      </c>
      <c r="C241" s="100">
        <f>IF($A241="",0,SUMIF(tbl_Budget[ID Donateur],$A241,tbl_Budget[Montant prevu (FCFA)]))</f>
        <v>0</v>
      </c>
      <c r="D241" s="100">
        <f>IF($A241="",0,SUMIF(tbl_Budget[ID Donateur],$A241,tbl_Budget[Montant engage (FCFA)]))</f>
        <v>0</v>
      </c>
      <c r="E241" s="100">
        <f>IF($A241="",0,SUMIF(tbl_Budget[ID Donateur],$A241,tbl_Budget[Depenses realisees (FCFA)]))</f>
        <v>0</v>
      </c>
      <c r="F241" s="100">
        <f t="shared" si="27"/>
        <v>0</v>
      </c>
    </row>
    <row r="242" spans="1:6" ht="15" customHeight="1">
      <c r="A242" s="96" t="str">
        <f>DONATEURS!A65</f>
        <v/>
      </c>
      <c r="B242" s="96">
        <f>DONATEURS!B65</f>
        <v>0</v>
      </c>
      <c r="C242" s="100">
        <f>IF($A242="",0,SUMIF(tbl_Budget[ID Donateur],$A242,tbl_Budget[Montant prevu (FCFA)]))</f>
        <v>0</v>
      </c>
      <c r="D242" s="100">
        <f>IF($A242="",0,SUMIF(tbl_Budget[ID Donateur],$A242,tbl_Budget[Montant engage (FCFA)]))</f>
        <v>0</v>
      </c>
      <c r="E242" s="100">
        <f>IF($A242="",0,SUMIF(tbl_Budget[ID Donateur],$A242,tbl_Budget[Depenses realisees (FCFA)]))</f>
        <v>0</v>
      </c>
      <c r="F242" s="100">
        <f t="shared" si="27"/>
        <v>0</v>
      </c>
    </row>
    <row r="243" spans="1:6" ht="15" customHeight="1">
      <c r="A243" s="96" t="str">
        <f>DONATEURS!A66</f>
        <v/>
      </c>
      <c r="B243" s="96">
        <f>DONATEURS!B66</f>
        <v>0</v>
      </c>
      <c r="C243" s="100">
        <f>IF($A243="",0,SUMIF(tbl_Budget[ID Donateur],$A243,tbl_Budget[Montant prevu (FCFA)]))</f>
        <v>0</v>
      </c>
      <c r="D243" s="100">
        <f>IF($A243="",0,SUMIF(tbl_Budget[ID Donateur],$A243,tbl_Budget[Montant engage (FCFA)]))</f>
        <v>0</v>
      </c>
      <c r="E243" s="100">
        <f>IF($A243="",0,SUMIF(tbl_Budget[ID Donateur],$A243,tbl_Budget[Depenses realisees (FCFA)]))</f>
        <v>0</v>
      </c>
      <c r="F243" s="100">
        <f t="shared" si="27"/>
        <v>0</v>
      </c>
    </row>
    <row r="244" spans="1:6" ht="15" customHeight="1">
      <c r="A244" s="96" t="str">
        <f>DONATEURS!A67</f>
        <v/>
      </c>
      <c r="B244" s="96">
        <f>DONATEURS!B67</f>
        <v>0</v>
      </c>
      <c r="C244" s="100">
        <f>IF($A244="",0,SUMIF(tbl_Budget[ID Donateur],$A244,tbl_Budget[Montant prevu (FCFA)]))</f>
        <v>0</v>
      </c>
      <c r="D244" s="100">
        <f>IF($A244="",0,SUMIF(tbl_Budget[ID Donateur],$A244,tbl_Budget[Montant engage (FCFA)]))</f>
        <v>0</v>
      </c>
      <c r="E244" s="100">
        <f>IF($A244="",0,SUMIF(tbl_Budget[ID Donateur],$A244,tbl_Budget[Depenses realisees (FCFA)]))</f>
        <v>0</v>
      </c>
      <c r="F244" s="100">
        <f t="shared" si="27"/>
        <v>0</v>
      </c>
    </row>
    <row r="245" spans="1:6" ht="15" customHeight="1">
      <c r="A245" s="96" t="str">
        <f>DONATEURS!A68</f>
        <v/>
      </c>
      <c r="B245" s="96">
        <f>DONATEURS!B68</f>
        <v>0</v>
      </c>
      <c r="C245" s="100">
        <f>IF($A245="",0,SUMIF(tbl_Budget[ID Donateur],$A245,tbl_Budget[Montant prevu (FCFA)]))</f>
        <v>0</v>
      </c>
      <c r="D245" s="100">
        <f>IF($A245="",0,SUMIF(tbl_Budget[ID Donateur],$A245,tbl_Budget[Montant engage (FCFA)]))</f>
        <v>0</v>
      </c>
      <c r="E245" s="100">
        <f>IF($A245="",0,SUMIF(tbl_Budget[ID Donateur],$A245,tbl_Budget[Depenses realisees (FCFA)]))</f>
        <v>0</v>
      </c>
      <c r="F245" s="100">
        <f t="shared" si="27"/>
        <v>0</v>
      </c>
    </row>
    <row r="246" spans="1:6" ht="15" customHeight="1">
      <c r="A246" s="96" t="str">
        <f>DONATEURS!A69</f>
        <v/>
      </c>
      <c r="B246" s="96">
        <f>DONATEURS!B69</f>
        <v>0</v>
      </c>
      <c r="C246" s="100">
        <f>IF($A246="",0,SUMIF(tbl_Budget[ID Donateur],$A246,tbl_Budget[Montant prevu (FCFA)]))</f>
        <v>0</v>
      </c>
      <c r="D246" s="100">
        <f>IF($A246="",0,SUMIF(tbl_Budget[ID Donateur],$A246,tbl_Budget[Montant engage (FCFA)]))</f>
        <v>0</v>
      </c>
      <c r="E246" s="100">
        <f>IF($A246="",0,SUMIF(tbl_Budget[ID Donateur],$A246,tbl_Budget[Depenses realisees (FCFA)]))</f>
        <v>0</v>
      </c>
      <c r="F246" s="100">
        <f t="shared" si="27"/>
        <v>0</v>
      </c>
    </row>
    <row r="247" spans="1:6" ht="15" customHeight="1">
      <c r="A247" s="96" t="str">
        <f>DONATEURS!A70</f>
        <v/>
      </c>
      <c r="B247" s="96">
        <f>DONATEURS!B70</f>
        <v>0</v>
      </c>
      <c r="C247" s="100">
        <f>IF($A247="",0,SUMIF(tbl_Budget[ID Donateur],$A247,tbl_Budget[Montant prevu (FCFA)]))</f>
        <v>0</v>
      </c>
      <c r="D247" s="100">
        <f>IF($A247="",0,SUMIF(tbl_Budget[ID Donateur],$A247,tbl_Budget[Montant engage (FCFA)]))</f>
        <v>0</v>
      </c>
      <c r="E247" s="100">
        <f>IF($A247="",0,SUMIF(tbl_Budget[ID Donateur],$A247,tbl_Budget[Depenses realisees (FCFA)]))</f>
        <v>0</v>
      </c>
      <c r="F247" s="100">
        <f t="shared" si="27"/>
        <v>0</v>
      </c>
    </row>
    <row r="248" spans="1:6" ht="15" customHeight="1">
      <c r="A248" s="96" t="str">
        <f>DONATEURS!A71</f>
        <v/>
      </c>
      <c r="B248" s="96">
        <f>DONATEURS!B71</f>
        <v>0</v>
      </c>
      <c r="C248" s="100">
        <f>IF($A248="",0,SUMIF(tbl_Budget[ID Donateur],$A248,tbl_Budget[Montant prevu (FCFA)]))</f>
        <v>0</v>
      </c>
      <c r="D248" s="100">
        <f>IF($A248="",0,SUMIF(tbl_Budget[ID Donateur],$A248,tbl_Budget[Montant engage (FCFA)]))</f>
        <v>0</v>
      </c>
      <c r="E248" s="100">
        <f>IF($A248="",0,SUMIF(tbl_Budget[ID Donateur],$A248,tbl_Budget[Depenses realisees (FCFA)]))</f>
        <v>0</v>
      </c>
      <c r="F248" s="100">
        <f t="shared" si="27"/>
        <v>0</v>
      </c>
    </row>
    <row r="249" spans="1:6" ht="15" customHeight="1">
      <c r="A249" s="96" t="str">
        <f>DONATEURS!A72</f>
        <v/>
      </c>
      <c r="B249" s="96">
        <f>DONATEURS!B72</f>
        <v>0</v>
      </c>
      <c r="C249" s="100">
        <f>IF($A249="",0,SUMIF(tbl_Budget[ID Donateur],$A249,tbl_Budget[Montant prevu (FCFA)]))</f>
        <v>0</v>
      </c>
      <c r="D249" s="100">
        <f>IF($A249="",0,SUMIF(tbl_Budget[ID Donateur],$A249,tbl_Budget[Montant engage (FCFA)]))</f>
        <v>0</v>
      </c>
      <c r="E249" s="100">
        <f>IF($A249="",0,SUMIF(tbl_Budget[ID Donateur],$A249,tbl_Budget[Depenses realisees (FCFA)]))</f>
        <v>0</v>
      </c>
      <c r="F249" s="100">
        <f t="shared" si="27"/>
        <v>0</v>
      </c>
    </row>
    <row r="250" spans="1:6" ht="15" customHeight="1">
      <c r="A250" s="96" t="str">
        <f>DONATEURS!A73</f>
        <v/>
      </c>
      <c r="B250" s="96">
        <f>DONATEURS!B73</f>
        <v>0</v>
      </c>
      <c r="C250" s="100">
        <f>IF($A250="",0,SUMIF(tbl_Budget[ID Donateur],$A250,tbl_Budget[Montant prevu (FCFA)]))</f>
        <v>0</v>
      </c>
      <c r="D250" s="100">
        <f>IF($A250="",0,SUMIF(tbl_Budget[ID Donateur],$A250,tbl_Budget[Montant engage (FCFA)]))</f>
        <v>0</v>
      </c>
      <c r="E250" s="100">
        <f>IF($A250="",0,SUMIF(tbl_Budget[ID Donateur],$A250,tbl_Budget[Depenses realisees (FCFA)]))</f>
        <v>0</v>
      </c>
      <c r="F250" s="100">
        <f t="shared" si="27"/>
        <v>0</v>
      </c>
    </row>
    <row r="251" spans="1:6" ht="15" customHeight="1">
      <c r="A251" s="96" t="str">
        <f>DONATEURS!A74</f>
        <v/>
      </c>
      <c r="B251" s="96">
        <f>DONATEURS!B74</f>
        <v>0</v>
      </c>
      <c r="C251" s="100">
        <f>IF($A251="",0,SUMIF(tbl_Budget[ID Donateur],$A251,tbl_Budget[Montant prevu (FCFA)]))</f>
        <v>0</v>
      </c>
      <c r="D251" s="100">
        <f>IF($A251="",0,SUMIF(tbl_Budget[ID Donateur],$A251,tbl_Budget[Montant engage (FCFA)]))</f>
        <v>0</v>
      </c>
      <c r="E251" s="100">
        <f>IF($A251="",0,SUMIF(tbl_Budget[ID Donateur],$A251,tbl_Budget[Depenses realisees (FCFA)]))</f>
        <v>0</v>
      </c>
      <c r="F251" s="100">
        <f t="shared" si="27"/>
        <v>0</v>
      </c>
    </row>
    <row r="252" spans="1:6" ht="15" customHeight="1">
      <c r="A252" s="96" t="str">
        <f>DONATEURS!A75</f>
        <v/>
      </c>
      <c r="B252" s="96">
        <f>DONATEURS!B75</f>
        <v>0</v>
      </c>
      <c r="C252" s="100">
        <f>IF($A252="",0,SUMIF(tbl_Budget[ID Donateur],$A252,tbl_Budget[Montant prevu (FCFA)]))</f>
        <v>0</v>
      </c>
      <c r="D252" s="100">
        <f>IF($A252="",0,SUMIF(tbl_Budget[ID Donateur],$A252,tbl_Budget[Montant engage (FCFA)]))</f>
        <v>0</v>
      </c>
      <c r="E252" s="100">
        <f>IF($A252="",0,SUMIF(tbl_Budget[ID Donateur],$A252,tbl_Budget[Depenses realisees (FCFA)]))</f>
        <v>0</v>
      </c>
      <c r="F252" s="100">
        <f t="shared" si="27"/>
        <v>0</v>
      </c>
    </row>
    <row r="253" spans="1:6" ht="15" customHeight="1">
      <c r="A253" s="96" t="str">
        <f>DONATEURS!A76</f>
        <v/>
      </c>
      <c r="B253" s="96">
        <f>DONATEURS!B76</f>
        <v>0</v>
      </c>
      <c r="C253" s="100">
        <f>IF($A253="",0,SUMIF(tbl_Budget[ID Donateur],$A253,tbl_Budget[Montant prevu (FCFA)]))</f>
        <v>0</v>
      </c>
      <c r="D253" s="100">
        <f>IF($A253="",0,SUMIF(tbl_Budget[ID Donateur],$A253,tbl_Budget[Montant engage (FCFA)]))</f>
        <v>0</v>
      </c>
      <c r="E253" s="100">
        <f>IF($A253="",0,SUMIF(tbl_Budget[ID Donateur],$A253,tbl_Budget[Depenses realisees (FCFA)]))</f>
        <v>0</v>
      </c>
      <c r="F253" s="100">
        <f t="shared" si="27"/>
        <v>0</v>
      </c>
    </row>
    <row r="254" spans="1:6" ht="15" customHeight="1">
      <c r="A254" s="96" t="str">
        <f>DONATEURS!A77</f>
        <v/>
      </c>
      <c r="B254" s="96">
        <f>DONATEURS!B77</f>
        <v>0</v>
      </c>
      <c r="C254" s="100">
        <f>IF($A254="",0,SUMIF(tbl_Budget[ID Donateur],$A254,tbl_Budget[Montant prevu (FCFA)]))</f>
        <v>0</v>
      </c>
      <c r="D254" s="100">
        <f>IF($A254="",0,SUMIF(tbl_Budget[ID Donateur],$A254,tbl_Budget[Montant engage (FCFA)]))</f>
        <v>0</v>
      </c>
      <c r="E254" s="100">
        <f>IF($A254="",0,SUMIF(tbl_Budget[ID Donateur],$A254,tbl_Budget[Depenses realisees (FCFA)]))</f>
        <v>0</v>
      </c>
      <c r="F254" s="100">
        <f t="shared" si="27"/>
        <v>0</v>
      </c>
    </row>
    <row r="255" spans="1:6" ht="15" customHeight="1">
      <c r="A255" s="96" t="str">
        <f>DONATEURS!A78</f>
        <v/>
      </c>
      <c r="B255" s="96">
        <f>DONATEURS!B78</f>
        <v>0</v>
      </c>
      <c r="C255" s="100">
        <f>IF($A255="",0,SUMIF(tbl_Budget[ID Donateur],$A255,tbl_Budget[Montant prevu (FCFA)]))</f>
        <v>0</v>
      </c>
      <c r="D255" s="100">
        <f>IF($A255="",0,SUMIF(tbl_Budget[ID Donateur],$A255,tbl_Budget[Montant engage (FCFA)]))</f>
        <v>0</v>
      </c>
      <c r="E255" s="100">
        <f>IF($A255="",0,SUMIF(tbl_Budget[ID Donateur],$A255,tbl_Budget[Depenses realisees (FCFA)]))</f>
        <v>0</v>
      </c>
      <c r="F255" s="100">
        <f t="shared" si="27"/>
        <v>0</v>
      </c>
    </row>
    <row r="256" spans="1:6" ht="15" customHeight="1">
      <c r="A256" s="96" t="str">
        <f>DONATEURS!A79</f>
        <v/>
      </c>
      <c r="B256" s="96">
        <f>DONATEURS!B79</f>
        <v>0</v>
      </c>
      <c r="C256" s="100">
        <f>IF($A256="",0,SUMIF(tbl_Budget[ID Donateur],$A256,tbl_Budget[Montant prevu (FCFA)]))</f>
        <v>0</v>
      </c>
      <c r="D256" s="100">
        <f>IF($A256="",0,SUMIF(tbl_Budget[ID Donateur],$A256,tbl_Budget[Montant engage (FCFA)]))</f>
        <v>0</v>
      </c>
      <c r="E256" s="100">
        <f>IF($A256="",0,SUMIF(tbl_Budget[ID Donateur],$A256,tbl_Budget[Depenses realisees (FCFA)]))</f>
        <v>0</v>
      </c>
      <c r="F256" s="100">
        <f t="shared" si="27"/>
        <v>0</v>
      </c>
    </row>
    <row r="257" spans="1:6" ht="15" customHeight="1">
      <c r="A257" s="96" t="str">
        <f>DONATEURS!A80</f>
        <v/>
      </c>
      <c r="B257" s="96">
        <f>DONATEURS!B80</f>
        <v>0</v>
      </c>
      <c r="C257" s="100">
        <f>IF($A257="",0,SUMIF(tbl_Budget[ID Donateur],$A257,tbl_Budget[Montant prevu (FCFA)]))</f>
        <v>0</v>
      </c>
      <c r="D257" s="100">
        <f>IF($A257="",0,SUMIF(tbl_Budget[ID Donateur],$A257,tbl_Budget[Montant engage (FCFA)]))</f>
        <v>0</v>
      </c>
      <c r="E257" s="100">
        <f>IF($A257="",0,SUMIF(tbl_Budget[ID Donateur],$A257,tbl_Budget[Depenses realisees (FCFA)]))</f>
        <v>0</v>
      </c>
      <c r="F257" s="100">
        <f t="shared" si="27"/>
        <v>0</v>
      </c>
    </row>
    <row r="258" spans="1:6" ht="15" customHeight="1">
      <c r="A258" s="96" t="str">
        <f>DONATEURS!A81</f>
        <v/>
      </c>
      <c r="B258" s="96">
        <f>DONATEURS!B81</f>
        <v>0</v>
      </c>
      <c r="C258" s="100">
        <f>IF($A258="",0,SUMIF(tbl_Budget[ID Donateur],$A258,tbl_Budget[Montant prevu (FCFA)]))</f>
        <v>0</v>
      </c>
      <c r="D258" s="100">
        <f>IF($A258="",0,SUMIF(tbl_Budget[ID Donateur],$A258,tbl_Budget[Montant engage (FCFA)]))</f>
        <v>0</v>
      </c>
      <c r="E258" s="100">
        <f>IF($A258="",0,SUMIF(tbl_Budget[ID Donateur],$A258,tbl_Budget[Depenses realisees (FCFA)]))</f>
        <v>0</v>
      </c>
      <c r="F258" s="100">
        <f t="shared" si="27"/>
        <v>0</v>
      </c>
    </row>
    <row r="259" spans="1:6" ht="15" customHeight="1">
      <c r="A259" s="96" t="str">
        <f>DONATEURS!A82</f>
        <v/>
      </c>
      <c r="B259" s="96">
        <f>DONATEURS!B82</f>
        <v>0</v>
      </c>
      <c r="C259" s="100">
        <f>IF($A259="",0,SUMIF(tbl_Budget[ID Donateur],$A259,tbl_Budget[Montant prevu (FCFA)]))</f>
        <v>0</v>
      </c>
      <c r="D259" s="100">
        <f>IF($A259="",0,SUMIF(tbl_Budget[ID Donateur],$A259,tbl_Budget[Montant engage (FCFA)]))</f>
        <v>0</v>
      </c>
      <c r="E259" s="100">
        <f>IF($A259="",0,SUMIF(tbl_Budget[ID Donateur],$A259,tbl_Budget[Depenses realisees (FCFA)]))</f>
        <v>0</v>
      </c>
      <c r="F259" s="100">
        <f t="shared" si="27"/>
        <v>0</v>
      </c>
    </row>
    <row r="260" spans="1:6" ht="15" customHeight="1">
      <c r="A260" s="96" t="str">
        <f>DONATEURS!A83</f>
        <v/>
      </c>
      <c r="B260" s="96">
        <f>DONATEURS!B83</f>
        <v>0</v>
      </c>
      <c r="C260" s="100">
        <f>IF($A260="",0,SUMIF(tbl_Budget[ID Donateur],$A260,tbl_Budget[Montant prevu (FCFA)]))</f>
        <v>0</v>
      </c>
      <c r="D260" s="100">
        <f>IF($A260="",0,SUMIF(tbl_Budget[ID Donateur],$A260,tbl_Budget[Montant engage (FCFA)]))</f>
        <v>0</v>
      </c>
      <c r="E260" s="100">
        <f>IF($A260="",0,SUMIF(tbl_Budget[ID Donateur],$A260,tbl_Budget[Depenses realisees (FCFA)]))</f>
        <v>0</v>
      </c>
      <c r="F260" s="100">
        <f t="shared" si="27"/>
        <v>0</v>
      </c>
    </row>
    <row r="261" spans="1:6" ht="15" customHeight="1">
      <c r="A261" s="96" t="str">
        <f>DONATEURS!A84</f>
        <v/>
      </c>
      <c r="B261" s="96">
        <f>DONATEURS!B84</f>
        <v>0</v>
      </c>
      <c r="C261" s="100">
        <f>IF($A261="",0,SUMIF(tbl_Budget[ID Donateur],$A261,tbl_Budget[Montant prevu (FCFA)]))</f>
        <v>0</v>
      </c>
      <c r="D261" s="100">
        <f>IF($A261="",0,SUMIF(tbl_Budget[ID Donateur],$A261,tbl_Budget[Montant engage (FCFA)]))</f>
        <v>0</v>
      </c>
      <c r="E261" s="100">
        <f>IF($A261="",0,SUMIF(tbl_Budget[ID Donateur],$A261,tbl_Budget[Depenses realisees (FCFA)]))</f>
        <v>0</v>
      </c>
      <c r="F261" s="100">
        <f t="shared" si="27"/>
        <v>0</v>
      </c>
    </row>
    <row r="262" spans="1:6" ht="15" customHeight="1">
      <c r="A262" s="96" t="str">
        <f>DONATEURS!A85</f>
        <v/>
      </c>
      <c r="B262" s="96">
        <f>DONATEURS!B85</f>
        <v>0</v>
      </c>
      <c r="C262" s="100">
        <f>IF($A262="",0,SUMIF(tbl_Budget[ID Donateur],$A262,tbl_Budget[Montant prevu (FCFA)]))</f>
        <v>0</v>
      </c>
      <c r="D262" s="100">
        <f>IF($A262="",0,SUMIF(tbl_Budget[ID Donateur],$A262,tbl_Budget[Montant engage (FCFA)]))</f>
        <v>0</v>
      </c>
      <c r="E262" s="100">
        <f>IF($A262="",0,SUMIF(tbl_Budget[ID Donateur],$A262,tbl_Budget[Depenses realisees (FCFA)]))</f>
        <v>0</v>
      </c>
      <c r="F262" s="100">
        <f t="shared" si="27"/>
        <v>0</v>
      </c>
    </row>
    <row r="263" spans="1:6" ht="15" customHeight="1">
      <c r="A263" s="96" t="str">
        <f>DONATEURS!A86</f>
        <v/>
      </c>
      <c r="B263" s="96">
        <f>DONATEURS!B86</f>
        <v>0</v>
      </c>
      <c r="C263" s="100">
        <f>IF($A263="",0,SUMIF(tbl_Budget[ID Donateur],$A263,tbl_Budget[Montant prevu (FCFA)]))</f>
        <v>0</v>
      </c>
      <c r="D263" s="100">
        <f>IF($A263="",0,SUMIF(tbl_Budget[ID Donateur],$A263,tbl_Budget[Montant engage (FCFA)]))</f>
        <v>0</v>
      </c>
      <c r="E263" s="100">
        <f>IF($A263="",0,SUMIF(tbl_Budget[ID Donateur],$A263,tbl_Budget[Depenses realisees (FCFA)]))</f>
        <v>0</v>
      </c>
      <c r="F263" s="100">
        <f t="shared" si="27"/>
        <v>0</v>
      </c>
    </row>
    <row r="264" spans="1:6" ht="15" customHeight="1">
      <c r="A264" s="96" t="str">
        <f>DONATEURS!A87</f>
        <v/>
      </c>
      <c r="B264" s="96">
        <f>DONATEURS!B87</f>
        <v>0</v>
      </c>
      <c r="C264" s="100">
        <f>IF($A264="",0,SUMIF(tbl_Budget[ID Donateur],$A264,tbl_Budget[Montant prevu (FCFA)]))</f>
        <v>0</v>
      </c>
      <c r="D264" s="100">
        <f>IF($A264="",0,SUMIF(tbl_Budget[ID Donateur],$A264,tbl_Budget[Montant engage (FCFA)]))</f>
        <v>0</v>
      </c>
      <c r="E264" s="100">
        <f>IF($A264="",0,SUMIF(tbl_Budget[ID Donateur],$A264,tbl_Budget[Depenses realisees (FCFA)]))</f>
        <v>0</v>
      </c>
      <c r="F264" s="100">
        <f t="shared" si="27"/>
        <v>0</v>
      </c>
    </row>
    <row r="265" spans="1:6" ht="15" customHeight="1">
      <c r="A265" s="96" t="str">
        <f>DONATEURS!A88</f>
        <v/>
      </c>
      <c r="B265" s="96">
        <f>DONATEURS!B88</f>
        <v>0</v>
      </c>
      <c r="C265" s="100">
        <f>IF($A265="",0,SUMIF(tbl_Budget[ID Donateur],$A265,tbl_Budget[Montant prevu (FCFA)]))</f>
        <v>0</v>
      </c>
      <c r="D265" s="100">
        <f>IF($A265="",0,SUMIF(tbl_Budget[ID Donateur],$A265,tbl_Budget[Montant engage (FCFA)]))</f>
        <v>0</v>
      </c>
      <c r="E265" s="100">
        <f>IF($A265="",0,SUMIF(tbl_Budget[ID Donateur],$A265,tbl_Budget[Depenses realisees (FCFA)]))</f>
        <v>0</v>
      </c>
      <c r="F265" s="100">
        <f t="shared" ref="F265:F282" si="28">$C265-$E265</f>
        <v>0</v>
      </c>
    </row>
    <row r="266" spans="1:6" ht="15" customHeight="1">
      <c r="A266" s="96" t="str">
        <f>DONATEURS!A89</f>
        <v/>
      </c>
      <c r="B266" s="96">
        <f>DONATEURS!B89</f>
        <v>0</v>
      </c>
      <c r="C266" s="100">
        <f>IF($A266="",0,SUMIF(tbl_Budget[ID Donateur],$A266,tbl_Budget[Montant prevu (FCFA)]))</f>
        <v>0</v>
      </c>
      <c r="D266" s="100">
        <f>IF($A266="",0,SUMIF(tbl_Budget[ID Donateur],$A266,tbl_Budget[Montant engage (FCFA)]))</f>
        <v>0</v>
      </c>
      <c r="E266" s="100">
        <f>IF($A266="",0,SUMIF(tbl_Budget[ID Donateur],$A266,tbl_Budget[Depenses realisees (FCFA)]))</f>
        <v>0</v>
      </c>
      <c r="F266" s="100">
        <f t="shared" si="28"/>
        <v>0</v>
      </c>
    </row>
    <row r="267" spans="1:6" ht="15" customHeight="1">
      <c r="A267" s="96" t="str">
        <f>DONATEURS!A90</f>
        <v/>
      </c>
      <c r="B267" s="96">
        <f>DONATEURS!B90</f>
        <v>0</v>
      </c>
      <c r="C267" s="100">
        <f>IF($A267="",0,SUMIF(tbl_Budget[ID Donateur],$A267,tbl_Budget[Montant prevu (FCFA)]))</f>
        <v>0</v>
      </c>
      <c r="D267" s="100">
        <f>IF($A267="",0,SUMIF(tbl_Budget[ID Donateur],$A267,tbl_Budget[Montant engage (FCFA)]))</f>
        <v>0</v>
      </c>
      <c r="E267" s="100">
        <f>IF($A267="",0,SUMIF(tbl_Budget[ID Donateur],$A267,tbl_Budget[Depenses realisees (FCFA)]))</f>
        <v>0</v>
      </c>
      <c r="F267" s="100">
        <f t="shared" si="28"/>
        <v>0</v>
      </c>
    </row>
    <row r="268" spans="1:6" ht="15" customHeight="1">
      <c r="A268" s="96" t="str">
        <f>DONATEURS!A91</f>
        <v/>
      </c>
      <c r="B268" s="96">
        <f>DONATEURS!B91</f>
        <v>0</v>
      </c>
      <c r="C268" s="100">
        <f>IF($A268="",0,SUMIF(tbl_Budget[ID Donateur],$A268,tbl_Budget[Montant prevu (FCFA)]))</f>
        <v>0</v>
      </c>
      <c r="D268" s="100">
        <f>IF($A268="",0,SUMIF(tbl_Budget[ID Donateur],$A268,tbl_Budget[Montant engage (FCFA)]))</f>
        <v>0</v>
      </c>
      <c r="E268" s="100">
        <f>IF($A268="",0,SUMIF(tbl_Budget[ID Donateur],$A268,tbl_Budget[Depenses realisees (FCFA)]))</f>
        <v>0</v>
      </c>
      <c r="F268" s="100">
        <f t="shared" si="28"/>
        <v>0</v>
      </c>
    </row>
    <row r="269" spans="1:6" ht="15" customHeight="1">
      <c r="A269" s="96" t="str">
        <f>DONATEURS!A92</f>
        <v/>
      </c>
      <c r="B269" s="96">
        <f>DONATEURS!B92</f>
        <v>0</v>
      </c>
      <c r="C269" s="100">
        <f>IF($A269="",0,SUMIF(tbl_Budget[ID Donateur],$A269,tbl_Budget[Montant prevu (FCFA)]))</f>
        <v>0</v>
      </c>
      <c r="D269" s="100">
        <f>IF($A269="",0,SUMIF(tbl_Budget[ID Donateur],$A269,tbl_Budget[Montant engage (FCFA)]))</f>
        <v>0</v>
      </c>
      <c r="E269" s="100">
        <f>IF($A269="",0,SUMIF(tbl_Budget[ID Donateur],$A269,tbl_Budget[Depenses realisees (FCFA)]))</f>
        <v>0</v>
      </c>
      <c r="F269" s="100">
        <f t="shared" si="28"/>
        <v>0</v>
      </c>
    </row>
    <row r="270" spans="1:6" ht="15" customHeight="1">
      <c r="A270" s="96" t="str">
        <f>DONATEURS!A93</f>
        <v/>
      </c>
      <c r="B270" s="96">
        <f>DONATEURS!B93</f>
        <v>0</v>
      </c>
      <c r="C270" s="100">
        <f>IF($A270="",0,SUMIF(tbl_Budget[ID Donateur],$A270,tbl_Budget[Montant prevu (FCFA)]))</f>
        <v>0</v>
      </c>
      <c r="D270" s="100">
        <f>IF($A270="",0,SUMIF(tbl_Budget[ID Donateur],$A270,tbl_Budget[Montant engage (FCFA)]))</f>
        <v>0</v>
      </c>
      <c r="E270" s="100">
        <f>IF($A270="",0,SUMIF(tbl_Budget[ID Donateur],$A270,tbl_Budget[Depenses realisees (FCFA)]))</f>
        <v>0</v>
      </c>
      <c r="F270" s="100">
        <f t="shared" si="28"/>
        <v>0</v>
      </c>
    </row>
    <row r="271" spans="1:6" ht="15" customHeight="1">
      <c r="A271" s="96" t="str">
        <f>DONATEURS!A94</f>
        <v/>
      </c>
      <c r="B271" s="96">
        <f>DONATEURS!B94</f>
        <v>0</v>
      </c>
      <c r="C271" s="100">
        <f>IF($A271="",0,SUMIF(tbl_Budget[ID Donateur],$A271,tbl_Budget[Montant prevu (FCFA)]))</f>
        <v>0</v>
      </c>
      <c r="D271" s="100">
        <f>IF($A271="",0,SUMIF(tbl_Budget[ID Donateur],$A271,tbl_Budget[Montant engage (FCFA)]))</f>
        <v>0</v>
      </c>
      <c r="E271" s="100">
        <f>IF($A271="",0,SUMIF(tbl_Budget[ID Donateur],$A271,tbl_Budget[Depenses realisees (FCFA)]))</f>
        <v>0</v>
      </c>
      <c r="F271" s="100">
        <f t="shared" si="28"/>
        <v>0</v>
      </c>
    </row>
    <row r="272" spans="1:6" ht="15" customHeight="1">
      <c r="A272" s="96" t="str">
        <f>DONATEURS!A95</f>
        <v/>
      </c>
      <c r="B272" s="96">
        <f>DONATEURS!B95</f>
        <v>0</v>
      </c>
      <c r="C272" s="100">
        <f>IF($A272="",0,SUMIF(tbl_Budget[ID Donateur],$A272,tbl_Budget[Montant prevu (FCFA)]))</f>
        <v>0</v>
      </c>
      <c r="D272" s="100">
        <f>IF($A272="",0,SUMIF(tbl_Budget[ID Donateur],$A272,tbl_Budget[Montant engage (FCFA)]))</f>
        <v>0</v>
      </c>
      <c r="E272" s="100">
        <f>IF($A272="",0,SUMIF(tbl_Budget[ID Donateur],$A272,tbl_Budget[Depenses realisees (FCFA)]))</f>
        <v>0</v>
      </c>
      <c r="F272" s="100">
        <f t="shared" si="28"/>
        <v>0</v>
      </c>
    </row>
    <row r="273" spans="1:6" ht="15" customHeight="1">
      <c r="A273" s="96" t="str">
        <f>DONATEURS!A96</f>
        <v/>
      </c>
      <c r="B273" s="96">
        <f>DONATEURS!B96</f>
        <v>0</v>
      </c>
      <c r="C273" s="100">
        <f>IF($A273="",0,SUMIF(tbl_Budget[ID Donateur],$A273,tbl_Budget[Montant prevu (FCFA)]))</f>
        <v>0</v>
      </c>
      <c r="D273" s="100">
        <f>IF($A273="",0,SUMIF(tbl_Budget[ID Donateur],$A273,tbl_Budget[Montant engage (FCFA)]))</f>
        <v>0</v>
      </c>
      <c r="E273" s="100">
        <f>IF($A273="",0,SUMIF(tbl_Budget[ID Donateur],$A273,tbl_Budget[Depenses realisees (FCFA)]))</f>
        <v>0</v>
      </c>
      <c r="F273" s="100">
        <f t="shared" si="28"/>
        <v>0</v>
      </c>
    </row>
    <row r="274" spans="1:6" ht="15" customHeight="1">
      <c r="A274" s="96" t="str">
        <f>DONATEURS!A97</f>
        <v/>
      </c>
      <c r="B274" s="96">
        <f>DONATEURS!B97</f>
        <v>0</v>
      </c>
      <c r="C274" s="100">
        <f>IF($A274="",0,SUMIF(tbl_Budget[ID Donateur],$A274,tbl_Budget[Montant prevu (FCFA)]))</f>
        <v>0</v>
      </c>
      <c r="D274" s="100">
        <f>IF($A274="",0,SUMIF(tbl_Budget[ID Donateur],$A274,tbl_Budget[Montant engage (FCFA)]))</f>
        <v>0</v>
      </c>
      <c r="E274" s="100">
        <f>IF($A274="",0,SUMIF(tbl_Budget[ID Donateur],$A274,tbl_Budget[Depenses realisees (FCFA)]))</f>
        <v>0</v>
      </c>
      <c r="F274" s="100">
        <f t="shared" si="28"/>
        <v>0</v>
      </c>
    </row>
    <row r="275" spans="1:6" ht="15" customHeight="1">
      <c r="A275" s="96" t="str">
        <f>DONATEURS!A98</f>
        <v/>
      </c>
      <c r="B275" s="96">
        <f>DONATEURS!B98</f>
        <v>0</v>
      </c>
      <c r="C275" s="100">
        <f>IF($A275="",0,SUMIF(tbl_Budget[ID Donateur],$A275,tbl_Budget[Montant prevu (FCFA)]))</f>
        <v>0</v>
      </c>
      <c r="D275" s="100">
        <f>IF($A275="",0,SUMIF(tbl_Budget[ID Donateur],$A275,tbl_Budget[Montant engage (FCFA)]))</f>
        <v>0</v>
      </c>
      <c r="E275" s="100">
        <f>IF($A275="",0,SUMIF(tbl_Budget[ID Donateur],$A275,tbl_Budget[Depenses realisees (FCFA)]))</f>
        <v>0</v>
      </c>
      <c r="F275" s="100">
        <f t="shared" si="28"/>
        <v>0</v>
      </c>
    </row>
    <row r="276" spans="1:6" ht="15" customHeight="1">
      <c r="A276" s="96" t="str">
        <f>DONATEURS!A99</f>
        <v/>
      </c>
      <c r="B276" s="96">
        <f>DONATEURS!B99</f>
        <v>0</v>
      </c>
      <c r="C276" s="100">
        <f>IF($A276="",0,SUMIF(tbl_Budget[ID Donateur],$A276,tbl_Budget[Montant prevu (FCFA)]))</f>
        <v>0</v>
      </c>
      <c r="D276" s="100">
        <f>IF($A276="",0,SUMIF(tbl_Budget[ID Donateur],$A276,tbl_Budget[Montant engage (FCFA)]))</f>
        <v>0</v>
      </c>
      <c r="E276" s="100">
        <f>IF($A276="",0,SUMIF(tbl_Budget[ID Donateur],$A276,tbl_Budget[Depenses realisees (FCFA)]))</f>
        <v>0</v>
      </c>
      <c r="F276" s="100">
        <f t="shared" si="28"/>
        <v>0</v>
      </c>
    </row>
    <row r="277" spans="1:6" ht="15" customHeight="1">
      <c r="A277" s="96" t="str">
        <f>DONATEURS!A100</f>
        <v/>
      </c>
      <c r="B277" s="96">
        <f>DONATEURS!B100</f>
        <v>0</v>
      </c>
      <c r="C277" s="100">
        <f>IF($A277="",0,SUMIF(tbl_Budget[ID Donateur],$A277,tbl_Budget[Montant prevu (FCFA)]))</f>
        <v>0</v>
      </c>
      <c r="D277" s="100">
        <f>IF($A277="",0,SUMIF(tbl_Budget[ID Donateur],$A277,tbl_Budget[Montant engage (FCFA)]))</f>
        <v>0</v>
      </c>
      <c r="E277" s="100">
        <f>IF($A277="",0,SUMIF(tbl_Budget[ID Donateur],$A277,tbl_Budget[Depenses realisees (FCFA)]))</f>
        <v>0</v>
      </c>
      <c r="F277" s="100">
        <f t="shared" si="28"/>
        <v>0</v>
      </c>
    </row>
    <row r="278" spans="1:6" ht="15" customHeight="1">
      <c r="A278" s="96" t="str">
        <f>DONATEURS!A101</f>
        <v/>
      </c>
      <c r="B278" s="96">
        <f>DONATEURS!B101</f>
        <v>0</v>
      </c>
      <c r="C278" s="100">
        <f>IF($A278="",0,SUMIF(tbl_Budget[ID Donateur],$A278,tbl_Budget[Montant prevu (FCFA)]))</f>
        <v>0</v>
      </c>
      <c r="D278" s="100">
        <f>IF($A278="",0,SUMIF(tbl_Budget[ID Donateur],$A278,tbl_Budget[Montant engage (FCFA)]))</f>
        <v>0</v>
      </c>
      <c r="E278" s="100">
        <f>IF($A278="",0,SUMIF(tbl_Budget[ID Donateur],$A278,tbl_Budget[Depenses realisees (FCFA)]))</f>
        <v>0</v>
      </c>
      <c r="F278" s="100">
        <f t="shared" si="28"/>
        <v>0</v>
      </c>
    </row>
    <row r="279" spans="1:6" ht="15" customHeight="1">
      <c r="A279" s="96" t="str">
        <f>DONATEURS!A102</f>
        <v/>
      </c>
      <c r="B279" s="96">
        <f>DONATEURS!B102</f>
        <v>0</v>
      </c>
      <c r="C279" s="100">
        <f>IF($A279="",0,SUMIF(tbl_Budget[ID Donateur],$A279,tbl_Budget[Montant prevu (FCFA)]))</f>
        <v>0</v>
      </c>
      <c r="D279" s="100">
        <f>IF($A279="",0,SUMIF(tbl_Budget[ID Donateur],$A279,tbl_Budget[Montant engage (FCFA)]))</f>
        <v>0</v>
      </c>
      <c r="E279" s="100">
        <f>IF($A279="",0,SUMIF(tbl_Budget[ID Donateur],$A279,tbl_Budget[Depenses realisees (FCFA)]))</f>
        <v>0</v>
      </c>
      <c r="F279" s="100">
        <f t="shared" si="28"/>
        <v>0</v>
      </c>
    </row>
    <row r="280" spans="1:6" ht="15" customHeight="1">
      <c r="A280" s="96" t="str">
        <f>DONATEURS!A103</f>
        <v/>
      </c>
      <c r="B280" s="96">
        <f>DONATEURS!B103</f>
        <v>0</v>
      </c>
      <c r="C280" s="100">
        <f>IF($A280="",0,SUMIF(tbl_Budget[ID Donateur],$A280,tbl_Budget[Montant prevu (FCFA)]))</f>
        <v>0</v>
      </c>
      <c r="D280" s="100">
        <f>IF($A280="",0,SUMIF(tbl_Budget[ID Donateur],$A280,tbl_Budget[Montant engage (FCFA)]))</f>
        <v>0</v>
      </c>
      <c r="E280" s="100">
        <f>IF($A280="",0,SUMIF(tbl_Budget[ID Donateur],$A280,tbl_Budget[Depenses realisees (FCFA)]))</f>
        <v>0</v>
      </c>
      <c r="F280" s="100">
        <f t="shared" si="28"/>
        <v>0</v>
      </c>
    </row>
    <row r="281" spans="1:6" ht="15" customHeight="1">
      <c r="A281" s="96" t="str">
        <f>DONATEURS!A104</f>
        <v/>
      </c>
      <c r="B281" s="96">
        <f>DONATEURS!B104</f>
        <v>0</v>
      </c>
      <c r="C281" s="100">
        <f>IF($A281="",0,SUMIF(tbl_Budget[ID Donateur],$A281,tbl_Budget[Montant prevu (FCFA)]))</f>
        <v>0</v>
      </c>
      <c r="D281" s="100">
        <f>IF($A281="",0,SUMIF(tbl_Budget[ID Donateur],$A281,tbl_Budget[Montant engage (FCFA)]))</f>
        <v>0</v>
      </c>
      <c r="E281" s="100">
        <f>IF($A281="",0,SUMIF(tbl_Budget[ID Donateur],$A281,tbl_Budget[Depenses realisees (FCFA)]))</f>
        <v>0</v>
      </c>
      <c r="F281" s="100">
        <f t="shared" si="28"/>
        <v>0</v>
      </c>
    </row>
    <row r="282" spans="1:6" ht="15" customHeight="1">
      <c r="A282" s="96" t="str">
        <f>DONATEURS!A105</f>
        <v/>
      </c>
      <c r="B282" s="96">
        <f>DONATEURS!B105</f>
        <v>0</v>
      </c>
      <c r="C282" s="100">
        <f>IF($A282="",0,SUMIF(tbl_Budget[ID Donateur],$A282,tbl_Budget[Montant prevu (FCFA)]))</f>
        <v>0</v>
      </c>
      <c r="D282" s="100">
        <f>IF($A282="",0,SUMIF(tbl_Budget[ID Donateur],$A282,tbl_Budget[Montant engage (FCFA)]))</f>
        <v>0</v>
      </c>
      <c r="E282" s="100">
        <f>IF($A282="",0,SUMIF(tbl_Budget[ID Donateur],$A282,tbl_Budget[Depenses realisees (FCFA)]))</f>
        <v>0</v>
      </c>
      <c r="F282" s="100">
        <f t="shared" si="28"/>
        <v>0</v>
      </c>
    </row>
    <row r="284" spans="1:6" ht="19.5" customHeight="1">
      <c r="A284" s="299" t="s">
        <v>2147</v>
      </c>
      <c r="B284" s="262"/>
      <c r="C284" s="262"/>
      <c r="D284" s="262"/>
      <c r="E284" s="262"/>
    </row>
    <row r="285" spans="1:6" ht="25.5" customHeight="1">
      <c r="A285" s="9" t="s">
        <v>2148</v>
      </c>
      <c r="B285" s="9" t="s">
        <v>2109</v>
      </c>
      <c r="C285" s="9" t="s">
        <v>2149</v>
      </c>
      <c r="D285" s="9" t="s">
        <v>1677</v>
      </c>
      <c r="E285" s="9" t="s">
        <v>2078</v>
      </c>
    </row>
    <row r="286" spans="1:6" ht="15" customHeight="1">
      <c r="A286" s="11" t="s">
        <v>2150</v>
      </c>
      <c r="B286" s="99"/>
      <c r="C286" s="99"/>
      <c r="D286" s="100">
        <f t="shared" ref="D286:D298" si="29">$B286-$C286</f>
        <v>0</v>
      </c>
      <c r="E286" s="101">
        <f t="shared" ref="E286:E298" si="30">IF($B286=0,0,$C286/$B286)</f>
        <v>0</v>
      </c>
    </row>
    <row r="287" spans="1:6" ht="15" customHeight="1">
      <c r="A287" s="11" t="s">
        <v>2151</v>
      </c>
      <c r="B287" s="99"/>
      <c r="C287" s="99"/>
      <c r="D287" s="100">
        <f t="shared" si="29"/>
        <v>0</v>
      </c>
      <c r="E287" s="101">
        <f t="shared" si="30"/>
        <v>0</v>
      </c>
    </row>
    <row r="288" spans="1:6" ht="15" customHeight="1">
      <c r="A288" s="11" t="s">
        <v>2152</v>
      </c>
      <c r="B288" s="99"/>
      <c r="C288" s="99"/>
      <c r="D288" s="100">
        <f t="shared" si="29"/>
        <v>0</v>
      </c>
      <c r="E288" s="101">
        <f t="shared" si="30"/>
        <v>0</v>
      </c>
    </row>
    <row r="289" spans="1:9" ht="15" customHeight="1">
      <c r="A289" s="11" t="s">
        <v>2153</v>
      </c>
      <c r="B289" s="99"/>
      <c r="C289" s="99"/>
      <c r="D289" s="100">
        <f t="shared" si="29"/>
        <v>0</v>
      </c>
      <c r="E289" s="101">
        <f t="shared" si="30"/>
        <v>0</v>
      </c>
    </row>
    <row r="290" spans="1:9" ht="15" customHeight="1">
      <c r="A290" s="11" t="s">
        <v>657</v>
      </c>
      <c r="B290" s="99"/>
      <c r="C290" s="99"/>
      <c r="D290" s="100">
        <f t="shared" si="29"/>
        <v>0</v>
      </c>
      <c r="E290" s="101">
        <f t="shared" si="30"/>
        <v>0</v>
      </c>
    </row>
    <row r="291" spans="1:9" ht="21.75" customHeight="1">
      <c r="A291" s="11" t="s">
        <v>2154</v>
      </c>
      <c r="B291" s="99"/>
      <c r="C291" s="99"/>
      <c r="D291" s="100">
        <f t="shared" si="29"/>
        <v>0</v>
      </c>
      <c r="E291" s="101">
        <f t="shared" si="30"/>
        <v>0</v>
      </c>
    </row>
    <row r="292" spans="1:9" ht="15" customHeight="1">
      <c r="A292" s="11" t="s">
        <v>631</v>
      </c>
      <c r="B292" s="99"/>
      <c r="C292" s="99"/>
      <c r="D292" s="100">
        <f t="shared" si="29"/>
        <v>0</v>
      </c>
      <c r="E292" s="101">
        <f t="shared" si="30"/>
        <v>0</v>
      </c>
    </row>
    <row r="293" spans="1:9" ht="15" customHeight="1">
      <c r="A293" s="11" t="s">
        <v>643</v>
      </c>
      <c r="B293" s="99"/>
      <c r="C293" s="99"/>
      <c r="D293" s="100">
        <f t="shared" si="29"/>
        <v>0</v>
      </c>
      <c r="E293" s="101">
        <f t="shared" si="30"/>
        <v>0</v>
      </c>
    </row>
    <row r="294" spans="1:9" ht="15" customHeight="1">
      <c r="A294" s="11" t="s">
        <v>672</v>
      </c>
      <c r="B294" s="99"/>
      <c r="C294" s="99"/>
      <c r="D294" s="100">
        <f t="shared" si="29"/>
        <v>0</v>
      </c>
      <c r="E294" s="101">
        <f t="shared" si="30"/>
        <v>0</v>
      </c>
    </row>
    <row r="295" spans="1:9" ht="15" customHeight="1">
      <c r="A295" s="11" t="s">
        <v>670</v>
      </c>
      <c r="B295" s="99"/>
      <c r="C295" s="99"/>
      <c r="D295" s="100">
        <f t="shared" si="29"/>
        <v>0</v>
      </c>
      <c r="E295" s="101">
        <f t="shared" si="30"/>
        <v>0</v>
      </c>
    </row>
    <row r="296" spans="1:9" ht="15" customHeight="1">
      <c r="A296" s="11" t="s">
        <v>439</v>
      </c>
      <c r="B296" s="99"/>
      <c r="C296" s="99"/>
      <c r="D296" s="100">
        <f t="shared" si="29"/>
        <v>0</v>
      </c>
      <c r="E296" s="101">
        <f t="shared" si="30"/>
        <v>0</v>
      </c>
    </row>
    <row r="297" spans="1:9" ht="21.75" customHeight="1">
      <c r="A297" s="11" t="s">
        <v>2155</v>
      </c>
      <c r="B297" s="99"/>
      <c r="C297" s="99"/>
      <c r="D297" s="100">
        <f t="shared" si="29"/>
        <v>0</v>
      </c>
      <c r="E297" s="101">
        <f t="shared" si="30"/>
        <v>0</v>
      </c>
    </row>
    <row r="298" spans="1:9" ht="15" customHeight="1">
      <c r="A298" s="11" t="s">
        <v>2156</v>
      </c>
      <c r="B298" s="99"/>
      <c r="C298" s="99"/>
      <c r="D298" s="100">
        <f t="shared" si="29"/>
        <v>0</v>
      </c>
      <c r="E298" s="101">
        <f t="shared" si="30"/>
        <v>0</v>
      </c>
    </row>
    <row r="300" spans="1:9" ht="19.5" customHeight="1">
      <c r="A300" s="299" t="s">
        <v>2157</v>
      </c>
      <c r="B300" s="262"/>
      <c r="C300" s="262"/>
      <c r="D300" s="262"/>
      <c r="E300" s="262"/>
      <c r="F300" s="262"/>
      <c r="G300" s="262"/>
      <c r="H300" s="262"/>
      <c r="I300" s="262"/>
    </row>
    <row r="301" spans="1:9" ht="25.5" customHeight="1">
      <c r="A301" s="9" t="s">
        <v>2158</v>
      </c>
      <c r="B301" s="9" t="s">
        <v>2159</v>
      </c>
      <c r="C301" s="9" t="s">
        <v>1630</v>
      </c>
      <c r="D301" s="9" t="s">
        <v>2108</v>
      </c>
      <c r="E301" s="9" t="s">
        <v>2052</v>
      </c>
      <c r="F301" s="9" t="s">
        <v>1648</v>
      </c>
      <c r="G301" s="9" t="s">
        <v>1745</v>
      </c>
      <c r="H301" s="9" t="s">
        <v>175</v>
      </c>
      <c r="I301" s="9" t="s">
        <v>1611</v>
      </c>
    </row>
    <row r="302" spans="1:9" ht="15" customHeight="1">
      <c r="A302" s="96" t="str">
        <f t="shared" ref="A302:A321" si="31">IF($B302="","","INV"&amp;TEXT(ROW()-301,"0000"))</f>
        <v/>
      </c>
      <c r="B302" s="97"/>
      <c r="C302" s="99"/>
      <c r="D302" s="99"/>
      <c r="E302" s="100">
        <f t="shared" ref="E302:E321" si="32">IF(OR($C302="",$D302=""),0,$C302*$D302)</f>
        <v>0</v>
      </c>
      <c r="F302" s="97"/>
      <c r="G302" s="98"/>
      <c r="H302" s="97"/>
      <c r="I302" s="97"/>
    </row>
    <row r="303" spans="1:9" ht="15" customHeight="1">
      <c r="A303" s="96" t="str">
        <f t="shared" si="31"/>
        <v/>
      </c>
      <c r="B303" s="97"/>
      <c r="C303" s="99"/>
      <c r="D303" s="99"/>
      <c r="E303" s="100">
        <f t="shared" si="32"/>
        <v>0</v>
      </c>
      <c r="F303" s="97"/>
      <c r="G303" s="98"/>
      <c r="H303" s="97"/>
      <c r="I303" s="97"/>
    </row>
    <row r="304" spans="1:9" ht="15" customHeight="1">
      <c r="A304" s="96" t="str">
        <f t="shared" si="31"/>
        <v/>
      </c>
      <c r="B304" s="97"/>
      <c r="C304" s="99"/>
      <c r="D304" s="99"/>
      <c r="E304" s="100">
        <f t="shared" si="32"/>
        <v>0</v>
      </c>
      <c r="F304" s="97"/>
      <c r="G304" s="98"/>
      <c r="H304" s="97"/>
      <c r="I304" s="97"/>
    </row>
    <row r="305" spans="1:9" ht="15" customHeight="1">
      <c r="A305" s="96" t="str">
        <f t="shared" si="31"/>
        <v/>
      </c>
      <c r="B305" s="97"/>
      <c r="C305" s="99"/>
      <c r="D305" s="99"/>
      <c r="E305" s="100">
        <f t="shared" si="32"/>
        <v>0</v>
      </c>
      <c r="F305" s="97"/>
      <c r="G305" s="98"/>
      <c r="H305" s="97"/>
      <c r="I305" s="97"/>
    </row>
    <row r="306" spans="1:9" ht="15" customHeight="1">
      <c r="A306" s="96" t="str">
        <f t="shared" si="31"/>
        <v/>
      </c>
      <c r="B306" s="97"/>
      <c r="C306" s="99"/>
      <c r="D306" s="99"/>
      <c r="E306" s="100">
        <f t="shared" si="32"/>
        <v>0</v>
      </c>
      <c r="F306" s="97"/>
      <c r="G306" s="98"/>
      <c r="H306" s="97"/>
      <c r="I306" s="97"/>
    </row>
    <row r="307" spans="1:9" ht="15" customHeight="1">
      <c r="A307" s="96" t="str">
        <f t="shared" si="31"/>
        <v/>
      </c>
      <c r="B307" s="97"/>
      <c r="C307" s="99"/>
      <c r="D307" s="99"/>
      <c r="E307" s="100">
        <f t="shared" si="32"/>
        <v>0</v>
      </c>
      <c r="F307" s="97"/>
      <c r="G307" s="98"/>
      <c r="H307" s="97"/>
      <c r="I307" s="97"/>
    </row>
    <row r="308" spans="1:9" ht="15" customHeight="1">
      <c r="A308" s="96" t="str">
        <f t="shared" si="31"/>
        <v/>
      </c>
      <c r="B308" s="97"/>
      <c r="C308" s="99"/>
      <c r="D308" s="99"/>
      <c r="E308" s="100">
        <f t="shared" si="32"/>
        <v>0</v>
      </c>
      <c r="F308" s="97"/>
      <c r="G308" s="98"/>
      <c r="H308" s="97"/>
      <c r="I308" s="97"/>
    </row>
    <row r="309" spans="1:9" ht="15" customHeight="1">
      <c r="A309" s="96" t="str">
        <f t="shared" si="31"/>
        <v/>
      </c>
      <c r="B309" s="97"/>
      <c r="C309" s="99"/>
      <c r="D309" s="99"/>
      <c r="E309" s="100">
        <f t="shared" si="32"/>
        <v>0</v>
      </c>
      <c r="F309" s="97"/>
      <c r="G309" s="98"/>
      <c r="H309" s="97"/>
      <c r="I309" s="97"/>
    </row>
    <row r="310" spans="1:9" ht="15" customHeight="1">
      <c r="A310" s="96" t="str">
        <f t="shared" si="31"/>
        <v/>
      </c>
      <c r="B310" s="97"/>
      <c r="C310" s="99"/>
      <c r="D310" s="99"/>
      <c r="E310" s="100">
        <f t="shared" si="32"/>
        <v>0</v>
      </c>
      <c r="F310" s="97"/>
      <c r="G310" s="98"/>
      <c r="H310" s="97"/>
      <c r="I310" s="97"/>
    </row>
    <row r="311" spans="1:9" ht="15" customHeight="1">
      <c r="A311" s="96" t="str">
        <f t="shared" si="31"/>
        <v/>
      </c>
      <c r="B311" s="97"/>
      <c r="C311" s="99"/>
      <c r="D311" s="99"/>
      <c r="E311" s="100">
        <f t="shared" si="32"/>
        <v>0</v>
      </c>
      <c r="F311" s="97"/>
      <c r="G311" s="98"/>
      <c r="H311" s="97"/>
      <c r="I311" s="97"/>
    </row>
    <row r="312" spans="1:9" ht="15" customHeight="1">
      <c r="A312" s="96" t="str">
        <f t="shared" si="31"/>
        <v/>
      </c>
      <c r="B312" s="97"/>
      <c r="C312" s="99"/>
      <c r="D312" s="99"/>
      <c r="E312" s="100">
        <f t="shared" si="32"/>
        <v>0</v>
      </c>
      <c r="F312" s="97"/>
      <c r="G312" s="98"/>
      <c r="H312" s="97"/>
      <c r="I312" s="97"/>
    </row>
    <row r="313" spans="1:9" ht="15" customHeight="1">
      <c r="A313" s="96" t="str">
        <f t="shared" si="31"/>
        <v/>
      </c>
      <c r="B313" s="97"/>
      <c r="C313" s="99"/>
      <c r="D313" s="99"/>
      <c r="E313" s="100">
        <f t="shared" si="32"/>
        <v>0</v>
      </c>
      <c r="F313" s="97"/>
      <c r="G313" s="98"/>
      <c r="H313" s="97"/>
      <c r="I313" s="97"/>
    </row>
    <row r="314" spans="1:9" ht="15" customHeight="1">
      <c r="A314" s="96" t="str">
        <f t="shared" si="31"/>
        <v/>
      </c>
      <c r="B314" s="97"/>
      <c r="C314" s="99"/>
      <c r="D314" s="99"/>
      <c r="E314" s="100">
        <f t="shared" si="32"/>
        <v>0</v>
      </c>
      <c r="F314" s="97"/>
      <c r="G314" s="98"/>
      <c r="H314" s="97"/>
      <c r="I314" s="97"/>
    </row>
    <row r="315" spans="1:9" ht="15" customHeight="1">
      <c r="A315" s="96" t="str">
        <f t="shared" si="31"/>
        <v/>
      </c>
      <c r="B315" s="97"/>
      <c r="C315" s="99"/>
      <c r="D315" s="99"/>
      <c r="E315" s="100">
        <f t="shared" si="32"/>
        <v>0</v>
      </c>
      <c r="F315" s="97"/>
      <c r="G315" s="98"/>
      <c r="H315" s="97"/>
      <c r="I315" s="97"/>
    </row>
    <row r="316" spans="1:9" ht="15" customHeight="1">
      <c r="A316" s="96" t="str">
        <f t="shared" si="31"/>
        <v/>
      </c>
      <c r="B316" s="97"/>
      <c r="C316" s="99"/>
      <c r="D316" s="99"/>
      <c r="E316" s="100">
        <f t="shared" si="32"/>
        <v>0</v>
      </c>
      <c r="F316" s="97"/>
      <c r="G316" s="98"/>
      <c r="H316" s="97"/>
      <c r="I316" s="97"/>
    </row>
    <row r="317" spans="1:9" ht="15" customHeight="1">
      <c r="A317" s="96" t="str">
        <f t="shared" si="31"/>
        <v/>
      </c>
      <c r="B317" s="97"/>
      <c r="C317" s="99"/>
      <c r="D317" s="99"/>
      <c r="E317" s="100">
        <f t="shared" si="32"/>
        <v>0</v>
      </c>
      <c r="F317" s="97"/>
      <c r="G317" s="98"/>
      <c r="H317" s="97"/>
      <c r="I317" s="97"/>
    </row>
    <row r="318" spans="1:9" ht="15" customHeight="1">
      <c r="A318" s="96" t="str">
        <f t="shared" si="31"/>
        <v/>
      </c>
      <c r="B318" s="97"/>
      <c r="C318" s="99"/>
      <c r="D318" s="99"/>
      <c r="E318" s="100">
        <f t="shared" si="32"/>
        <v>0</v>
      </c>
      <c r="F318" s="97"/>
      <c r="G318" s="98"/>
      <c r="H318" s="97"/>
      <c r="I318" s="97"/>
    </row>
    <row r="319" spans="1:9" ht="15" customHeight="1">
      <c r="A319" s="96" t="str">
        <f t="shared" si="31"/>
        <v/>
      </c>
      <c r="B319" s="97"/>
      <c r="C319" s="99"/>
      <c r="D319" s="99"/>
      <c r="E319" s="100">
        <f t="shared" si="32"/>
        <v>0</v>
      </c>
      <c r="F319" s="97"/>
      <c r="G319" s="98"/>
      <c r="H319" s="97"/>
      <c r="I319" s="97"/>
    </row>
    <row r="320" spans="1:9" ht="15" customHeight="1">
      <c r="A320" s="96" t="str">
        <f t="shared" si="31"/>
        <v/>
      </c>
      <c r="B320" s="97"/>
      <c r="C320" s="99"/>
      <c r="D320" s="99"/>
      <c r="E320" s="100">
        <f t="shared" si="32"/>
        <v>0</v>
      </c>
      <c r="F320" s="97"/>
      <c r="G320" s="98"/>
      <c r="H320" s="97"/>
      <c r="I320" s="97"/>
    </row>
    <row r="321" spans="1:9" ht="15" customHeight="1">
      <c r="A321" s="96" t="str">
        <f t="shared" si="31"/>
        <v/>
      </c>
      <c r="B321" s="97"/>
      <c r="C321" s="99"/>
      <c r="D321" s="99"/>
      <c r="E321" s="100">
        <f t="shared" si="32"/>
        <v>0</v>
      </c>
      <c r="F321" s="97"/>
      <c r="G321" s="98"/>
      <c r="H321" s="97"/>
      <c r="I321" s="97"/>
    </row>
    <row r="323" spans="1:9" ht="19.5" customHeight="1">
      <c r="A323" s="299" t="s">
        <v>2160</v>
      </c>
      <c r="B323" s="262"/>
      <c r="C323" s="262"/>
      <c r="D323" s="262"/>
      <c r="E323" s="262"/>
      <c r="F323" s="262"/>
      <c r="G323" s="262"/>
    </row>
    <row r="324" spans="1:9" ht="25.5" customHeight="1">
      <c r="A324" s="9" t="s">
        <v>2100</v>
      </c>
      <c r="B324" s="9" t="s">
        <v>2161</v>
      </c>
      <c r="C324" s="9" t="s">
        <v>2114</v>
      </c>
      <c r="D324" s="9" t="s">
        <v>2162</v>
      </c>
      <c r="E324" s="9" t="s">
        <v>2163</v>
      </c>
      <c r="F324" s="9" t="s">
        <v>2164</v>
      </c>
      <c r="G324" s="9" t="s">
        <v>175</v>
      </c>
    </row>
    <row r="325" spans="1:9" ht="15" customHeight="1">
      <c r="A325" s="97"/>
      <c r="B325" s="97"/>
      <c r="C325" s="98"/>
      <c r="D325" s="99"/>
      <c r="E325" s="97"/>
      <c r="F325" s="97"/>
      <c r="G325" s="97"/>
    </row>
    <row r="326" spans="1:9" ht="15" customHeight="1">
      <c r="A326" s="97"/>
      <c r="B326" s="97"/>
      <c r="C326" s="98"/>
      <c r="D326" s="99"/>
      <c r="E326" s="97"/>
      <c r="F326" s="97"/>
      <c r="G326" s="97"/>
    </row>
    <row r="327" spans="1:9" ht="15" customHeight="1">
      <c r="A327" s="97"/>
      <c r="B327" s="97"/>
      <c r="C327" s="98"/>
      <c r="D327" s="99"/>
      <c r="E327" s="97"/>
      <c r="F327" s="97"/>
      <c r="G327" s="97"/>
    </row>
    <row r="328" spans="1:9" ht="15" customHeight="1">
      <c r="A328" s="97"/>
      <c r="B328" s="97"/>
      <c r="C328" s="98"/>
      <c r="D328" s="99"/>
      <c r="E328" s="97"/>
      <c r="F328" s="97"/>
      <c r="G328" s="97"/>
    </row>
    <row r="329" spans="1:9" ht="15" customHeight="1">
      <c r="A329" s="97"/>
      <c r="B329" s="97"/>
      <c r="C329" s="98"/>
      <c r="D329" s="99"/>
      <c r="E329" s="97"/>
      <c r="F329" s="97"/>
      <c r="G329" s="97"/>
    </row>
    <row r="330" spans="1:9" ht="15" customHeight="1">
      <c r="A330" s="97"/>
      <c r="B330" s="97"/>
      <c r="C330" s="98"/>
      <c r="D330" s="99"/>
      <c r="E330" s="97"/>
      <c r="F330" s="97"/>
      <c r="G330" s="97"/>
    </row>
    <row r="331" spans="1:9" ht="15" customHeight="1">
      <c r="A331" s="97"/>
      <c r="B331" s="97"/>
      <c r="C331" s="98"/>
      <c r="D331" s="99"/>
      <c r="E331" s="97"/>
      <c r="F331" s="97"/>
      <c r="G331" s="97"/>
    </row>
    <row r="332" spans="1:9" ht="15" customHeight="1">
      <c r="A332" s="97"/>
      <c r="B332" s="97"/>
      <c r="C332" s="98"/>
      <c r="D332" s="99"/>
      <c r="E332" s="97"/>
      <c r="F332" s="97"/>
      <c r="G332" s="97"/>
    </row>
    <row r="333" spans="1:9" ht="15" customHeight="1">
      <c r="A333" s="97"/>
      <c r="B333" s="97"/>
      <c r="C333" s="98"/>
      <c r="D333" s="99"/>
      <c r="E333" s="97"/>
      <c r="F333" s="97"/>
      <c r="G333" s="97"/>
    </row>
    <row r="334" spans="1:9" ht="15" customHeight="1">
      <c r="A334" s="97"/>
      <c r="B334" s="97"/>
      <c r="C334" s="98"/>
      <c r="D334" s="99"/>
      <c r="E334" s="97"/>
      <c r="F334" s="97"/>
      <c r="G334" s="97"/>
    </row>
    <row r="335" spans="1:9" ht="15" customHeight="1">
      <c r="A335" s="97"/>
      <c r="B335" s="97"/>
      <c r="C335" s="98"/>
      <c r="D335" s="99"/>
      <c r="E335" s="97"/>
      <c r="F335" s="97"/>
      <c r="G335" s="97"/>
    </row>
    <row r="336" spans="1:9" ht="15" customHeight="1">
      <c r="A336" s="97"/>
      <c r="B336" s="97"/>
      <c r="C336" s="98"/>
      <c r="D336" s="99"/>
      <c r="E336" s="97"/>
      <c r="F336" s="97"/>
      <c r="G336" s="97"/>
    </row>
    <row r="337" spans="1:7" ht="15" customHeight="1">
      <c r="A337" s="97"/>
      <c r="B337" s="97"/>
      <c r="C337" s="98"/>
      <c r="D337" s="99"/>
      <c r="E337" s="97"/>
      <c r="F337" s="97"/>
      <c r="G337" s="97"/>
    </row>
    <row r="338" spans="1:7" ht="15" customHeight="1">
      <c r="A338" s="97"/>
      <c r="B338" s="97"/>
      <c r="C338" s="98"/>
      <c r="D338" s="99"/>
      <c r="E338" s="97"/>
      <c r="F338" s="97"/>
      <c r="G338" s="97"/>
    </row>
    <row r="339" spans="1:7" ht="15" customHeight="1">
      <c r="A339" s="97"/>
      <c r="B339" s="97"/>
      <c r="C339" s="98"/>
      <c r="D339" s="99"/>
      <c r="E339" s="97"/>
      <c r="F339" s="97"/>
      <c r="G339" s="97"/>
    </row>
    <row r="340" spans="1:7" ht="15" customHeight="1">
      <c r="A340" s="97"/>
      <c r="B340" s="97"/>
      <c r="C340" s="98"/>
      <c r="D340" s="99"/>
      <c r="E340" s="97"/>
      <c r="F340" s="97"/>
      <c r="G340" s="97"/>
    </row>
    <row r="341" spans="1:7" ht="15" customHeight="1">
      <c r="A341" s="97"/>
      <c r="B341" s="97"/>
      <c r="C341" s="98"/>
      <c r="D341" s="99"/>
      <c r="E341" s="97"/>
      <c r="F341" s="97"/>
      <c r="G341" s="97"/>
    </row>
    <row r="342" spans="1:7" ht="15" customHeight="1">
      <c r="A342" s="97"/>
      <c r="B342" s="97"/>
      <c r="C342" s="98"/>
      <c r="D342" s="99"/>
      <c r="E342" s="97"/>
      <c r="F342" s="97"/>
      <c r="G342" s="97"/>
    </row>
    <row r="343" spans="1:7" ht="15" customHeight="1">
      <c r="A343" s="97"/>
      <c r="B343" s="97"/>
      <c r="C343" s="98"/>
      <c r="D343" s="99"/>
      <c r="E343" s="97"/>
      <c r="F343" s="97"/>
      <c r="G343" s="97"/>
    </row>
    <row r="344" spans="1:7" ht="15" customHeight="1">
      <c r="A344" s="97"/>
      <c r="B344" s="97"/>
      <c r="C344" s="98"/>
      <c r="D344" s="99"/>
      <c r="E344" s="97"/>
      <c r="F344" s="97"/>
      <c r="G344" s="97"/>
    </row>
    <row r="345" spans="1:7" ht="15" customHeight="1">
      <c r="A345" s="97"/>
      <c r="B345" s="97"/>
      <c r="C345" s="98"/>
      <c r="D345" s="99"/>
      <c r="E345" s="97"/>
      <c r="F345" s="97"/>
      <c r="G345" s="97"/>
    </row>
    <row r="346" spans="1:7" ht="15" customHeight="1">
      <c r="A346" s="97"/>
      <c r="B346" s="97"/>
      <c r="C346" s="98"/>
      <c r="D346" s="99"/>
      <c r="E346" s="97"/>
      <c r="F346" s="97"/>
      <c r="G346" s="97"/>
    </row>
    <row r="347" spans="1:7" ht="15" customHeight="1">
      <c r="A347" s="97"/>
      <c r="B347" s="97"/>
      <c r="C347" s="98"/>
      <c r="D347" s="99"/>
      <c r="E347" s="97"/>
      <c r="F347" s="97"/>
      <c r="G347" s="97"/>
    </row>
    <row r="348" spans="1:7" ht="15" customHeight="1">
      <c r="A348" s="97"/>
      <c r="B348" s="97"/>
      <c r="C348" s="98"/>
      <c r="D348" s="99"/>
      <c r="E348" s="97"/>
      <c r="F348" s="97"/>
      <c r="G348" s="97"/>
    </row>
    <row r="349" spans="1:7" ht="15" customHeight="1">
      <c r="A349" s="97"/>
      <c r="B349" s="97"/>
      <c r="C349" s="98"/>
      <c r="D349" s="99"/>
      <c r="E349" s="97"/>
      <c r="F349" s="97"/>
      <c r="G349" s="97"/>
    </row>
    <row r="350" spans="1:7" ht="15" customHeight="1">
      <c r="A350" s="97"/>
      <c r="B350" s="97"/>
      <c r="C350" s="98"/>
      <c r="D350" s="99"/>
      <c r="E350" s="97"/>
      <c r="F350" s="97"/>
      <c r="G350" s="97"/>
    </row>
    <row r="351" spans="1:7" ht="15" customHeight="1">
      <c r="A351" s="97"/>
      <c r="B351" s="97"/>
      <c r="C351" s="98"/>
      <c r="D351" s="99"/>
      <c r="E351" s="97"/>
      <c r="F351" s="97"/>
      <c r="G351" s="97"/>
    </row>
    <row r="352" spans="1:7" ht="15" customHeight="1">
      <c r="A352" s="97"/>
      <c r="B352" s="97"/>
      <c r="C352" s="98"/>
      <c r="D352" s="99"/>
      <c r="E352" s="97"/>
      <c r="F352" s="97"/>
      <c r="G352" s="97"/>
    </row>
    <row r="353" spans="1:53" ht="15" customHeight="1">
      <c r="A353" s="97"/>
      <c r="B353" s="97"/>
      <c r="C353" s="98"/>
      <c r="D353" s="99"/>
      <c r="E353" s="97"/>
      <c r="F353" s="97"/>
      <c r="G353" s="97"/>
    </row>
    <row r="354" spans="1:53" ht="15" customHeight="1">
      <c r="A354" s="97"/>
      <c r="B354" s="97"/>
      <c r="C354" s="98"/>
      <c r="D354" s="99"/>
      <c r="E354" s="97"/>
      <c r="F354" s="97"/>
      <c r="G354" s="97"/>
    </row>
    <row r="356" spans="1:53" ht="19.5" customHeight="1">
      <c r="A356" s="299" t="s">
        <v>2165</v>
      </c>
      <c r="B356" s="262"/>
    </row>
    <row r="357" spans="1:53" ht="19.5" customHeight="1">
      <c r="A357" s="9" t="s">
        <v>2166</v>
      </c>
      <c r="B357" s="9" t="s">
        <v>9</v>
      </c>
    </row>
    <row r="358" spans="1:53" ht="32.25" customHeight="1">
      <c r="A358" s="102" t="s">
        <v>2167</v>
      </c>
      <c r="B358" s="96">
        <f>COUNTIFS(tbl_Budget[ID Budget],"BUD*",tbl_Budget[Montant approuve (FCFA)],0)</f>
        <v>0</v>
      </c>
    </row>
    <row r="359" spans="1:53" ht="42.75" customHeight="1">
      <c r="A359" s="102" t="s">
        <v>2168</v>
      </c>
      <c r="B359" s="96">
        <f>COUNTIFS(tbl_Budget[Statut alerte],"Depassement")</f>
        <v>0</v>
      </c>
    </row>
    <row r="360" spans="1:53" ht="42.75" customHeight="1">
      <c r="A360" s="102" t="s">
        <v>2169</v>
      </c>
      <c r="B360" s="96">
        <f>COUNTIFS(tbl_Budget[Statut alerte],"Vigilance")</f>
        <v>0</v>
      </c>
    </row>
    <row r="361" spans="1:53" ht="42.75" customHeight="1">
      <c r="A361" s="102" t="s">
        <v>2170</v>
      </c>
      <c r="B361" s="96">
        <f>COUNTIFS(tbl_Budget[Statut],"Preparation")+COUNTIFS(tbl_Budget[Statut],"Soumis")</f>
        <v>1</v>
      </c>
    </row>
    <row r="362" spans="1:53" ht="32.25" customHeight="1">
      <c r="A362" s="102" t="s">
        <v>2171</v>
      </c>
      <c r="B362" s="96">
        <f>COUNTIFS(tbl_Budget[ID Budget],"BUD*",tbl_Budget[ID Projet],"")</f>
        <v>0</v>
      </c>
    </row>
    <row r="363" spans="1:53" ht="32.25" customHeight="1">
      <c r="A363" s="102" t="s">
        <v>2172</v>
      </c>
      <c r="B363" s="96">
        <f>COUNTIFS(tbl_Budget[ID Budget],"BUD*",tbl_Budget[ID Activite],"")</f>
        <v>0</v>
      </c>
    </row>
    <row r="364" spans="1:53" ht="42.75" customHeight="1">
      <c r="A364" s="102" t="s">
        <v>2173</v>
      </c>
      <c r="B364" s="96">
        <f>COUNTIFS(tbl_Budget[ID Budget],"BUD*",tbl_Budget[ID Donateur],"")</f>
        <v>0</v>
      </c>
    </row>
    <row r="365" spans="1:53" ht="32.25" customHeight="1">
      <c r="A365" s="102" t="s">
        <v>2174</v>
      </c>
      <c r="B365" s="96">
        <f>SUMPRODUCT((PROJETS!$A$56:$A$95&lt;&gt;"")*(COUNTIF(tbl_Budget[ID Projet],PROJETS!$A$56:$A$95)=0))</f>
        <v>0</v>
      </c>
    </row>
    <row r="367" spans="1:53" ht="27.75" customHeight="1">
      <c r="A367" s="298" t="s">
        <v>2175</v>
      </c>
      <c r="B367" s="262"/>
      <c r="C367" s="262"/>
      <c r="D367" s="262"/>
      <c r="E367" s="262"/>
      <c r="F367" s="262"/>
      <c r="G367" s="262"/>
      <c r="H367" s="262"/>
      <c r="I367" s="262"/>
      <c r="J367" s="262"/>
      <c r="K367" s="262"/>
      <c r="L367" s="262"/>
      <c r="M367" s="262"/>
      <c r="N367" s="262"/>
      <c r="O367" s="262"/>
      <c r="P367" s="262"/>
      <c r="Q367" s="262"/>
      <c r="R367" s="262"/>
      <c r="S367" s="262"/>
      <c r="T367" s="262"/>
      <c r="U367" s="262"/>
      <c r="V367" s="262"/>
      <c r="W367" s="262"/>
      <c r="X367" s="262"/>
      <c r="Y367" s="262"/>
      <c r="Z367" s="262"/>
      <c r="AA367" s="262"/>
      <c r="AB367" s="262"/>
      <c r="AC367" s="262"/>
      <c r="AD367" s="262"/>
      <c r="AE367" s="262"/>
      <c r="AF367" s="262"/>
      <c r="AG367" s="262"/>
      <c r="AH367" s="262"/>
      <c r="AI367" s="262"/>
      <c r="AJ367" s="262"/>
      <c r="AK367" s="262"/>
      <c r="AL367" s="262"/>
      <c r="AM367" s="262"/>
      <c r="AN367" s="262"/>
      <c r="AO367" s="262"/>
      <c r="AP367" s="262"/>
      <c r="AQ367" s="262"/>
      <c r="AR367" s="262"/>
      <c r="AS367" s="262"/>
      <c r="AT367" s="262"/>
      <c r="AU367" s="262"/>
      <c r="AV367" s="262"/>
      <c r="AW367" s="262"/>
      <c r="AX367" s="262"/>
      <c r="AY367" s="262"/>
      <c r="AZ367" s="262"/>
      <c r="BA367" s="262"/>
    </row>
  </sheetData>
  <mergeCells count="17">
    <mergeCell ref="A26:BA26"/>
    <mergeCell ref="A367:BA367"/>
    <mergeCell ref="A323:G323"/>
    <mergeCell ref="A356:B356"/>
    <mergeCell ref="A1:P1"/>
    <mergeCell ref="A4:T4"/>
    <mergeCell ref="A284:E284"/>
    <mergeCell ref="A300:I300"/>
    <mergeCell ref="A10:BA10"/>
    <mergeCell ref="A69:T69"/>
    <mergeCell ref="A112:H112"/>
    <mergeCell ref="A155:E155"/>
    <mergeCell ref="A2:T2"/>
    <mergeCell ref="A198:E198"/>
    <mergeCell ref="A6:BA6"/>
    <mergeCell ref="A22:BA22"/>
    <mergeCell ref="A231:F231"/>
  </mergeCells>
  <conditionalFormatting sqref="B358:B365">
    <cfRule type="cellIs" dxfId="57" priority="7" operator="greaterThan">
      <formula>0</formula>
    </cfRule>
  </conditionalFormatting>
  <conditionalFormatting sqref="AN28:AN67">
    <cfRule type="cellIs" dxfId="56" priority="5" operator="greaterThan">
      <formula>Seuil_Depassement</formula>
    </cfRule>
    <cfRule type="expression" dxfId="55" priority="6">
      <formula>AND(AN28&gt;=Seuil_Vigilance,AN28&lt;=Seuil_Depassement)</formula>
    </cfRule>
  </conditionalFormatting>
  <conditionalFormatting sqref="AQ28:AQ67">
    <cfRule type="cellIs" dxfId="54" priority="2" operator="equal">
      <formula>"Normal"</formula>
    </cfRule>
    <cfRule type="cellIs" dxfId="53" priority="3" operator="equal">
      <formula>"Vigilance"</formula>
    </cfRule>
    <cfRule type="cellIs" dxfId="52" priority="4" operator="equal">
      <formula>"Depassement"</formula>
    </cfRule>
  </conditionalFormatting>
  <dataValidations count="16">
    <dataValidation type="list" sqref="J7">
      <formula1>"2024,2025,2026,2027,2028,2029,2030,2031,2032,2033,Total"</formula1>
      <formula2>0</formula2>
    </dataValidation>
    <dataValidation type="list" allowBlank="1" sqref="B28:B67">
      <formula1>Liste_Annees</formula1>
      <formula2>0</formula2>
    </dataValidation>
    <dataValidation type="list" allowBlank="1" sqref="F28:F67">
      <formula1>Liste_StatutsBudget</formula1>
      <formula2>0</formula2>
    </dataValidation>
    <dataValidation type="list" allowBlank="1" sqref="G28:G67">
      <formula1>Liste_TypesBudget</formula1>
      <formula2>0</formula2>
    </dataValidation>
    <dataValidation type="list" allowBlank="1" sqref="H28:H67 F302:F321">
      <formula1>Liste_ActivitesIDProjets</formula1>
      <formula2>0</formula2>
    </dataValidation>
    <dataValidation type="list" allowBlank="1" sqref="L28:L67">
      <formula1>Liste_ActivitesID</formula1>
      <formula2>0</formula2>
    </dataValidation>
    <dataValidation type="list" allowBlank="1" sqref="N28:N67">
      <formula1>Liste_DonateursID</formula1>
      <formula2>0</formula2>
    </dataValidation>
    <dataValidation type="list" allowBlank="1" sqref="Q28:Q67">
      <formula1>Liste_SourcesFinancement</formula1>
      <formula2>0</formula2>
    </dataValidation>
    <dataValidation type="list" allowBlank="1" sqref="R28:R67">
      <formula1>Liste_TypesFinancement</formula1>
      <formula2>0</formula2>
    </dataValidation>
    <dataValidation type="list" allowBlank="1" sqref="S28:S67">
      <formula1>Liste_CategoriesDepenses</formula1>
      <formula2>0</formula2>
    </dataValidation>
    <dataValidation type="list" allowBlank="1" sqref="W28:W67">
      <formula1>Liste_UnitesMesure</formula1>
      <formula2>0</formula2>
    </dataValidation>
    <dataValidation type="decimal" operator="greaterThanOrEqual" allowBlank="1" errorTitle="Valeur invalide" error="Les montants et quantites ne peuvent pas etre negatifs." sqref="X28:Y67 AA28:AB67 AD28:AD67 AI28:AJ67 AR28:AU67">
      <formula1>0</formula1>
      <formula2>0</formula2>
    </dataValidation>
    <dataValidation type="list" allowBlank="1" sqref="B302:B321">
      <formula1>Liste_TypesImmobilisations</formula1>
      <formula2>0</formula2>
    </dataValidation>
    <dataValidation type="list" allowBlank="1" sqref="H302:H321">
      <formula1>"Prevu,En cours,Acquis,Annule"</formula1>
      <formula2>0</formula2>
    </dataValidation>
    <dataValidation type="list" allowBlank="1" sqref="A325:A354">
      <formula1>$A$28:$A$67</formula1>
      <formula2>0</formula2>
    </dataValidation>
    <dataValidation type="list" allowBlank="1" sqref="G325:G354">
      <formula1>"Proposee,Validee,Rejetee"</formula1>
      <formula2>0</formula2>
    </dataValidation>
  </dataValidations>
  <pageMargins left="0.75" right="0.75" top="1" bottom="1" header="0.511811023622047" footer="0.511811023622047"/>
  <pageSetup paperSize="9" orientation="portrait" horizontalDpi="300" verticalDpi="300"/>
  <tableParts count="9">
    <tablePart r:id="rId1"/>
    <tablePart r:id="rId2"/>
    <tablePart r:id="rId3"/>
    <tablePart r:id="rId4"/>
    <tablePart r:id="rId5"/>
    <tablePart r:id="rId6"/>
    <tablePart r:id="rId7"/>
    <tablePart r:id="rId8"/>
    <tablePart r:id="rId9"/>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182"/>
  <sheetViews>
    <sheetView zoomScaleNormal="100" workbookViewId="0">
      <pane ySplit="38" topLeftCell="A99" activePane="bottomLeft" state="frozen"/>
      <selection pane="bottomLeft" activeCell="J7" sqref="J7"/>
    </sheetView>
  </sheetViews>
  <sheetFormatPr baseColWidth="10" defaultColWidth="8.7109375" defaultRowHeight="15" customHeight="1"/>
  <cols>
    <col min="1" max="1" width="13" customWidth="1"/>
    <col min="2" max="2" width="15" customWidth="1"/>
    <col min="3" max="3" width="14" customWidth="1"/>
    <col min="4" max="4" width="13" customWidth="1"/>
    <col min="5" max="5" width="22" customWidth="1"/>
    <col min="6" max="6" width="16" customWidth="1"/>
    <col min="7" max="8" width="12" customWidth="1"/>
    <col min="9" max="9" width="22" customWidth="1"/>
    <col min="10" max="11" width="16" customWidth="1"/>
    <col min="12" max="12" width="12" customWidth="1"/>
    <col min="13" max="13" width="22" customWidth="1"/>
    <col min="14" max="14" width="14" customWidth="1"/>
    <col min="15" max="15" width="18" customWidth="1"/>
    <col min="16" max="16" width="20" customWidth="1"/>
    <col min="17" max="17" width="18" customWidth="1"/>
    <col min="18" max="21" width="12" customWidth="1"/>
    <col min="22" max="23" width="9" customWidth="1"/>
    <col min="24" max="24" width="11" customWidth="1"/>
    <col min="25" max="25" width="9" customWidth="1"/>
    <col min="26" max="26" width="10" customWidth="1"/>
    <col min="27" max="30" width="14" customWidth="1"/>
    <col min="31" max="33" width="16" customWidth="1"/>
    <col min="34" max="34" width="18" customWidth="1"/>
    <col min="35" max="35" width="14" customWidth="1"/>
    <col min="36" max="36" width="16" customWidth="1"/>
    <col min="37" max="37" width="14" customWidth="1"/>
    <col min="38" max="38" width="12" customWidth="1"/>
    <col min="39" max="39" width="16" customWidth="1"/>
    <col min="40" max="40" width="18" customWidth="1"/>
    <col min="41" max="41" width="12" customWidth="1"/>
    <col min="42" max="42" width="16" customWidth="1"/>
    <col min="43" max="43" width="18" customWidth="1"/>
    <col min="44" max="44" width="16" customWidth="1"/>
    <col min="45" max="45" width="14" customWidth="1"/>
    <col min="46" max="47" width="12" customWidth="1"/>
    <col min="48" max="48" width="10" customWidth="1"/>
    <col min="49" max="50" width="16" customWidth="1"/>
    <col min="51" max="51" width="18" customWidth="1"/>
    <col min="52" max="55" width="12" customWidth="1"/>
    <col min="56" max="57" width="16" customWidth="1"/>
    <col min="58" max="58" width="20" customWidth="1"/>
    <col min="59" max="60" width="10" customWidth="1"/>
  </cols>
  <sheetData>
    <row r="1" spans="1:21" ht="25.5" customHeight="1">
      <c r="A1" s="300" t="s">
        <v>2176</v>
      </c>
      <c r="B1" s="262"/>
      <c r="C1" s="262"/>
      <c r="D1" s="262"/>
      <c r="E1" s="262"/>
      <c r="F1" s="262"/>
      <c r="G1" s="262"/>
      <c r="H1" s="262"/>
      <c r="I1" s="262"/>
      <c r="J1" s="262"/>
      <c r="K1" s="262"/>
      <c r="L1" s="262"/>
      <c r="M1" s="262"/>
      <c r="N1" s="262"/>
      <c r="O1" s="262"/>
      <c r="P1" s="262"/>
      <c r="Q1" s="103" t="s">
        <v>2071</v>
      </c>
      <c r="R1" s="103" t="s">
        <v>1761</v>
      </c>
      <c r="S1" s="103" t="s">
        <v>1855</v>
      </c>
      <c r="T1" s="103" t="s">
        <v>2177</v>
      </c>
      <c r="U1" s="103" t="s">
        <v>1526</v>
      </c>
    </row>
    <row r="2" spans="1:21" ht="19.5" customHeight="1">
      <c r="A2" s="301" t="s">
        <v>2178</v>
      </c>
      <c r="B2" s="262"/>
      <c r="C2" s="262"/>
      <c r="D2" s="262"/>
      <c r="E2" s="262"/>
      <c r="F2" s="262"/>
      <c r="G2" s="262"/>
      <c r="H2" s="262"/>
      <c r="I2" s="262"/>
      <c r="J2" s="262"/>
      <c r="K2" s="262"/>
      <c r="L2" s="262"/>
      <c r="M2" s="262"/>
      <c r="N2" s="262"/>
      <c r="O2" s="262"/>
      <c r="P2" s="262"/>
      <c r="Q2" s="262"/>
      <c r="R2" s="262"/>
      <c r="S2" s="262"/>
      <c r="T2" s="262"/>
      <c r="U2" s="262"/>
    </row>
    <row r="3" spans="1:21" ht="21.75" customHeight="1">
      <c r="A3" s="90" t="s">
        <v>1524</v>
      </c>
      <c r="C3" s="104">
        <f ca="1">TODAY()</f>
        <v>46305</v>
      </c>
    </row>
    <row r="4" spans="1:21" ht="15" customHeight="1">
      <c r="A4" s="298" t="s">
        <v>1857</v>
      </c>
      <c r="B4" s="262"/>
      <c r="C4" s="262"/>
      <c r="D4" s="262"/>
      <c r="E4" s="262"/>
      <c r="F4" s="262"/>
      <c r="G4" s="262"/>
      <c r="H4" s="262"/>
      <c r="I4" s="262"/>
      <c r="J4" s="262"/>
      <c r="K4" s="262"/>
      <c r="L4" s="262"/>
      <c r="M4" s="262"/>
      <c r="N4" s="262"/>
      <c r="O4" s="262"/>
      <c r="P4" s="262"/>
      <c r="Q4" s="262"/>
      <c r="R4" s="262"/>
      <c r="S4" s="262"/>
      <c r="T4" s="262"/>
      <c r="U4" s="262"/>
    </row>
    <row r="6" spans="1:21" ht="15" customHeight="1">
      <c r="A6" s="299" t="s">
        <v>2179</v>
      </c>
      <c r="B6" s="262"/>
      <c r="C6" s="262"/>
      <c r="D6" s="262"/>
      <c r="E6" s="262"/>
      <c r="F6" s="262"/>
      <c r="G6" s="262"/>
      <c r="H6" s="262"/>
      <c r="I6" s="262"/>
    </row>
    <row r="7" spans="1:21" ht="34.5" customHeight="1">
      <c r="A7" s="89" t="s">
        <v>2180</v>
      </c>
      <c r="B7" s="89" t="s">
        <v>2181</v>
      </c>
      <c r="C7" s="89" t="s">
        <v>2182</v>
      </c>
      <c r="D7" s="89" t="s">
        <v>2183</v>
      </c>
      <c r="E7" s="89" t="s">
        <v>2184</v>
      </c>
      <c r="F7" s="89" t="s">
        <v>2185</v>
      </c>
      <c r="G7" s="89" t="s">
        <v>2186</v>
      </c>
      <c r="H7" s="89" t="s">
        <v>2187</v>
      </c>
      <c r="I7" s="89" t="s">
        <v>2081</v>
      </c>
    </row>
    <row r="8" spans="1:21" ht="15" customHeight="1">
      <c r="A8" s="105">
        <f>IF($I$8="Total",SUM($AC$39:$AC$88),SUMIFS($AC$39:$AC$88,$V$39:$V$88,VALUE($I$8)))</f>
        <v>0</v>
      </c>
      <c r="B8" s="105">
        <f>IF($I$8="Total",SUM($AB$39:$AB$88),SUMIFS($AB$39:$AB$88,$V$39:$V$88,VALUE($I$8)))</f>
        <v>0</v>
      </c>
      <c r="C8" s="105">
        <f>$A$8-$B$8</f>
        <v>0</v>
      </c>
      <c r="D8" s="105">
        <f>IF($I$8="Total",SUMIFS($AB$39:$AB$88,$S$39:$S$88,"Oui"),SUMIFS($AB$39:$AB$88,$S$39:$S$88,"Oui",$V$39:$V$88,VALUE($I$8)))</f>
        <v>0</v>
      </c>
      <c r="E8" s="105">
        <f>IF($I$8="Total",COUNTIF($A$39:$A$88,"REC*"),COUNTIFS($A$39:$A$88,"REC*",$V$39:$V$88,VALUE($I$8)))</f>
        <v>0</v>
      </c>
      <c r="F8" s="105">
        <f>COUNTIFS($BG$39:$BG$88,1)</f>
        <v>0</v>
      </c>
      <c r="G8" s="105">
        <f>COUNTIFS($BH$39:$BH$88,1)</f>
        <v>0</v>
      </c>
      <c r="H8" s="106">
        <f>IF($A$8=0,0,$B$8/$A$8)</f>
        <v>0</v>
      </c>
      <c r="I8" s="107" t="s">
        <v>1282</v>
      </c>
    </row>
    <row r="10" spans="1:21" ht="15" customHeight="1">
      <c r="A10" s="299" t="s">
        <v>1644</v>
      </c>
      <c r="B10" s="262"/>
      <c r="C10" s="262"/>
      <c r="D10" s="262"/>
      <c r="E10" s="262"/>
      <c r="F10" s="262"/>
      <c r="G10" s="262"/>
      <c r="H10" s="262"/>
      <c r="I10" s="262"/>
      <c r="J10" s="262"/>
      <c r="K10" s="262"/>
      <c r="L10" s="262"/>
      <c r="M10" s="262"/>
      <c r="N10" s="262"/>
      <c r="O10" s="262"/>
      <c r="P10" s="262"/>
    </row>
    <row r="11" spans="1:21" ht="21.75" customHeight="1">
      <c r="A11" s="108" t="s">
        <v>2188</v>
      </c>
      <c r="B11" s="108" t="s">
        <v>2189</v>
      </c>
      <c r="D11" s="108" t="s">
        <v>2190</v>
      </c>
      <c r="E11" s="108" t="s">
        <v>2189</v>
      </c>
      <c r="G11" s="108" t="s">
        <v>1734</v>
      </c>
      <c r="H11" s="108" t="s">
        <v>2189</v>
      </c>
      <c r="J11" s="108" t="s">
        <v>2122</v>
      </c>
      <c r="K11" s="108" t="s">
        <v>2189</v>
      </c>
    </row>
    <row r="12" spans="1:21" ht="15" customHeight="1">
      <c r="A12" s="109" t="s">
        <v>1146</v>
      </c>
      <c r="B12" s="110">
        <f t="shared" ref="B12:B20" si="0">COUNTIFS($AE$39:$AE$88,A12)</f>
        <v>0</v>
      </c>
      <c r="D12" s="109" t="s">
        <v>583</v>
      </c>
      <c r="E12" s="110">
        <f t="shared" ref="E12:E21" si="1">COUNTIFS($O$39:$O$88,D12)</f>
        <v>0</v>
      </c>
      <c r="G12" s="109" t="s">
        <v>583</v>
      </c>
      <c r="H12" s="110">
        <f t="shared" ref="H12:H25" si="2">COUNTIFS($P$39:$P$88,G12)</f>
        <v>0</v>
      </c>
      <c r="J12" s="109" t="s">
        <v>2086</v>
      </c>
      <c r="K12" s="110">
        <f ca="1">COUNTIFS($BE$39:$BE$88,J12)</f>
        <v>0</v>
      </c>
    </row>
    <row r="13" spans="1:21" ht="15" customHeight="1">
      <c r="A13" s="109" t="s">
        <v>1148</v>
      </c>
      <c r="B13" s="110">
        <f t="shared" si="0"/>
        <v>0</v>
      </c>
      <c r="D13" s="109" t="s">
        <v>585</v>
      </c>
      <c r="E13" s="110">
        <f t="shared" si="1"/>
        <v>0</v>
      </c>
      <c r="G13" s="109" t="s">
        <v>585</v>
      </c>
      <c r="H13" s="110">
        <f t="shared" si="2"/>
        <v>0</v>
      </c>
      <c r="J13" s="109" t="s">
        <v>2087</v>
      </c>
      <c r="K13" s="110">
        <f ca="1">COUNTIFS($BE$39:$BE$88,J13)</f>
        <v>0</v>
      </c>
    </row>
    <row r="14" spans="1:21" ht="15" customHeight="1">
      <c r="A14" s="109" t="s">
        <v>1150</v>
      </c>
      <c r="B14" s="110">
        <f t="shared" si="0"/>
        <v>0</v>
      </c>
      <c r="D14" s="109" t="s">
        <v>587</v>
      </c>
      <c r="E14" s="110">
        <f t="shared" si="1"/>
        <v>0</v>
      </c>
      <c r="G14" s="109" t="s">
        <v>587</v>
      </c>
      <c r="H14" s="110">
        <f t="shared" si="2"/>
        <v>0</v>
      </c>
      <c r="J14" s="109" t="s">
        <v>2191</v>
      </c>
      <c r="K14" s="110">
        <f ca="1">COUNTIFS($BE$39:$BE$88,J14)</f>
        <v>0</v>
      </c>
    </row>
    <row r="15" spans="1:21" ht="27.75" customHeight="1">
      <c r="A15" s="109" t="s">
        <v>1152</v>
      </c>
      <c r="B15" s="110">
        <f t="shared" si="0"/>
        <v>0</v>
      </c>
      <c r="D15" s="109" t="s">
        <v>696</v>
      </c>
      <c r="E15" s="110">
        <f t="shared" si="1"/>
        <v>0</v>
      </c>
      <c r="G15" s="109" t="s">
        <v>589</v>
      </c>
      <c r="H15" s="110">
        <f t="shared" si="2"/>
        <v>0</v>
      </c>
      <c r="J15" s="109" t="s">
        <v>2192</v>
      </c>
      <c r="K15" s="110">
        <f ca="1">COUNTIFS($BE$39:$BE$88,J15)</f>
        <v>0</v>
      </c>
    </row>
    <row r="16" spans="1:21" ht="27.75" customHeight="1">
      <c r="A16" s="109" t="s">
        <v>1154</v>
      </c>
      <c r="B16" s="110">
        <f t="shared" si="0"/>
        <v>0</v>
      </c>
      <c r="D16" s="109" t="s">
        <v>698</v>
      </c>
      <c r="E16" s="110">
        <f t="shared" si="1"/>
        <v>0</v>
      </c>
      <c r="G16" s="109" t="s">
        <v>591</v>
      </c>
      <c r="H16" s="110">
        <f t="shared" si="2"/>
        <v>0</v>
      </c>
      <c r="J16" s="109" t="s">
        <v>2193</v>
      </c>
      <c r="K16" s="110">
        <f ca="1">COUNTIFS($BE$39:$BE$88,J16)</f>
        <v>0</v>
      </c>
    </row>
    <row r="17" spans="1:8" ht="27.75" customHeight="1">
      <c r="A17" s="109" t="s">
        <v>1156</v>
      </c>
      <c r="B17" s="110">
        <f t="shared" si="0"/>
        <v>0</v>
      </c>
      <c r="D17" s="109" t="s">
        <v>700</v>
      </c>
      <c r="E17" s="110">
        <f t="shared" si="1"/>
        <v>0</v>
      </c>
      <c r="G17" s="109" t="s">
        <v>593</v>
      </c>
      <c r="H17" s="110">
        <f t="shared" si="2"/>
        <v>0</v>
      </c>
    </row>
    <row r="18" spans="1:8" ht="27.75" customHeight="1">
      <c r="A18" s="109" t="s">
        <v>1158</v>
      </c>
      <c r="B18" s="110">
        <f t="shared" si="0"/>
        <v>0</v>
      </c>
      <c r="D18" s="109" t="s">
        <v>607</v>
      </c>
      <c r="E18" s="110">
        <f t="shared" si="1"/>
        <v>0</v>
      </c>
      <c r="G18" s="109" t="s">
        <v>595</v>
      </c>
      <c r="H18" s="110">
        <f t="shared" si="2"/>
        <v>0</v>
      </c>
    </row>
    <row r="19" spans="1:8" ht="27.75" customHeight="1">
      <c r="A19" s="109" t="s">
        <v>251</v>
      </c>
      <c r="B19" s="110">
        <f t="shared" si="0"/>
        <v>0</v>
      </c>
      <c r="D19" s="109" t="s">
        <v>605</v>
      </c>
      <c r="E19" s="110">
        <f t="shared" si="1"/>
        <v>0</v>
      </c>
      <c r="G19" s="109" t="s">
        <v>597</v>
      </c>
      <c r="H19" s="110">
        <f t="shared" si="2"/>
        <v>0</v>
      </c>
    </row>
    <row r="20" spans="1:8" ht="41.25" customHeight="1">
      <c r="A20" s="109" t="s">
        <v>1161</v>
      </c>
      <c r="B20" s="110">
        <f t="shared" si="0"/>
        <v>0</v>
      </c>
      <c r="D20" s="109" t="s">
        <v>603</v>
      </c>
      <c r="E20" s="110">
        <f t="shared" si="1"/>
        <v>0</v>
      </c>
      <c r="G20" s="109" t="s">
        <v>599</v>
      </c>
      <c r="H20" s="110">
        <f t="shared" si="2"/>
        <v>0</v>
      </c>
    </row>
    <row r="21" spans="1:8" ht="27.75" customHeight="1">
      <c r="D21" s="109" t="s">
        <v>383</v>
      </c>
      <c r="E21" s="110">
        <f t="shared" si="1"/>
        <v>0</v>
      </c>
      <c r="G21" s="109" t="s">
        <v>601</v>
      </c>
      <c r="H21" s="110">
        <f t="shared" si="2"/>
        <v>0</v>
      </c>
    </row>
    <row r="22" spans="1:8" ht="15" customHeight="1">
      <c r="G22" s="109" t="s">
        <v>603</v>
      </c>
      <c r="H22" s="110">
        <f t="shared" si="2"/>
        <v>0</v>
      </c>
    </row>
    <row r="23" spans="1:8" ht="15" customHeight="1">
      <c r="A23" s="299" t="s">
        <v>2194</v>
      </c>
      <c r="B23" s="262"/>
      <c r="C23" s="262"/>
      <c r="D23" s="262"/>
      <c r="G23" s="109" t="s">
        <v>605</v>
      </c>
      <c r="H23" s="110">
        <f t="shared" si="2"/>
        <v>0</v>
      </c>
    </row>
    <row r="24" spans="1:8" ht="32.25" customHeight="1">
      <c r="A24" s="108" t="s">
        <v>174</v>
      </c>
      <c r="B24" s="108" t="s">
        <v>2180</v>
      </c>
      <c r="C24" s="108" t="s">
        <v>2181</v>
      </c>
      <c r="D24" s="108" t="s">
        <v>2182</v>
      </c>
      <c r="G24" s="109" t="s">
        <v>607</v>
      </c>
      <c r="H24" s="110">
        <f t="shared" si="2"/>
        <v>0</v>
      </c>
    </row>
    <row r="25" spans="1:8" ht="15" customHeight="1">
      <c r="A25" s="111">
        <v>2024</v>
      </c>
      <c r="B25" s="112">
        <f t="shared" ref="B25:B34" si="3">SUMIFS($AC$39:$AC$88,$V$39:$V$88,$A25)</f>
        <v>0</v>
      </c>
      <c r="C25" s="112">
        <f t="shared" ref="C25:C34" si="4">SUMIFS($AB$39:$AB$88,$V$39:$V$88,$A25)</f>
        <v>0</v>
      </c>
      <c r="D25" s="112">
        <f t="shared" ref="D25:D34" si="5">$B25-$C25</f>
        <v>0</v>
      </c>
      <c r="G25" s="109" t="s">
        <v>383</v>
      </c>
      <c r="H25" s="110">
        <f t="shared" si="2"/>
        <v>0</v>
      </c>
    </row>
    <row r="26" spans="1:8" ht="15" customHeight="1">
      <c r="A26" s="111">
        <v>2025</v>
      </c>
      <c r="B26" s="112">
        <f t="shared" si="3"/>
        <v>0</v>
      </c>
      <c r="C26" s="112">
        <f t="shared" si="4"/>
        <v>0</v>
      </c>
      <c r="D26" s="112">
        <f t="shared" si="5"/>
        <v>0</v>
      </c>
    </row>
    <row r="27" spans="1:8" ht="15" customHeight="1">
      <c r="A27" s="111">
        <v>2026</v>
      </c>
      <c r="B27" s="112">
        <f t="shared" si="3"/>
        <v>0</v>
      </c>
      <c r="C27" s="112">
        <f t="shared" si="4"/>
        <v>0</v>
      </c>
      <c r="D27" s="112">
        <f t="shared" si="5"/>
        <v>0</v>
      </c>
    </row>
    <row r="28" spans="1:8" ht="15" customHeight="1">
      <c r="A28" s="111">
        <v>2027</v>
      </c>
      <c r="B28" s="112">
        <f t="shared" si="3"/>
        <v>0</v>
      </c>
      <c r="C28" s="112">
        <f t="shared" si="4"/>
        <v>0</v>
      </c>
      <c r="D28" s="112">
        <f t="shared" si="5"/>
        <v>0</v>
      </c>
    </row>
    <row r="29" spans="1:8" ht="15" customHeight="1">
      <c r="A29" s="111">
        <v>2028</v>
      </c>
      <c r="B29" s="112">
        <f t="shared" si="3"/>
        <v>0</v>
      </c>
      <c r="C29" s="112">
        <f t="shared" si="4"/>
        <v>0</v>
      </c>
      <c r="D29" s="112">
        <f t="shared" si="5"/>
        <v>0</v>
      </c>
    </row>
    <row r="30" spans="1:8" ht="15" customHeight="1">
      <c r="A30" s="111">
        <v>2029</v>
      </c>
      <c r="B30" s="112">
        <f t="shared" si="3"/>
        <v>0</v>
      </c>
      <c r="C30" s="112">
        <f t="shared" si="4"/>
        <v>0</v>
      </c>
      <c r="D30" s="112">
        <f t="shared" si="5"/>
        <v>0</v>
      </c>
    </row>
    <row r="31" spans="1:8" ht="15" customHeight="1">
      <c r="A31" s="111">
        <v>2030</v>
      </c>
      <c r="B31" s="112">
        <f t="shared" si="3"/>
        <v>0</v>
      </c>
      <c r="C31" s="112">
        <f t="shared" si="4"/>
        <v>0</v>
      </c>
      <c r="D31" s="112">
        <f t="shared" si="5"/>
        <v>0</v>
      </c>
    </row>
    <row r="32" spans="1:8" ht="15" customHeight="1">
      <c r="A32" s="111">
        <v>2031</v>
      </c>
      <c r="B32" s="112">
        <f t="shared" si="3"/>
        <v>0</v>
      </c>
      <c r="C32" s="112">
        <f t="shared" si="4"/>
        <v>0</v>
      </c>
      <c r="D32" s="112">
        <f t="shared" si="5"/>
        <v>0</v>
      </c>
    </row>
    <row r="33" spans="1:60" ht="15" customHeight="1">
      <c r="A33" s="111">
        <v>2032</v>
      </c>
      <c r="B33" s="112">
        <f t="shared" si="3"/>
        <v>0</v>
      </c>
      <c r="C33" s="112">
        <f t="shared" si="4"/>
        <v>0</v>
      </c>
      <c r="D33" s="112">
        <f t="shared" si="5"/>
        <v>0</v>
      </c>
    </row>
    <row r="34" spans="1:60" ht="15" customHeight="1">
      <c r="A34" s="111">
        <v>2033</v>
      </c>
      <c r="B34" s="112">
        <f t="shared" si="3"/>
        <v>0</v>
      </c>
      <c r="C34" s="112">
        <f t="shared" si="4"/>
        <v>0</v>
      </c>
      <c r="D34" s="112">
        <f t="shared" si="5"/>
        <v>0</v>
      </c>
    </row>
    <row r="37" spans="1:60" ht="15" customHeight="1">
      <c r="A37" s="299" t="s">
        <v>2195</v>
      </c>
      <c r="B37" s="262"/>
      <c r="C37" s="262"/>
      <c r="D37" s="262"/>
      <c r="E37" s="262"/>
      <c r="F37" s="262"/>
      <c r="G37" s="262"/>
      <c r="H37" s="262"/>
      <c r="I37" s="262"/>
      <c r="J37" s="262"/>
      <c r="K37" s="262"/>
      <c r="L37" s="262"/>
      <c r="M37" s="262"/>
      <c r="N37" s="262"/>
      <c r="O37" s="262"/>
      <c r="P37" s="262"/>
      <c r="Q37" s="262"/>
      <c r="R37" s="262"/>
      <c r="S37" s="262"/>
      <c r="T37" s="262"/>
      <c r="U37" s="262"/>
      <c r="V37" s="262"/>
      <c r="W37" s="262"/>
      <c r="X37" s="262"/>
      <c r="Y37" s="262"/>
      <c r="Z37" s="262"/>
      <c r="AA37" s="262"/>
      <c r="AB37" s="262"/>
      <c r="AC37" s="262"/>
      <c r="AD37" s="262"/>
      <c r="AE37" s="262"/>
      <c r="AF37" s="262"/>
      <c r="AG37" s="262"/>
      <c r="AH37" s="262"/>
      <c r="AI37" s="262"/>
      <c r="AJ37" s="262"/>
      <c r="AK37" s="262"/>
      <c r="AL37" s="262"/>
      <c r="AM37" s="262"/>
      <c r="AN37" s="262"/>
      <c r="AO37" s="262"/>
      <c r="AP37" s="262"/>
      <c r="AQ37" s="262"/>
      <c r="AR37" s="262"/>
      <c r="AS37" s="262"/>
      <c r="AT37" s="262"/>
      <c r="AU37" s="262"/>
      <c r="AV37" s="262"/>
      <c r="AW37" s="262"/>
      <c r="AX37" s="262"/>
      <c r="AY37" s="262"/>
      <c r="AZ37" s="262"/>
      <c r="BA37" s="262"/>
      <c r="BB37" s="262"/>
      <c r="BC37" s="262"/>
      <c r="BD37" s="262"/>
      <c r="BE37" s="262"/>
      <c r="BF37" s="262"/>
      <c r="BG37" s="262"/>
      <c r="BH37" s="262"/>
    </row>
    <row r="38" spans="1:60" ht="33.75" customHeight="1">
      <c r="A38" s="108" t="s">
        <v>2196</v>
      </c>
      <c r="B38" s="108" t="s">
        <v>2197</v>
      </c>
      <c r="C38" s="108" t="s">
        <v>2105</v>
      </c>
      <c r="D38" s="108" t="s">
        <v>1987</v>
      </c>
      <c r="E38" s="108" t="s">
        <v>2198</v>
      </c>
      <c r="F38" s="108" t="s">
        <v>1981</v>
      </c>
      <c r="G38" s="108" t="s">
        <v>941</v>
      </c>
      <c r="H38" s="108" t="s">
        <v>1648</v>
      </c>
      <c r="I38" s="108" t="s">
        <v>1586</v>
      </c>
      <c r="J38" s="108" t="s">
        <v>1400</v>
      </c>
      <c r="K38" s="108" t="s">
        <v>2199</v>
      </c>
      <c r="L38" s="108" t="s">
        <v>1774</v>
      </c>
      <c r="M38" s="108" t="s">
        <v>2103</v>
      </c>
      <c r="N38" s="108" t="s">
        <v>2200</v>
      </c>
      <c r="O38" s="108" t="s">
        <v>2190</v>
      </c>
      <c r="P38" s="108" t="s">
        <v>1734</v>
      </c>
      <c r="Q38" s="108" t="s">
        <v>1425</v>
      </c>
      <c r="R38" s="108" t="s">
        <v>2201</v>
      </c>
      <c r="S38" s="108" t="s">
        <v>2202</v>
      </c>
      <c r="T38" s="108" t="s">
        <v>2203</v>
      </c>
      <c r="U38" s="108" t="s">
        <v>1745</v>
      </c>
      <c r="V38" s="108" t="s">
        <v>174</v>
      </c>
      <c r="W38" s="108" t="s">
        <v>188</v>
      </c>
      <c r="X38" s="108" t="s">
        <v>8</v>
      </c>
      <c r="Y38" s="108" t="s">
        <v>1439</v>
      </c>
      <c r="Z38" s="108" t="s">
        <v>2204</v>
      </c>
      <c r="AA38" s="108" t="s">
        <v>2205</v>
      </c>
      <c r="AB38" s="108" t="s">
        <v>2181</v>
      </c>
      <c r="AC38" s="108" t="s">
        <v>2180</v>
      </c>
      <c r="AD38" s="108" t="s">
        <v>2182</v>
      </c>
      <c r="AE38" s="108" t="s">
        <v>2188</v>
      </c>
      <c r="AF38" s="108" t="s">
        <v>2206</v>
      </c>
      <c r="AG38" s="108" t="s">
        <v>573</v>
      </c>
      <c r="AH38" s="108" t="s">
        <v>2207</v>
      </c>
      <c r="AI38" s="108" t="s">
        <v>1436</v>
      </c>
      <c r="AJ38" s="108" t="s">
        <v>2208</v>
      </c>
      <c r="AK38" s="108" t="s">
        <v>2209</v>
      </c>
      <c r="AL38" s="108" t="s">
        <v>2210</v>
      </c>
      <c r="AM38" s="108" t="s">
        <v>2211</v>
      </c>
      <c r="AN38" s="108" t="s">
        <v>2212</v>
      </c>
      <c r="AO38" s="108" t="s">
        <v>2213</v>
      </c>
      <c r="AP38" s="108" t="s">
        <v>2214</v>
      </c>
      <c r="AQ38" s="108" t="s">
        <v>2215</v>
      </c>
      <c r="AR38" s="108" t="s">
        <v>2216</v>
      </c>
      <c r="AS38" s="108" t="s">
        <v>1661</v>
      </c>
      <c r="AT38" s="108" t="s">
        <v>2217</v>
      </c>
      <c r="AU38" s="108" t="s">
        <v>2218</v>
      </c>
      <c r="AV38" s="108" t="s">
        <v>2219</v>
      </c>
      <c r="AW38" s="108" t="s">
        <v>2220</v>
      </c>
      <c r="AX38" s="108" t="s">
        <v>2221</v>
      </c>
      <c r="AY38" s="108" t="s">
        <v>2222</v>
      </c>
      <c r="AZ38" s="108" t="s">
        <v>2223</v>
      </c>
      <c r="BA38" s="108" t="s">
        <v>2224</v>
      </c>
      <c r="BB38" s="108" t="s">
        <v>2225</v>
      </c>
      <c r="BC38" s="108" t="s">
        <v>2226</v>
      </c>
      <c r="BD38" s="108" t="s">
        <v>2227</v>
      </c>
      <c r="BE38" s="108" t="s">
        <v>2122</v>
      </c>
      <c r="BF38" s="108" t="s">
        <v>1611</v>
      </c>
      <c r="BG38" s="108" t="s">
        <v>2228</v>
      </c>
      <c r="BH38" s="108" t="s">
        <v>2125</v>
      </c>
    </row>
    <row r="39" spans="1:60" ht="15" customHeight="1">
      <c r="A39" s="113" t="str">
        <f t="shared" ref="A39:A70" si="6">IF($O39="","","REC"&amp;TEXT(ROW()-38,"00000"))</f>
        <v/>
      </c>
      <c r="B39" s="114"/>
      <c r="C39" s="114"/>
      <c r="D39" s="114"/>
      <c r="E39" s="115" t="str">
        <f>IFERROR(INDEX(DONATEURS!$B$56:$B$205,MATCH($D39,DONATEURS!$A$56:$A$205,0)),"")</f>
        <v/>
      </c>
      <c r="F39" s="115" t="str">
        <f>IFERROR(INDEX(DONATEURS!$E$56:$E$205,MATCH($D39,DONATEURS!$A$56:$A$205,0)),"")</f>
        <v/>
      </c>
      <c r="G39" s="115" t="str">
        <f>IFERROR(INDEX(DONATEURS!$G$56:$G$205,MATCH($D39,DONATEURS!$A$56:$A$205,0)),"")</f>
        <v/>
      </c>
      <c r="H39" s="114"/>
      <c r="I39" s="115" t="str">
        <f>IFERROR(INDEX(PROJETS!$C$56:$C$95,MATCH($H39,PROJETS!$A$56:$A$95,0)),"")</f>
        <v/>
      </c>
      <c r="J39" s="115" t="str">
        <f>IFERROR(INDEX(PROJETS!$J$56:$J$95,MATCH($H39,PROJETS!$A$56:$A$95,0)),"")</f>
        <v/>
      </c>
      <c r="K39" s="115" t="str">
        <f>IFERROR(INDEX(PROJETS!$N$56:$N$95,MATCH($H39,PROJETS!$A$56:$A$95,0)),"")</f>
        <v/>
      </c>
      <c r="L39" s="114"/>
      <c r="M39" s="115" t="str">
        <f>IFERROR(INDEX(ACTIVITES!$G$56:$G$105,MATCH($L39,ACTIVITES!$A$56:$A$105,0)),"")</f>
        <v/>
      </c>
      <c r="N39" s="114"/>
      <c r="O39" s="114"/>
      <c r="P39" s="114"/>
      <c r="Q39" s="114"/>
      <c r="R39" s="114"/>
      <c r="S39" s="114"/>
      <c r="T39" s="116"/>
      <c r="U39" s="116"/>
      <c r="V39" s="117" t="str">
        <f t="shared" ref="V39:V70" si="7">IF($T39="","",YEAR($T39))</f>
        <v/>
      </c>
      <c r="W39" s="113" t="str">
        <f t="shared" ref="W39:W70" si="8">IF($T39="","","T"&amp;ROUNDUP(MONTH($T39)/3,0))</f>
        <v/>
      </c>
      <c r="X39" s="113" t="str">
        <f t="shared" ref="X39:X70" si="9">IF($T39="","",TEXT($T39,"mmmm"))</f>
        <v/>
      </c>
      <c r="Y39" s="114"/>
      <c r="Z39" s="118"/>
      <c r="AA39" s="119"/>
      <c r="AB39" s="120" t="str">
        <f t="shared" ref="AB39:AB70" si="10">IF($AA39="","",IF(OR($Y39="FCFA",$Y39=""),$AA39,$AA39*IF($Z39="",1,$Z39)))</f>
        <v/>
      </c>
      <c r="AC39" s="119"/>
      <c r="AD39" s="120" t="str">
        <f t="shared" ref="AD39:AD70" si="11">IF($AC39="","",MAX($AC39-IF($AB39="",0,$AB39),0))</f>
        <v/>
      </c>
      <c r="AE39" s="114"/>
      <c r="AF39" s="114"/>
      <c r="AG39" s="114"/>
      <c r="AH39" s="121"/>
      <c r="AI39" s="114"/>
      <c r="AJ39" s="121"/>
      <c r="AK39" s="121"/>
      <c r="AL39" s="116"/>
      <c r="AM39" s="114"/>
      <c r="AN39" s="114"/>
      <c r="AO39" s="114"/>
      <c r="AP39" s="114"/>
      <c r="AQ39" s="121"/>
      <c r="AR39" s="114"/>
      <c r="AS39" s="114"/>
      <c r="AT39" s="114"/>
      <c r="AU39" s="114"/>
      <c r="AV39" s="119"/>
      <c r="AW39" s="114"/>
      <c r="AX39" s="114"/>
      <c r="AY39" s="121"/>
      <c r="AZ39" s="114"/>
      <c r="BA39" s="114"/>
      <c r="BB39" s="114"/>
      <c r="BC39" s="116"/>
      <c r="BD39" s="114"/>
      <c r="BE39" s="113" t="str">
        <f t="shared" ref="BE39:BE70" ca="1" si="12">IF($AC39="","",IF($AD39&lt;=0,"Recu integralement",IF(AND($AU39&lt;&gt;"",$AU39&lt;=TODAY()),"Relance necessaire",IF(AND($U39&lt;&gt;"",$T39="",$U39&lt;TODAY()),"Retard",IF($AD39&gt;0.5*$AC39,"Vigilance","Normal")))))</f>
        <v/>
      </c>
      <c r="BF39" s="121"/>
      <c r="BG39" s="117" t="str">
        <f>IF($D39="","",COUNTIFS($D$39:$D39,$D39))</f>
        <v/>
      </c>
      <c r="BH39" s="117" t="str">
        <f>IF($H39="","",COUNTIFS($H$39:$H39,$H39))</f>
        <v/>
      </c>
    </row>
    <row r="40" spans="1:60" ht="15" customHeight="1">
      <c r="A40" s="113" t="str">
        <f t="shared" si="6"/>
        <v/>
      </c>
      <c r="B40" s="114"/>
      <c r="C40" s="114"/>
      <c r="D40" s="114"/>
      <c r="E40" s="115" t="str">
        <f>IFERROR(INDEX(DONATEURS!$B$56:$B$205,MATCH($D40,DONATEURS!$A$56:$A$205,0)),"")</f>
        <v/>
      </c>
      <c r="F40" s="115" t="str">
        <f>IFERROR(INDEX(DONATEURS!$E$56:$E$205,MATCH($D40,DONATEURS!$A$56:$A$205,0)),"")</f>
        <v/>
      </c>
      <c r="G40" s="115" t="str">
        <f>IFERROR(INDEX(DONATEURS!$G$56:$G$205,MATCH($D40,DONATEURS!$A$56:$A$205,0)),"")</f>
        <v/>
      </c>
      <c r="H40" s="114"/>
      <c r="I40" s="115" t="str">
        <f>IFERROR(INDEX(PROJETS!$C$56:$C$95,MATCH($H40,PROJETS!$A$56:$A$95,0)),"")</f>
        <v/>
      </c>
      <c r="J40" s="115" t="str">
        <f>IFERROR(INDEX(PROJETS!$J$56:$J$95,MATCH($H40,PROJETS!$A$56:$A$95,0)),"")</f>
        <v/>
      </c>
      <c r="K40" s="115" t="str">
        <f>IFERROR(INDEX(PROJETS!$N$56:$N$95,MATCH($H40,PROJETS!$A$56:$A$95,0)),"")</f>
        <v/>
      </c>
      <c r="L40" s="114"/>
      <c r="M40" s="115" t="str">
        <f>IFERROR(INDEX(ACTIVITES!$G$56:$G$105,MATCH($L40,ACTIVITES!$A$56:$A$105,0)),"")</f>
        <v/>
      </c>
      <c r="N40" s="114"/>
      <c r="O40" s="114"/>
      <c r="P40" s="114"/>
      <c r="Q40" s="114"/>
      <c r="R40" s="114"/>
      <c r="S40" s="114"/>
      <c r="T40" s="116"/>
      <c r="U40" s="116"/>
      <c r="V40" s="117" t="str">
        <f t="shared" si="7"/>
        <v/>
      </c>
      <c r="W40" s="113" t="str">
        <f t="shared" si="8"/>
        <v/>
      </c>
      <c r="X40" s="113" t="str">
        <f t="shared" si="9"/>
        <v/>
      </c>
      <c r="Y40" s="114"/>
      <c r="Z40" s="118"/>
      <c r="AA40" s="119"/>
      <c r="AB40" s="120" t="str">
        <f t="shared" si="10"/>
        <v/>
      </c>
      <c r="AC40" s="119"/>
      <c r="AD40" s="120" t="str">
        <f t="shared" si="11"/>
        <v/>
      </c>
      <c r="AE40" s="114"/>
      <c r="AF40" s="114"/>
      <c r="AG40" s="114"/>
      <c r="AH40" s="121"/>
      <c r="AI40" s="114"/>
      <c r="AJ40" s="121"/>
      <c r="AK40" s="121"/>
      <c r="AL40" s="116"/>
      <c r="AM40" s="114"/>
      <c r="AN40" s="114"/>
      <c r="AO40" s="114"/>
      <c r="AP40" s="114"/>
      <c r="AQ40" s="121"/>
      <c r="AR40" s="114"/>
      <c r="AS40" s="114"/>
      <c r="AT40" s="114"/>
      <c r="AU40" s="114"/>
      <c r="AV40" s="119"/>
      <c r="AW40" s="114"/>
      <c r="AX40" s="114"/>
      <c r="AY40" s="121"/>
      <c r="AZ40" s="114"/>
      <c r="BA40" s="114"/>
      <c r="BB40" s="114"/>
      <c r="BC40" s="116"/>
      <c r="BD40" s="114"/>
      <c r="BE40" s="113" t="str">
        <f t="shared" ca="1" si="12"/>
        <v/>
      </c>
      <c r="BF40" s="121"/>
      <c r="BG40" s="117" t="str">
        <f>IF($D40="","",COUNTIFS($D$39:$D40,$D40))</f>
        <v/>
      </c>
      <c r="BH40" s="117" t="str">
        <f>IF($H40="","",COUNTIFS($H$39:$H40,$H40))</f>
        <v/>
      </c>
    </row>
    <row r="41" spans="1:60" ht="15" customHeight="1">
      <c r="A41" s="113" t="str">
        <f t="shared" si="6"/>
        <v/>
      </c>
      <c r="B41" s="114"/>
      <c r="C41" s="114"/>
      <c r="D41" s="114"/>
      <c r="E41" s="115" t="str">
        <f>IFERROR(INDEX(DONATEURS!$B$56:$B$205,MATCH($D41,DONATEURS!$A$56:$A$205,0)),"")</f>
        <v/>
      </c>
      <c r="F41" s="115" t="str">
        <f>IFERROR(INDEX(DONATEURS!$E$56:$E$205,MATCH($D41,DONATEURS!$A$56:$A$205,0)),"")</f>
        <v/>
      </c>
      <c r="G41" s="115" t="str">
        <f>IFERROR(INDEX(DONATEURS!$G$56:$G$205,MATCH($D41,DONATEURS!$A$56:$A$205,0)),"")</f>
        <v/>
      </c>
      <c r="H41" s="114"/>
      <c r="I41" s="115" t="str">
        <f>IFERROR(INDEX(PROJETS!$C$56:$C$95,MATCH($H41,PROJETS!$A$56:$A$95,0)),"")</f>
        <v/>
      </c>
      <c r="J41" s="115" t="str">
        <f>IFERROR(INDEX(PROJETS!$J$56:$J$95,MATCH($H41,PROJETS!$A$56:$A$95,0)),"")</f>
        <v/>
      </c>
      <c r="K41" s="115" t="str">
        <f>IFERROR(INDEX(PROJETS!$N$56:$N$95,MATCH($H41,PROJETS!$A$56:$A$95,0)),"")</f>
        <v/>
      </c>
      <c r="L41" s="114"/>
      <c r="M41" s="115" t="str">
        <f>IFERROR(INDEX(ACTIVITES!$G$56:$G$105,MATCH($L41,ACTIVITES!$A$56:$A$105,0)),"")</f>
        <v/>
      </c>
      <c r="N41" s="114"/>
      <c r="O41" s="114"/>
      <c r="P41" s="114"/>
      <c r="Q41" s="114"/>
      <c r="R41" s="114"/>
      <c r="S41" s="114"/>
      <c r="T41" s="116"/>
      <c r="U41" s="116"/>
      <c r="V41" s="117" t="str">
        <f t="shared" si="7"/>
        <v/>
      </c>
      <c r="W41" s="113" t="str">
        <f t="shared" si="8"/>
        <v/>
      </c>
      <c r="X41" s="113" t="str">
        <f t="shared" si="9"/>
        <v/>
      </c>
      <c r="Y41" s="114"/>
      <c r="Z41" s="118"/>
      <c r="AA41" s="119"/>
      <c r="AB41" s="120" t="str">
        <f t="shared" si="10"/>
        <v/>
      </c>
      <c r="AC41" s="119"/>
      <c r="AD41" s="120" t="str">
        <f t="shared" si="11"/>
        <v/>
      </c>
      <c r="AE41" s="114"/>
      <c r="AF41" s="114"/>
      <c r="AG41" s="114"/>
      <c r="AH41" s="121"/>
      <c r="AI41" s="114"/>
      <c r="AJ41" s="121"/>
      <c r="AK41" s="121"/>
      <c r="AL41" s="116"/>
      <c r="AM41" s="114"/>
      <c r="AN41" s="114"/>
      <c r="AO41" s="114"/>
      <c r="AP41" s="114"/>
      <c r="AQ41" s="121"/>
      <c r="AR41" s="114"/>
      <c r="AS41" s="114"/>
      <c r="AT41" s="114"/>
      <c r="AU41" s="114"/>
      <c r="AV41" s="119"/>
      <c r="AW41" s="114"/>
      <c r="AX41" s="114"/>
      <c r="AY41" s="121"/>
      <c r="AZ41" s="114"/>
      <c r="BA41" s="114"/>
      <c r="BB41" s="114"/>
      <c r="BC41" s="116"/>
      <c r="BD41" s="114"/>
      <c r="BE41" s="113" t="str">
        <f t="shared" ca="1" si="12"/>
        <v/>
      </c>
      <c r="BF41" s="121"/>
      <c r="BG41" s="117" t="str">
        <f>IF($D41="","",COUNTIFS($D$39:$D41,$D41))</f>
        <v/>
      </c>
      <c r="BH41" s="117" t="str">
        <f>IF($H41="","",COUNTIFS($H$39:$H41,$H41))</f>
        <v/>
      </c>
    </row>
    <row r="42" spans="1:60" ht="15" customHeight="1">
      <c r="A42" s="113" t="str">
        <f t="shared" si="6"/>
        <v/>
      </c>
      <c r="B42" s="114"/>
      <c r="C42" s="114"/>
      <c r="D42" s="114"/>
      <c r="E42" s="115" t="str">
        <f>IFERROR(INDEX(DONATEURS!$B$56:$B$205,MATCH($D42,DONATEURS!$A$56:$A$205,0)),"")</f>
        <v/>
      </c>
      <c r="F42" s="115" t="str">
        <f>IFERROR(INDEX(DONATEURS!$E$56:$E$205,MATCH($D42,DONATEURS!$A$56:$A$205,0)),"")</f>
        <v/>
      </c>
      <c r="G42" s="115" t="str">
        <f>IFERROR(INDEX(DONATEURS!$G$56:$G$205,MATCH($D42,DONATEURS!$A$56:$A$205,0)),"")</f>
        <v/>
      </c>
      <c r="H42" s="114"/>
      <c r="I42" s="115" t="str">
        <f>IFERROR(INDEX(PROJETS!$C$56:$C$95,MATCH($H42,PROJETS!$A$56:$A$95,0)),"")</f>
        <v/>
      </c>
      <c r="J42" s="115" t="str">
        <f>IFERROR(INDEX(PROJETS!$J$56:$J$95,MATCH($H42,PROJETS!$A$56:$A$95,0)),"")</f>
        <v/>
      </c>
      <c r="K42" s="115" t="str">
        <f>IFERROR(INDEX(PROJETS!$N$56:$N$95,MATCH($H42,PROJETS!$A$56:$A$95,0)),"")</f>
        <v/>
      </c>
      <c r="L42" s="114"/>
      <c r="M42" s="115" t="str">
        <f>IFERROR(INDEX(ACTIVITES!$G$56:$G$105,MATCH($L42,ACTIVITES!$A$56:$A$105,0)),"")</f>
        <v/>
      </c>
      <c r="N42" s="114"/>
      <c r="O42" s="114"/>
      <c r="P42" s="114"/>
      <c r="Q42" s="114"/>
      <c r="R42" s="114"/>
      <c r="S42" s="114"/>
      <c r="T42" s="116"/>
      <c r="U42" s="116"/>
      <c r="V42" s="117" t="str">
        <f t="shared" si="7"/>
        <v/>
      </c>
      <c r="W42" s="113" t="str">
        <f t="shared" si="8"/>
        <v/>
      </c>
      <c r="X42" s="113" t="str">
        <f t="shared" si="9"/>
        <v/>
      </c>
      <c r="Y42" s="114"/>
      <c r="Z42" s="118"/>
      <c r="AA42" s="119"/>
      <c r="AB42" s="120" t="str">
        <f t="shared" si="10"/>
        <v/>
      </c>
      <c r="AC42" s="119"/>
      <c r="AD42" s="120" t="str">
        <f t="shared" si="11"/>
        <v/>
      </c>
      <c r="AE42" s="114"/>
      <c r="AF42" s="114"/>
      <c r="AG42" s="114"/>
      <c r="AH42" s="121"/>
      <c r="AI42" s="114"/>
      <c r="AJ42" s="121"/>
      <c r="AK42" s="121"/>
      <c r="AL42" s="116"/>
      <c r="AM42" s="114"/>
      <c r="AN42" s="114"/>
      <c r="AO42" s="114"/>
      <c r="AP42" s="114"/>
      <c r="AQ42" s="121"/>
      <c r="AR42" s="114"/>
      <c r="AS42" s="114"/>
      <c r="AT42" s="114"/>
      <c r="AU42" s="114"/>
      <c r="AV42" s="119"/>
      <c r="AW42" s="114"/>
      <c r="AX42" s="114"/>
      <c r="AY42" s="121"/>
      <c r="AZ42" s="114"/>
      <c r="BA42" s="114"/>
      <c r="BB42" s="114"/>
      <c r="BC42" s="116"/>
      <c r="BD42" s="114"/>
      <c r="BE42" s="113" t="str">
        <f t="shared" ca="1" si="12"/>
        <v/>
      </c>
      <c r="BF42" s="121"/>
      <c r="BG42" s="117" t="str">
        <f>IF($D42="","",COUNTIFS($D$39:$D42,$D42))</f>
        <v/>
      </c>
      <c r="BH42" s="117" t="str">
        <f>IF($H42="","",COUNTIFS($H$39:$H42,$H42))</f>
        <v/>
      </c>
    </row>
    <row r="43" spans="1:60" ht="15" customHeight="1">
      <c r="A43" s="113" t="str">
        <f t="shared" si="6"/>
        <v/>
      </c>
      <c r="B43" s="114"/>
      <c r="C43" s="114"/>
      <c r="D43" s="114"/>
      <c r="E43" s="115" t="str">
        <f>IFERROR(INDEX(DONATEURS!$B$56:$B$205,MATCH($D43,DONATEURS!$A$56:$A$205,0)),"")</f>
        <v/>
      </c>
      <c r="F43" s="115" t="str">
        <f>IFERROR(INDEX(DONATEURS!$E$56:$E$205,MATCH($D43,DONATEURS!$A$56:$A$205,0)),"")</f>
        <v/>
      </c>
      <c r="G43" s="115" t="str">
        <f>IFERROR(INDEX(DONATEURS!$G$56:$G$205,MATCH($D43,DONATEURS!$A$56:$A$205,0)),"")</f>
        <v/>
      </c>
      <c r="H43" s="114"/>
      <c r="I43" s="115" t="str">
        <f>IFERROR(INDEX(PROJETS!$C$56:$C$95,MATCH($H43,PROJETS!$A$56:$A$95,0)),"")</f>
        <v/>
      </c>
      <c r="J43" s="115" t="str">
        <f>IFERROR(INDEX(PROJETS!$J$56:$J$95,MATCH($H43,PROJETS!$A$56:$A$95,0)),"")</f>
        <v/>
      </c>
      <c r="K43" s="115" t="str">
        <f>IFERROR(INDEX(PROJETS!$N$56:$N$95,MATCH($H43,PROJETS!$A$56:$A$95,0)),"")</f>
        <v/>
      </c>
      <c r="L43" s="114"/>
      <c r="M43" s="115" t="str">
        <f>IFERROR(INDEX(ACTIVITES!$G$56:$G$105,MATCH($L43,ACTIVITES!$A$56:$A$105,0)),"")</f>
        <v/>
      </c>
      <c r="N43" s="114"/>
      <c r="O43" s="114"/>
      <c r="P43" s="114"/>
      <c r="Q43" s="114"/>
      <c r="R43" s="114"/>
      <c r="S43" s="114"/>
      <c r="T43" s="116"/>
      <c r="U43" s="116"/>
      <c r="V43" s="117" t="str">
        <f t="shared" si="7"/>
        <v/>
      </c>
      <c r="W43" s="113" t="str">
        <f t="shared" si="8"/>
        <v/>
      </c>
      <c r="X43" s="113" t="str">
        <f t="shared" si="9"/>
        <v/>
      </c>
      <c r="Y43" s="114"/>
      <c r="Z43" s="118"/>
      <c r="AA43" s="119"/>
      <c r="AB43" s="120" t="str">
        <f t="shared" si="10"/>
        <v/>
      </c>
      <c r="AC43" s="119"/>
      <c r="AD43" s="120" t="str">
        <f t="shared" si="11"/>
        <v/>
      </c>
      <c r="AE43" s="114"/>
      <c r="AF43" s="114"/>
      <c r="AG43" s="114"/>
      <c r="AH43" s="121"/>
      <c r="AI43" s="114"/>
      <c r="AJ43" s="121"/>
      <c r="AK43" s="121"/>
      <c r="AL43" s="116"/>
      <c r="AM43" s="114"/>
      <c r="AN43" s="114"/>
      <c r="AO43" s="114"/>
      <c r="AP43" s="114"/>
      <c r="AQ43" s="121"/>
      <c r="AR43" s="114"/>
      <c r="AS43" s="114"/>
      <c r="AT43" s="114"/>
      <c r="AU43" s="114"/>
      <c r="AV43" s="119"/>
      <c r="AW43" s="114"/>
      <c r="AX43" s="114"/>
      <c r="AY43" s="121"/>
      <c r="AZ43" s="114"/>
      <c r="BA43" s="114"/>
      <c r="BB43" s="114"/>
      <c r="BC43" s="116"/>
      <c r="BD43" s="114"/>
      <c r="BE43" s="113" t="str">
        <f t="shared" ca="1" si="12"/>
        <v/>
      </c>
      <c r="BF43" s="121"/>
      <c r="BG43" s="117" t="str">
        <f>IF($D43="","",COUNTIFS($D$39:$D43,$D43))</f>
        <v/>
      </c>
      <c r="BH43" s="117" t="str">
        <f>IF($H43="","",COUNTIFS($H$39:$H43,$H43))</f>
        <v/>
      </c>
    </row>
    <row r="44" spans="1:60" ht="15" customHeight="1">
      <c r="A44" s="113" t="str">
        <f t="shared" si="6"/>
        <v/>
      </c>
      <c r="B44" s="114"/>
      <c r="C44" s="114"/>
      <c r="D44" s="114"/>
      <c r="E44" s="115" t="str">
        <f>IFERROR(INDEX(DONATEURS!$B$56:$B$205,MATCH($D44,DONATEURS!$A$56:$A$205,0)),"")</f>
        <v/>
      </c>
      <c r="F44" s="115" t="str">
        <f>IFERROR(INDEX(DONATEURS!$E$56:$E$205,MATCH($D44,DONATEURS!$A$56:$A$205,0)),"")</f>
        <v/>
      </c>
      <c r="G44" s="115" t="str">
        <f>IFERROR(INDEX(DONATEURS!$G$56:$G$205,MATCH($D44,DONATEURS!$A$56:$A$205,0)),"")</f>
        <v/>
      </c>
      <c r="H44" s="114"/>
      <c r="I44" s="115" t="str">
        <f>IFERROR(INDEX(PROJETS!$C$56:$C$95,MATCH($H44,PROJETS!$A$56:$A$95,0)),"")</f>
        <v/>
      </c>
      <c r="J44" s="115" t="str">
        <f>IFERROR(INDEX(PROJETS!$J$56:$J$95,MATCH($H44,PROJETS!$A$56:$A$95,0)),"")</f>
        <v/>
      </c>
      <c r="K44" s="115" t="str">
        <f>IFERROR(INDEX(PROJETS!$N$56:$N$95,MATCH($H44,PROJETS!$A$56:$A$95,0)),"")</f>
        <v/>
      </c>
      <c r="L44" s="114"/>
      <c r="M44" s="115" t="str">
        <f>IFERROR(INDEX(ACTIVITES!$G$56:$G$105,MATCH($L44,ACTIVITES!$A$56:$A$105,0)),"")</f>
        <v/>
      </c>
      <c r="N44" s="114"/>
      <c r="O44" s="114"/>
      <c r="P44" s="114"/>
      <c r="Q44" s="114"/>
      <c r="R44" s="114"/>
      <c r="S44" s="114"/>
      <c r="T44" s="116"/>
      <c r="U44" s="116"/>
      <c r="V44" s="117" t="str">
        <f t="shared" si="7"/>
        <v/>
      </c>
      <c r="W44" s="113" t="str">
        <f t="shared" si="8"/>
        <v/>
      </c>
      <c r="X44" s="113" t="str">
        <f t="shared" si="9"/>
        <v/>
      </c>
      <c r="Y44" s="114"/>
      <c r="Z44" s="118"/>
      <c r="AA44" s="119"/>
      <c r="AB44" s="120" t="str">
        <f t="shared" si="10"/>
        <v/>
      </c>
      <c r="AC44" s="119"/>
      <c r="AD44" s="120" t="str">
        <f t="shared" si="11"/>
        <v/>
      </c>
      <c r="AE44" s="114"/>
      <c r="AF44" s="114"/>
      <c r="AG44" s="114"/>
      <c r="AH44" s="121"/>
      <c r="AI44" s="114"/>
      <c r="AJ44" s="121"/>
      <c r="AK44" s="121"/>
      <c r="AL44" s="116"/>
      <c r="AM44" s="114"/>
      <c r="AN44" s="114"/>
      <c r="AO44" s="114"/>
      <c r="AP44" s="114"/>
      <c r="AQ44" s="121"/>
      <c r="AR44" s="114"/>
      <c r="AS44" s="114"/>
      <c r="AT44" s="114"/>
      <c r="AU44" s="114"/>
      <c r="AV44" s="119"/>
      <c r="AW44" s="114"/>
      <c r="AX44" s="114"/>
      <c r="AY44" s="121"/>
      <c r="AZ44" s="114"/>
      <c r="BA44" s="114"/>
      <c r="BB44" s="114"/>
      <c r="BC44" s="116"/>
      <c r="BD44" s="114"/>
      <c r="BE44" s="113" t="str">
        <f t="shared" ca="1" si="12"/>
        <v/>
      </c>
      <c r="BF44" s="121"/>
      <c r="BG44" s="117" t="str">
        <f>IF($D44="","",COUNTIFS($D$39:$D44,$D44))</f>
        <v/>
      </c>
      <c r="BH44" s="117" t="str">
        <f>IF($H44="","",COUNTIFS($H$39:$H44,$H44))</f>
        <v/>
      </c>
    </row>
    <row r="45" spans="1:60" ht="15" customHeight="1">
      <c r="A45" s="113" t="str">
        <f t="shared" si="6"/>
        <v/>
      </c>
      <c r="B45" s="114"/>
      <c r="C45" s="114"/>
      <c r="D45" s="114"/>
      <c r="E45" s="115" t="str">
        <f>IFERROR(INDEX(DONATEURS!$B$56:$B$205,MATCH($D45,DONATEURS!$A$56:$A$205,0)),"")</f>
        <v/>
      </c>
      <c r="F45" s="115" t="str">
        <f>IFERROR(INDEX(DONATEURS!$E$56:$E$205,MATCH($D45,DONATEURS!$A$56:$A$205,0)),"")</f>
        <v/>
      </c>
      <c r="G45" s="115" t="str">
        <f>IFERROR(INDEX(DONATEURS!$G$56:$G$205,MATCH($D45,DONATEURS!$A$56:$A$205,0)),"")</f>
        <v/>
      </c>
      <c r="H45" s="114"/>
      <c r="I45" s="115" t="str">
        <f>IFERROR(INDEX(PROJETS!$C$56:$C$95,MATCH($H45,PROJETS!$A$56:$A$95,0)),"")</f>
        <v/>
      </c>
      <c r="J45" s="115" t="str">
        <f>IFERROR(INDEX(PROJETS!$J$56:$J$95,MATCH($H45,PROJETS!$A$56:$A$95,0)),"")</f>
        <v/>
      </c>
      <c r="K45" s="115" t="str">
        <f>IFERROR(INDEX(PROJETS!$N$56:$N$95,MATCH($H45,PROJETS!$A$56:$A$95,0)),"")</f>
        <v/>
      </c>
      <c r="L45" s="114"/>
      <c r="M45" s="115" t="str">
        <f>IFERROR(INDEX(ACTIVITES!$G$56:$G$105,MATCH($L45,ACTIVITES!$A$56:$A$105,0)),"")</f>
        <v/>
      </c>
      <c r="N45" s="114"/>
      <c r="O45" s="114"/>
      <c r="P45" s="114"/>
      <c r="Q45" s="114"/>
      <c r="R45" s="114"/>
      <c r="S45" s="114"/>
      <c r="T45" s="116"/>
      <c r="U45" s="116"/>
      <c r="V45" s="117" t="str">
        <f t="shared" si="7"/>
        <v/>
      </c>
      <c r="W45" s="113" t="str">
        <f t="shared" si="8"/>
        <v/>
      </c>
      <c r="X45" s="113" t="str">
        <f t="shared" si="9"/>
        <v/>
      </c>
      <c r="Y45" s="114"/>
      <c r="Z45" s="118"/>
      <c r="AA45" s="119"/>
      <c r="AB45" s="120" t="str">
        <f t="shared" si="10"/>
        <v/>
      </c>
      <c r="AC45" s="119"/>
      <c r="AD45" s="120" t="str">
        <f t="shared" si="11"/>
        <v/>
      </c>
      <c r="AE45" s="114"/>
      <c r="AF45" s="114"/>
      <c r="AG45" s="114"/>
      <c r="AH45" s="121"/>
      <c r="AI45" s="114"/>
      <c r="AJ45" s="121"/>
      <c r="AK45" s="121"/>
      <c r="AL45" s="116"/>
      <c r="AM45" s="114"/>
      <c r="AN45" s="114"/>
      <c r="AO45" s="114"/>
      <c r="AP45" s="114"/>
      <c r="AQ45" s="121"/>
      <c r="AR45" s="114"/>
      <c r="AS45" s="114"/>
      <c r="AT45" s="114"/>
      <c r="AU45" s="114"/>
      <c r="AV45" s="119"/>
      <c r="AW45" s="114"/>
      <c r="AX45" s="114"/>
      <c r="AY45" s="121"/>
      <c r="AZ45" s="114"/>
      <c r="BA45" s="114"/>
      <c r="BB45" s="114"/>
      <c r="BC45" s="116"/>
      <c r="BD45" s="114"/>
      <c r="BE45" s="113" t="str">
        <f t="shared" ca="1" si="12"/>
        <v/>
      </c>
      <c r="BF45" s="121"/>
      <c r="BG45" s="117" t="str">
        <f>IF($D45="","",COUNTIFS($D$39:$D45,$D45))</f>
        <v/>
      </c>
      <c r="BH45" s="117" t="str">
        <f>IF($H45="","",COUNTIFS($H$39:$H45,$H45))</f>
        <v/>
      </c>
    </row>
    <row r="46" spans="1:60" ht="15" customHeight="1">
      <c r="A46" s="113" t="str">
        <f t="shared" si="6"/>
        <v/>
      </c>
      <c r="B46" s="114"/>
      <c r="C46" s="114"/>
      <c r="D46" s="114"/>
      <c r="E46" s="115" t="str">
        <f>IFERROR(INDEX(DONATEURS!$B$56:$B$205,MATCH($D46,DONATEURS!$A$56:$A$205,0)),"")</f>
        <v/>
      </c>
      <c r="F46" s="115" t="str">
        <f>IFERROR(INDEX(DONATEURS!$E$56:$E$205,MATCH($D46,DONATEURS!$A$56:$A$205,0)),"")</f>
        <v/>
      </c>
      <c r="G46" s="115" t="str">
        <f>IFERROR(INDEX(DONATEURS!$G$56:$G$205,MATCH($D46,DONATEURS!$A$56:$A$205,0)),"")</f>
        <v/>
      </c>
      <c r="H46" s="114"/>
      <c r="I46" s="115" t="str">
        <f>IFERROR(INDEX(PROJETS!$C$56:$C$95,MATCH($H46,PROJETS!$A$56:$A$95,0)),"")</f>
        <v/>
      </c>
      <c r="J46" s="115" t="str">
        <f>IFERROR(INDEX(PROJETS!$J$56:$J$95,MATCH($H46,PROJETS!$A$56:$A$95,0)),"")</f>
        <v/>
      </c>
      <c r="K46" s="115" t="str">
        <f>IFERROR(INDEX(PROJETS!$N$56:$N$95,MATCH($H46,PROJETS!$A$56:$A$95,0)),"")</f>
        <v/>
      </c>
      <c r="L46" s="114"/>
      <c r="M46" s="115" t="str">
        <f>IFERROR(INDEX(ACTIVITES!$G$56:$G$105,MATCH($L46,ACTIVITES!$A$56:$A$105,0)),"")</f>
        <v/>
      </c>
      <c r="N46" s="114"/>
      <c r="O46" s="114"/>
      <c r="P46" s="114"/>
      <c r="Q46" s="114"/>
      <c r="R46" s="114"/>
      <c r="S46" s="114"/>
      <c r="T46" s="116"/>
      <c r="U46" s="116"/>
      <c r="V46" s="117" t="str">
        <f t="shared" si="7"/>
        <v/>
      </c>
      <c r="W46" s="113" t="str">
        <f t="shared" si="8"/>
        <v/>
      </c>
      <c r="X46" s="113" t="str">
        <f t="shared" si="9"/>
        <v/>
      </c>
      <c r="Y46" s="114"/>
      <c r="Z46" s="118"/>
      <c r="AA46" s="119"/>
      <c r="AB46" s="120" t="str">
        <f t="shared" si="10"/>
        <v/>
      </c>
      <c r="AC46" s="119"/>
      <c r="AD46" s="120" t="str">
        <f t="shared" si="11"/>
        <v/>
      </c>
      <c r="AE46" s="114"/>
      <c r="AF46" s="114"/>
      <c r="AG46" s="114"/>
      <c r="AH46" s="121"/>
      <c r="AI46" s="114"/>
      <c r="AJ46" s="121"/>
      <c r="AK46" s="121"/>
      <c r="AL46" s="116"/>
      <c r="AM46" s="114"/>
      <c r="AN46" s="114"/>
      <c r="AO46" s="114"/>
      <c r="AP46" s="114"/>
      <c r="AQ46" s="121"/>
      <c r="AR46" s="114"/>
      <c r="AS46" s="114"/>
      <c r="AT46" s="114"/>
      <c r="AU46" s="114"/>
      <c r="AV46" s="119"/>
      <c r="AW46" s="114"/>
      <c r="AX46" s="114"/>
      <c r="AY46" s="121"/>
      <c r="AZ46" s="114"/>
      <c r="BA46" s="114"/>
      <c r="BB46" s="114"/>
      <c r="BC46" s="116"/>
      <c r="BD46" s="114"/>
      <c r="BE46" s="113" t="str">
        <f t="shared" ca="1" si="12"/>
        <v/>
      </c>
      <c r="BF46" s="121"/>
      <c r="BG46" s="117" t="str">
        <f>IF($D46="","",COUNTIFS($D$39:$D46,$D46))</f>
        <v/>
      </c>
      <c r="BH46" s="117" t="str">
        <f>IF($H46="","",COUNTIFS($H$39:$H46,$H46))</f>
        <v/>
      </c>
    </row>
    <row r="47" spans="1:60" ht="15" customHeight="1">
      <c r="A47" s="113" t="str">
        <f t="shared" si="6"/>
        <v/>
      </c>
      <c r="B47" s="114"/>
      <c r="C47" s="114"/>
      <c r="D47" s="114"/>
      <c r="E47" s="115" t="str">
        <f>IFERROR(INDEX(DONATEURS!$B$56:$B$205,MATCH($D47,DONATEURS!$A$56:$A$205,0)),"")</f>
        <v/>
      </c>
      <c r="F47" s="115" t="str">
        <f>IFERROR(INDEX(DONATEURS!$E$56:$E$205,MATCH($D47,DONATEURS!$A$56:$A$205,0)),"")</f>
        <v/>
      </c>
      <c r="G47" s="115" t="str">
        <f>IFERROR(INDEX(DONATEURS!$G$56:$G$205,MATCH($D47,DONATEURS!$A$56:$A$205,0)),"")</f>
        <v/>
      </c>
      <c r="H47" s="114"/>
      <c r="I47" s="115" t="str">
        <f>IFERROR(INDEX(PROJETS!$C$56:$C$95,MATCH($H47,PROJETS!$A$56:$A$95,0)),"")</f>
        <v/>
      </c>
      <c r="J47" s="115" t="str">
        <f>IFERROR(INDEX(PROJETS!$J$56:$J$95,MATCH($H47,PROJETS!$A$56:$A$95,0)),"")</f>
        <v/>
      </c>
      <c r="K47" s="115" t="str">
        <f>IFERROR(INDEX(PROJETS!$N$56:$N$95,MATCH($H47,PROJETS!$A$56:$A$95,0)),"")</f>
        <v/>
      </c>
      <c r="L47" s="114"/>
      <c r="M47" s="115" t="str">
        <f>IFERROR(INDEX(ACTIVITES!$G$56:$G$105,MATCH($L47,ACTIVITES!$A$56:$A$105,0)),"")</f>
        <v/>
      </c>
      <c r="N47" s="114"/>
      <c r="O47" s="114"/>
      <c r="P47" s="114"/>
      <c r="Q47" s="114"/>
      <c r="R47" s="114"/>
      <c r="S47" s="114"/>
      <c r="T47" s="116"/>
      <c r="U47" s="116"/>
      <c r="V47" s="117" t="str">
        <f t="shared" si="7"/>
        <v/>
      </c>
      <c r="W47" s="113" t="str">
        <f t="shared" si="8"/>
        <v/>
      </c>
      <c r="X47" s="113" t="str">
        <f t="shared" si="9"/>
        <v/>
      </c>
      <c r="Y47" s="114"/>
      <c r="Z47" s="118"/>
      <c r="AA47" s="119"/>
      <c r="AB47" s="120" t="str">
        <f t="shared" si="10"/>
        <v/>
      </c>
      <c r="AC47" s="119"/>
      <c r="AD47" s="120" t="str">
        <f t="shared" si="11"/>
        <v/>
      </c>
      <c r="AE47" s="114"/>
      <c r="AF47" s="114"/>
      <c r="AG47" s="114"/>
      <c r="AH47" s="121"/>
      <c r="AI47" s="114"/>
      <c r="AJ47" s="121"/>
      <c r="AK47" s="121"/>
      <c r="AL47" s="116"/>
      <c r="AM47" s="114"/>
      <c r="AN47" s="114"/>
      <c r="AO47" s="114"/>
      <c r="AP47" s="114"/>
      <c r="AQ47" s="121"/>
      <c r="AR47" s="114"/>
      <c r="AS47" s="114"/>
      <c r="AT47" s="114"/>
      <c r="AU47" s="114"/>
      <c r="AV47" s="119"/>
      <c r="AW47" s="114"/>
      <c r="AX47" s="114"/>
      <c r="AY47" s="121"/>
      <c r="AZ47" s="114"/>
      <c r="BA47" s="114"/>
      <c r="BB47" s="114"/>
      <c r="BC47" s="116"/>
      <c r="BD47" s="114"/>
      <c r="BE47" s="113" t="str">
        <f t="shared" ca="1" si="12"/>
        <v/>
      </c>
      <c r="BF47" s="121"/>
      <c r="BG47" s="117" t="str">
        <f>IF($D47="","",COUNTIFS($D$39:$D47,$D47))</f>
        <v/>
      </c>
      <c r="BH47" s="117" t="str">
        <f>IF($H47="","",COUNTIFS($H$39:$H47,$H47))</f>
        <v/>
      </c>
    </row>
    <row r="48" spans="1:60" ht="15" customHeight="1">
      <c r="A48" s="113" t="str">
        <f t="shared" si="6"/>
        <v/>
      </c>
      <c r="B48" s="114"/>
      <c r="C48" s="114"/>
      <c r="D48" s="114"/>
      <c r="E48" s="115" t="str">
        <f>IFERROR(INDEX(DONATEURS!$B$56:$B$205,MATCH($D48,DONATEURS!$A$56:$A$205,0)),"")</f>
        <v/>
      </c>
      <c r="F48" s="115" t="str">
        <f>IFERROR(INDEX(DONATEURS!$E$56:$E$205,MATCH($D48,DONATEURS!$A$56:$A$205,0)),"")</f>
        <v/>
      </c>
      <c r="G48" s="115" t="str">
        <f>IFERROR(INDEX(DONATEURS!$G$56:$G$205,MATCH($D48,DONATEURS!$A$56:$A$205,0)),"")</f>
        <v/>
      </c>
      <c r="H48" s="114"/>
      <c r="I48" s="115" t="str">
        <f>IFERROR(INDEX(PROJETS!$C$56:$C$95,MATCH($H48,PROJETS!$A$56:$A$95,0)),"")</f>
        <v/>
      </c>
      <c r="J48" s="115" t="str">
        <f>IFERROR(INDEX(PROJETS!$J$56:$J$95,MATCH($H48,PROJETS!$A$56:$A$95,0)),"")</f>
        <v/>
      </c>
      <c r="K48" s="115" t="str">
        <f>IFERROR(INDEX(PROJETS!$N$56:$N$95,MATCH($H48,PROJETS!$A$56:$A$95,0)),"")</f>
        <v/>
      </c>
      <c r="L48" s="114"/>
      <c r="M48" s="115" t="str">
        <f>IFERROR(INDEX(ACTIVITES!$G$56:$G$105,MATCH($L48,ACTIVITES!$A$56:$A$105,0)),"")</f>
        <v/>
      </c>
      <c r="N48" s="114"/>
      <c r="O48" s="114"/>
      <c r="P48" s="114"/>
      <c r="Q48" s="114"/>
      <c r="R48" s="114"/>
      <c r="S48" s="114"/>
      <c r="T48" s="116"/>
      <c r="U48" s="116"/>
      <c r="V48" s="117" t="str">
        <f t="shared" si="7"/>
        <v/>
      </c>
      <c r="W48" s="113" t="str">
        <f t="shared" si="8"/>
        <v/>
      </c>
      <c r="X48" s="113" t="str">
        <f t="shared" si="9"/>
        <v/>
      </c>
      <c r="Y48" s="114"/>
      <c r="Z48" s="118"/>
      <c r="AA48" s="119"/>
      <c r="AB48" s="120" t="str">
        <f t="shared" si="10"/>
        <v/>
      </c>
      <c r="AC48" s="119"/>
      <c r="AD48" s="120" t="str">
        <f t="shared" si="11"/>
        <v/>
      </c>
      <c r="AE48" s="114"/>
      <c r="AF48" s="114"/>
      <c r="AG48" s="114"/>
      <c r="AH48" s="121"/>
      <c r="AI48" s="114"/>
      <c r="AJ48" s="121"/>
      <c r="AK48" s="121"/>
      <c r="AL48" s="116"/>
      <c r="AM48" s="114"/>
      <c r="AN48" s="114"/>
      <c r="AO48" s="114"/>
      <c r="AP48" s="114"/>
      <c r="AQ48" s="121"/>
      <c r="AR48" s="114"/>
      <c r="AS48" s="114"/>
      <c r="AT48" s="114"/>
      <c r="AU48" s="114"/>
      <c r="AV48" s="119"/>
      <c r="AW48" s="114"/>
      <c r="AX48" s="114"/>
      <c r="AY48" s="121"/>
      <c r="AZ48" s="114"/>
      <c r="BA48" s="114"/>
      <c r="BB48" s="114"/>
      <c r="BC48" s="116"/>
      <c r="BD48" s="114"/>
      <c r="BE48" s="113" t="str">
        <f t="shared" ca="1" si="12"/>
        <v/>
      </c>
      <c r="BF48" s="121"/>
      <c r="BG48" s="117" t="str">
        <f>IF($D48="","",COUNTIFS($D$39:$D48,$D48))</f>
        <v/>
      </c>
      <c r="BH48" s="117" t="str">
        <f>IF($H48="","",COUNTIFS($H$39:$H48,$H48))</f>
        <v/>
      </c>
    </row>
    <row r="49" spans="1:60" ht="15" customHeight="1">
      <c r="A49" s="113" t="str">
        <f t="shared" si="6"/>
        <v/>
      </c>
      <c r="B49" s="114"/>
      <c r="C49" s="114"/>
      <c r="D49" s="114"/>
      <c r="E49" s="115" t="str">
        <f>IFERROR(INDEX(DONATEURS!$B$56:$B$205,MATCH($D49,DONATEURS!$A$56:$A$205,0)),"")</f>
        <v/>
      </c>
      <c r="F49" s="115" t="str">
        <f>IFERROR(INDEX(DONATEURS!$E$56:$E$205,MATCH($D49,DONATEURS!$A$56:$A$205,0)),"")</f>
        <v/>
      </c>
      <c r="G49" s="115" t="str">
        <f>IFERROR(INDEX(DONATEURS!$G$56:$G$205,MATCH($D49,DONATEURS!$A$56:$A$205,0)),"")</f>
        <v/>
      </c>
      <c r="H49" s="114"/>
      <c r="I49" s="115" t="str">
        <f>IFERROR(INDEX(PROJETS!$C$56:$C$95,MATCH($H49,PROJETS!$A$56:$A$95,0)),"")</f>
        <v/>
      </c>
      <c r="J49" s="115" t="str">
        <f>IFERROR(INDEX(PROJETS!$J$56:$J$95,MATCH($H49,PROJETS!$A$56:$A$95,0)),"")</f>
        <v/>
      </c>
      <c r="K49" s="115" t="str">
        <f>IFERROR(INDEX(PROJETS!$N$56:$N$95,MATCH($H49,PROJETS!$A$56:$A$95,0)),"")</f>
        <v/>
      </c>
      <c r="L49" s="114"/>
      <c r="M49" s="115" t="str">
        <f>IFERROR(INDEX(ACTIVITES!$G$56:$G$105,MATCH($L49,ACTIVITES!$A$56:$A$105,0)),"")</f>
        <v/>
      </c>
      <c r="N49" s="114"/>
      <c r="O49" s="114"/>
      <c r="P49" s="114"/>
      <c r="Q49" s="114"/>
      <c r="R49" s="114"/>
      <c r="S49" s="114"/>
      <c r="T49" s="116"/>
      <c r="U49" s="116"/>
      <c r="V49" s="117" t="str">
        <f t="shared" si="7"/>
        <v/>
      </c>
      <c r="W49" s="113" t="str">
        <f t="shared" si="8"/>
        <v/>
      </c>
      <c r="X49" s="113" t="str">
        <f t="shared" si="9"/>
        <v/>
      </c>
      <c r="Y49" s="114"/>
      <c r="Z49" s="118"/>
      <c r="AA49" s="119"/>
      <c r="AB49" s="120" t="str">
        <f t="shared" si="10"/>
        <v/>
      </c>
      <c r="AC49" s="119"/>
      <c r="AD49" s="120" t="str">
        <f t="shared" si="11"/>
        <v/>
      </c>
      <c r="AE49" s="114"/>
      <c r="AF49" s="114"/>
      <c r="AG49" s="114"/>
      <c r="AH49" s="121"/>
      <c r="AI49" s="114"/>
      <c r="AJ49" s="121"/>
      <c r="AK49" s="121"/>
      <c r="AL49" s="116"/>
      <c r="AM49" s="114"/>
      <c r="AN49" s="114"/>
      <c r="AO49" s="114"/>
      <c r="AP49" s="114"/>
      <c r="AQ49" s="121"/>
      <c r="AR49" s="114"/>
      <c r="AS49" s="114"/>
      <c r="AT49" s="114"/>
      <c r="AU49" s="114"/>
      <c r="AV49" s="119"/>
      <c r="AW49" s="114"/>
      <c r="AX49" s="114"/>
      <c r="AY49" s="121"/>
      <c r="AZ49" s="114"/>
      <c r="BA49" s="114"/>
      <c r="BB49" s="114"/>
      <c r="BC49" s="116"/>
      <c r="BD49" s="114"/>
      <c r="BE49" s="113" t="str">
        <f t="shared" ca="1" si="12"/>
        <v/>
      </c>
      <c r="BF49" s="121"/>
      <c r="BG49" s="117" t="str">
        <f>IF($D49="","",COUNTIFS($D$39:$D49,$D49))</f>
        <v/>
      </c>
      <c r="BH49" s="117" t="str">
        <f>IF($H49="","",COUNTIFS($H$39:$H49,$H49))</f>
        <v/>
      </c>
    </row>
    <row r="50" spans="1:60" ht="15" customHeight="1">
      <c r="A50" s="113" t="str">
        <f t="shared" si="6"/>
        <v/>
      </c>
      <c r="B50" s="114"/>
      <c r="C50" s="114"/>
      <c r="D50" s="114"/>
      <c r="E50" s="115" t="str">
        <f>IFERROR(INDEX(DONATEURS!$B$56:$B$205,MATCH($D50,DONATEURS!$A$56:$A$205,0)),"")</f>
        <v/>
      </c>
      <c r="F50" s="115" t="str">
        <f>IFERROR(INDEX(DONATEURS!$E$56:$E$205,MATCH($D50,DONATEURS!$A$56:$A$205,0)),"")</f>
        <v/>
      </c>
      <c r="G50" s="115" t="str">
        <f>IFERROR(INDEX(DONATEURS!$G$56:$G$205,MATCH($D50,DONATEURS!$A$56:$A$205,0)),"")</f>
        <v/>
      </c>
      <c r="H50" s="114"/>
      <c r="I50" s="115" t="str">
        <f>IFERROR(INDEX(PROJETS!$C$56:$C$95,MATCH($H50,PROJETS!$A$56:$A$95,0)),"")</f>
        <v/>
      </c>
      <c r="J50" s="115" t="str">
        <f>IFERROR(INDEX(PROJETS!$J$56:$J$95,MATCH($H50,PROJETS!$A$56:$A$95,0)),"")</f>
        <v/>
      </c>
      <c r="K50" s="115" t="str">
        <f>IFERROR(INDEX(PROJETS!$N$56:$N$95,MATCH($H50,PROJETS!$A$56:$A$95,0)),"")</f>
        <v/>
      </c>
      <c r="L50" s="114"/>
      <c r="M50" s="115" t="str">
        <f>IFERROR(INDEX(ACTIVITES!$G$56:$G$105,MATCH($L50,ACTIVITES!$A$56:$A$105,0)),"")</f>
        <v/>
      </c>
      <c r="N50" s="114"/>
      <c r="O50" s="114"/>
      <c r="P50" s="114"/>
      <c r="Q50" s="114"/>
      <c r="R50" s="114"/>
      <c r="S50" s="114"/>
      <c r="T50" s="116"/>
      <c r="U50" s="116"/>
      <c r="V50" s="117" t="str">
        <f t="shared" si="7"/>
        <v/>
      </c>
      <c r="W50" s="113" t="str">
        <f t="shared" si="8"/>
        <v/>
      </c>
      <c r="X50" s="113" t="str">
        <f t="shared" si="9"/>
        <v/>
      </c>
      <c r="Y50" s="114"/>
      <c r="Z50" s="118"/>
      <c r="AA50" s="119"/>
      <c r="AB50" s="120" t="str">
        <f t="shared" si="10"/>
        <v/>
      </c>
      <c r="AC50" s="119"/>
      <c r="AD50" s="120" t="str">
        <f t="shared" si="11"/>
        <v/>
      </c>
      <c r="AE50" s="114"/>
      <c r="AF50" s="114"/>
      <c r="AG50" s="114"/>
      <c r="AH50" s="121"/>
      <c r="AI50" s="114"/>
      <c r="AJ50" s="121"/>
      <c r="AK50" s="121"/>
      <c r="AL50" s="116"/>
      <c r="AM50" s="114"/>
      <c r="AN50" s="114"/>
      <c r="AO50" s="114"/>
      <c r="AP50" s="114"/>
      <c r="AQ50" s="121"/>
      <c r="AR50" s="114"/>
      <c r="AS50" s="114"/>
      <c r="AT50" s="114"/>
      <c r="AU50" s="114"/>
      <c r="AV50" s="119"/>
      <c r="AW50" s="114"/>
      <c r="AX50" s="114"/>
      <c r="AY50" s="121"/>
      <c r="AZ50" s="114"/>
      <c r="BA50" s="114"/>
      <c r="BB50" s="114"/>
      <c r="BC50" s="116"/>
      <c r="BD50" s="114"/>
      <c r="BE50" s="113" t="str">
        <f t="shared" ca="1" si="12"/>
        <v/>
      </c>
      <c r="BF50" s="121"/>
      <c r="BG50" s="117" t="str">
        <f>IF($D50="","",COUNTIFS($D$39:$D50,$D50))</f>
        <v/>
      </c>
      <c r="BH50" s="117" t="str">
        <f>IF($H50="","",COUNTIFS($H$39:$H50,$H50))</f>
        <v/>
      </c>
    </row>
    <row r="51" spans="1:60" ht="15" customHeight="1">
      <c r="A51" s="113" t="str">
        <f t="shared" si="6"/>
        <v/>
      </c>
      <c r="B51" s="114"/>
      <c r="C51" s="114"/>
      <c r="D51" s="114"/>
      <c r="E51" s="115" t="str">
        <f>IFERROR(INDEX(DONATEURS!$B$56:$B$205,MATCH($D51,DONATEURS!$A$56:$A$205,0)),"")</f>
        <v/>
      </c>
      <c r="F51" s="115" t="str">
        <f>IFERROR(INDEX(DONATEURS!$E$56:$E$205,MATCH($D51,DONATEURS!$A$56:$A$205,0)),"")</f>
        <v/>
      </c>
      <c r="G51" s="115" t="str">
        <f>IFERROR(INDEX(DONATEURS!$G$56:$G$205,MATCH($D51,DONATEURS!$A$56:$A$205,0)),"")</f>
        <v/>
      </c>
      <c r="H51" s="114"/>
      <c r="I51" s="115" t="str">
        <f>IFERROR(INDEX(PROJETS!$C$56:$C$95,MATCH($H51,PROJETS!$A$56:$A$95,0)),"")</f>
        <v/>
      </c>
      <c r="J51" s="115" t="str">
        <f>IFERROR(INDEX(PROJETS!$J$56:$J$95,MATCH($H51,PROJETS!$A$56:$A$95,0)),"")</f>
        <v/>
      </c>
      <c r="K51" s="115" t="str">
        <f>IFERROR(INDEX(PROJETS!$N$56:$N$95,MATCH($H51,PROJETS!$A$56:$A$95,0)),"")</f>
        <v/>
      </c>
      <c r="L51" s="114"/>
      <c r="M51" s="115" t="str">
        <f>IFERROR(INDEX(ACTIVITES!$G$56:$G$105,MATCH($L51,ACTIVITES!$A$56:$A$105,0)),"")</f>
        <v/>
      </c>
      <c r="N51" s="114"/>
      <c r="O51" s="114"/>
      <c r="P51" s="114"/>
      <c r="Q51" s="114"/>
      <c r="R51" s="114"/>
      <c r="S51" s="114"/>
      <c r="T51" s="116"/>
      <c r="U51" s="116"/>
      <c r="V51" s="117" t="str">
        <f t="shared" si="7"/>
        <v/>
      </c>
      <c r="W51" s="113" t="str">
        <f t="shared" si="8"/>
        <v/>
      </c>
      <c r="X51" s="113" t="str">
        <f t="shared" si="9"/>
        <v/>
      </c>
      <c r="Y51" s="114"/>
      <c r="Z51" s="118"/>
      <c r="AA51" s="119"/>
      <c r="AB51" s="120" t="str">
        <f t="shared" si="10"/>
        <v/>
      </c>
      <c r="AC51" s="119"/>
      <c r="AD51" s="120" t="str">
        <f t="shared" si="11"/>
        <v/>
      </c>
      <c r="AE51" s="114"/>
      <c r="AF51" s="114"/>
      <c r="AG51" s="114"/>
      <c r="AH51" s="121"/>
      <c r="AI51" s="114"/>
      <c r="AJ51" s="121"/>
      <c r="AK51" s="121"/>
      <c r="AL51" s="116"/>
      <c r="AM51" s="114"/>
      <c r="AN51" s="114"/>
      <c r="AO51" s="114"/>
      <c r="AP51" s="114"/>
      <c r="AQ51" s="121"/>
      <c r="AR51" s="114"/>
      <c r="AS51" s="114"/>
      <c r="AT51" s="114"/>
      <c r="AU51" s="114"/>
      <c r="AV51" s="119"/>
      <c r="AW51" s="114"/>
      <c r="AX51" s="114"/>
      <c r="AY51" s="121"/>
      <c r="AZ51" s="114"/>
      <c r="BA51" s="114"/>
      <c r="BB51" s="114"/>
      <c r="BC51" s="116"/>
      <c r="BD51" s="114"/>
      <c r="BE51" s="113" t="str">
        <f t="shared" ca="1" si="12"/>
        <v/>
      </c>
      <c r="BF51" s="121"/>
      <c r="BG51" s="117" t="str">
        <f>IF($D51="","",COUNTIFS($D$39:$D51,$D51))</f>
        <v/>
      </c>
      <c r="BH51" s="117" t="str">
        <f>IF($H51="","",COUNTIFS($H$39:$H51,$H51))</f>
        <v/>
      </c>
    </row>
    <row r="52" spans="1:60" ht="15" customHeight="1">
      <c r="A52" s="113" t="str">
        <f t="shared" si="6"/>
        <v/>
      </c>
      <c r="B52" s="114"/>
      <c r="C52" s="114"/>
      <c r="D52" s="114"/>
      <c r="E52" s="115" t="str">
        <f>IFERROR(INDEX(DONATEURS!$B$56:$B$205,MATCH($D52,DONATEURS!$A$56:$A$205,0)),"")</f>
        <v/>
      </c>
      <c r="F52" s="115" t="str">
        <f>IFERROR(INDEX(DONATEURS!$E$56:$E$205,MATCH($D52,DONATEURS!$A$56:$A$205,0)),"")</f>
        <v/>
      </c>
      <c r="G52" s="115" t="str">
        <f>IFERROR(INDEX(DONATEURS!$G$56:$G$205,MATCH($D52,DONATEURS!$A$56:$A$205,0)),"")</f>
        <v/>
      </c>
      <c r="H52" s="114"/>
      <c r="I52" s="115" t="str">
        <f>IFERROR(INDEX(PROJETS!$C$56:$C$95,MATCH($H52,PROJETS!$A$56:$A$95,0)),"")</f>
        <v/>
      </c>
      <c r="J52" s="115" t="str">
        <f>IFERROR(INDEX(PROJETS!$J$56:$J$95,MATCH($H52,PROJETS!$A$56:$A$95,0)),"")</f>
        <v/>
      </c>
      <c r="K52" s="115" t="str">
        <f>IFERROR(INDEX(PROJETS!$N$56:$N$95,MATCH($H52,PROJETS!$A$56:$A$95,0)),"")</f>
        <v/>
      </c>
      <c r="L52" s="114"/>
      <c r="M52" s="115" t="str">
        <f>IFERROR(INDEX(ACTIVITES!$G$56:$G$105,MATCH($L52,ACTIVITES!$A$56:$A$105,0)),"")</f>
        <v/>
      </c>
      <c r="N52" s="114"/>
      <c r="O52" s="114"/>
      <c r="P52" s="114"/>
      <c r="Q52" s="114"/>
      <c r="R52" s="114"/>
      <c r="S52" s="114"/>
      <c r="T52" s="116"/>
      <c r="U52" s="116"/>
      <c r="V52" s="117" t="str">
        <f t="shared" si="7"/>
        <v/>
      </c>
      <c r="W52" s="113" t="str">
        <f t="shared" si="8"/>
        <v/>
      </c>
      <c r="X52" s="113" t="str">
        <f t="shared" si="9"/>
        <v/>
      </c>
      <c r="Y52" s="114"/>
      <c r="Z52" s="118"/>
      <c r="AA52" s="119"/>
      <c r="AB52" s="120" t="str">
        <f t="shared" si="10"/>
        <v/>
      </c>
      <c r="AC52" s="119"/>
      <c r="AD52" s="120" t="str">
        <f t="shared" si="11"/>
        <v/>
      </c>
      <c r="AE52" s="114"/>
      <c r="AF52" s="114"/>
      <c r="AG52" s="114"/>
      <c r="AH52" s="121"/>
      <c r="AI52" s="114"/>
      <c r="AJ52" s="121"/>
      <c r="AK52" s="121"/>
      <c r="AL52" s="116"/>
      <c r="AM52" s="114"/>
      <c r="AN52" s="114"/>
      <c r="AO52" s="114"/>
      <c r="AP52" s="114"/>
      <c r="AQ52" s="121"/>
      <c r="AR52" s="114"/>
      <c r="AS52" s="114"/>
      <c r="AT52" s="114"/>
      <c r="AU52" s="114"/>
      <c r="AV52" s="119"/>
      <c r="AW52" s="114"/>
      <c r="AX52" s="114"/>
      <c r="AY52" s="121"/>
      <c r="AZ52" s="114"/>
      <c r="BA52" s="114"/>
      <c r="BB52" s="114"/>
      <c r="BC52" s="116"/>
      <c r="BD52" s="114"/>
      <c r="BE52" s="113" t="str">
        <f t="shared" ca="1" si="12"/>
        <v/>
      </c>
      <c r="BF52" s="121"/>
      <c r="BG52" s="117" t="str">
        <f>IF($D52="","",COUNTIFS($D$39:$D52,$D52))</f>
        <v/>
      </c>
      <c r="BH52" s="117" t="str">
        <f>IF($H52="","",COUNTIFS($H$39:$H52,$H52))</f>
        <v/>
      </c>
    </row>
    <row r="53" spans="1:60" ht="15" customHeight="1">
      <c r="A53" s="113" t="str">
        <f t="shared" si="6"/>
        <v/>
      </c>
      <c r="B53" s="114"/>
      <c r="C53" s="114"/>
      <c r="D53" s="114"/>
      <c r="E53" s="115" t="str">
        <f>IFERROR(INDEX(DONATEURS!$B$56:$B$205,MATCH($D53,DONATEURS!$A$56:$A$205,0)),"")</f>
        <v/>
      </c>
      <c r="F53" s="115" t="str">
        <f>IFERROR(INDEX(DONATEURS!$E$56:$E$205,MATCH($D53,DONATEURS!$A$56:$A$205,0)),"")</f>
        <v/>
      </c>
      <c r="G53" s="115" t="str">
        <f>IFERROR(INDEX(DONATEURS!$G$56:$G$205,MATCH($D53,DONATEURS!$A$56:$A$205,0)),"")</f>
        <v/>
      </c>
      <c r="H53" s="114"/>
      <c r="I53" s="115" t="str">
        <f>IFERROR(INDEX(PROJETS!$C$56:$C$95,MATCH($H53,PROJETS!$A$56:$A$95,0)),"")</f>
        <v/>
      </c>
      <c r="J53" s="115" t="str">
        <f>IFERROR(INDEX(PROJETS!$J$56:$J$95,MATCH($H53,PROJETS!$A$56:$A$95,0)),"")</f>
        <v/>
      </c>
      <c r="K53" s="115" t="str">
        <f>IFERROR(INDEX(PROJETS!$N$56:$N$95,MATCH($H53,PROJETS!$A$56:$A$95,0)),"")</f>
        <v/>
      </c>
      <c r="L53" s="114"/>
      <c r="M53" s="115" t="str">
        <f>IFERROR(INDEX(ACTIVITES!$G$56:$G$105,MATCH($L53,ACTIVITES!$A$56:$A$105,0)),"")</f>
        <v/>
      </c>
      <c r="N53" s="114"/>
      <c r="O53" s="114"/>
      <c r="P53" s="114"/>
      <c r="Q53" s="114"/>
      <c r="R53" s="114"/>
      <c r="S53" s="114"/>
      <c r="T53" s="116"/>
      <c r="U53" s="116"/>
      <c r="V53" s="117" t="str">
        <f t="shared" si="7"/>
        <v/>
      </c>
      <c r="W53" s="113" t="str">
        <f t="shared" si="8"/>
        <v/>
      </c>
      <c r="X53" s="113" t="str">
        <f t="shared" si="9"/>
        <v/>
      </c>
      <c r="Y53" s="114"/>
      <c r="Z53" s="118"/>
      <c r="AA53" s="119"/>
      <c r="AB53" s="120" t="str">
        <f t="shared" si="10"/>
        <v/>
      </c>
      <c r="AC53" s="119"/>
      <c r="AD53" s="120" t="str">
        <f t="shared" si="11"/>
        <v/>
      </c>
      <c r="AE53" s="114"/>
      <c r="AF53" s="114"/>
      <c r="AG53" s="114"/>
      <c r="AH53" s="121"/>
      <c r="AI53" s="114"/>
      <c r="AJ53" s="121"/>
      <c r="AK53" s="121"/>
      <c r="AL53" s="116"/>
      <c r="AM53" s="114"/>
      <c r="AN53" s="114"/>
      <c r="AO53" s="114"/>
      <c r="AP53" s="114"/>
      <c r="AQ53" s="121"/>
      <c r="AR53" s="114"/>
      <c r="AS53" s="114"/>
      <c r="AT53" s="114"/>
      <c r="AU53" s="114"/>
      <c r="AV53" s="119"/>
      <c r="AW53" s="114"/>
      <c r="AX53" s="114"/>
      <c r="AY53" s="121"/>
      <c r="AZ53" s="114"/>
      <c r="BA53" s="114"/>
      <c r="BB53" s="114"/>
      <c r="BC53" s="116"/>
      <c r="BD53" s="114"/>
      <c r="BE53" s="113" t="str">
        <f t="shared" ca="1" si="12"/>
        <v/>
      </c>
      <c r="BF53" s="121"/>
      <c r="BG53" s="117" t="str">
        <f>IF($D53="","",COUNTIFS($D$39:$D53,$D53))</f>
        <v/>
      </c>
      <c r="BH53" s="117" t="str">
        <f>IF($H53="","",COUNTIFS($H$39:$H53,$H53))</f>
        <v/>
      </c>
    </row>
    <row r="54" spans="1:60" ht="15" customHeight="1">
      <c r="A54" s="113" t="str">
        <f t="shared" si="6"/>
        <v/>
      </c>
      <c r="B54" s="114"/>
      <c r="C54" s="114"/>
      <c r="D54" s="114"/>
      <c r="E54" s="115" t="str">
        <f>IFERROR(INDEX(DONATEURS!$B$56:$B$205,MATCH($D54,DONATEURS!$A$56:$A$205,0)),"")</f>
        <v/>
      </c>
      <c r="F54" s="115" t="str">
        <f>IFERROR(INDEX(DONATEURS!$E$56:$E$205,MATCH($D54,DONATEURS!$A$56:$A$205,0)),"")</f>
        <v/>
      </c>
      <c r="G54" s="115" t="str">
        <f>IFERROR(INDEX(DONATEURS!$G$56:$G$205,MATCH($D54,DONATEURS!$A$56:$A$205,0)),"")</f>
        <v/>
      </c>
      <c r="H54" s="114"/>
      <c r="I54" s="115" t="str">
        <f>IFERROR(INDEX(PROJETS!$C$56:$C$95,MATCH($H54,PROJETS!$A$56:$A$95,0)),"")</f>
        <v/>
      </c>
      <c r="J54" s="115" t="str">
        <f>IFERROR(INDEX(PROJETS!$J$56:$J$95,MATCH($H54,PROJETS!$A$56:$A$95,0)),"")</f>
        <v/>
      </c>
      <c r="K54" s="115" t="str">
        <f>IFERROR(INDEX(PROJETS!$N$56:$N$95,MATCH($H54,PROJETS!$A$56:$A$95,0)),"")</f>
        <v/>
      </c>
      <c r="L54" s="114"/>
      <c r="M54" s="115" t="str">
        <f>IFERROR(INDEX(ACTIVITES!$G$56:$G$105,MATCH($L54,ACTIVITES!$A$56:$A$105,0)),"")</f>
        <v/>
      </c>
      <c r="N54" s="114"/>
      <c r="O54" s="114"/>
      <c r="P54" s="114"/>
      <c r="Q54" s="114"/>
      <c r="R54" s="114"/>
      <c r="S54" s="114"/>
      <c r="T54" s="116"/>
      <c r="U54" s="116"/>
      <c r="V54" s="117" t="str">
        <f t="shared" si="7"/>
        <v/>
      </c>
      <c r="W54" s="113" t="str">
        <f t="shared" si="8"/>
        <v/>
      </c>
      <c r="X54" s="113" t="str">
        <f t="shared" si="9"/>
        <v/>
      </c>
      <c r="Y54" s="114"/>
      <c r="Z54" s="118"/>
      <c r="AA54" s="119"/>
      <c r="AB54" s="120" t="str">
        <f t="shared" si="10"/>
        <v/>
      </c>
      <c r="AC54" s="119"/>
      <c r="AD54" s="120" t="str">
        <f t="shared" si="11"/>
        <v/>
      </c>
      <c r="AE54" s="114"/>
      <c r="AF54" s="114"/>
      <c r="AG54" s="114"/>
      <c r="AH54" s="121"/>
      <c r="AI54" s="114"/>
      <c r="AJ54" s="121"/>
      <c r="AK54" s="121"/>
      <c r="AL54" s="116"/>
      <c r="AM54" s="114"/>
      <c r="AN54" s="114"/>
      <c r="AO54" s="114"/>
      <c r="AP54" s="114"/>
      <c r="AQ54" s="121"/>
      <c r="AR54" s="114"/>
      <c r="AS54" s="114"/>
      <c r="AT54" s="114"/>
      <c r="AU54" s="114"/>
      <c r="AV54" s="119"/>
      <c r="AW54" s="114"/>
      <c r="AX54" s="114"/>
      <c r="AY54" s="121"/>
      <c r="AZ54" s="114"/>
      <c r="BA54" s="114"/>
      <c r="BB54" s="114"/>
      <c r="BC54" s="116"/>
      <c r="BD54" s="114"/>
      <c r="BE54" s="113" t="str">
        <f t="shared" ca="1" si="12"/>
        <v/>
      </c>
      <c r="BF54" s="121"/>
      <c r="BG54" s="117" t="str">
        <f>IF($D54="","",COUNTIFS($D$39:$D54,$D54))</f>
        <v/>
      </c>
      <c r="BH54" s="117" t="str">
        <f>IF($H54="","",COUNTIFS($H$39:$H54,$H54))</f>
        <v/>
      </c>
    </row>
    <row r="55" spans="1:60" ht="15" customHeight="1">
      <c r="A55" s="113" t="str">
        <f t="shared" si="6"/>
        <v/>
      </c>
      <c r="B55" s="114"/>
      <c r="C55" s="114"/>
      <c r="D55" s="114"/>
      <c r="E55" s="115" t="str">
        <f>IFERROR(INDEX(DONATEURS!$B$56:$B$205,MATCH($D55,DONATEURS!$A$56:$A$205,0)),"")</f>
        <v/>
      </c>
      <c r="F55" s="115" t="str">
        <f>IFERROR(INDEX(DONATEURS!$E$56:$E$205,MATCH($D55,DONATEURS!$A$56:$A$205,0)),"")</f>
        <v/>
      </c>
      <c r="G55" s="115" t="str">
        <f>IFERROR(INDEX(DONATEURS!$G$56:$G$205,MATCH($D55,DONATEURS!$A$56:$A$205,0)),"")</f>
        <v/>
      </c>
      <c r="H55" s="114"/>
      <c r="I55" s="115" t="str">
        <f>IFERROR(INDEX(PROJETS!$C$56:$C$95,MATCH($H55,PROJETS!$A$56:$A$95,0)),"")</f>
        <v/>
      </c>
      <c r="J55" s="115" t="str">
        <f>IFERROR(INDEX(PROJETS!$J$56:$J$95,MATCH($H55,PROJETS!$A$56:$A$95,0)),"")</f>
        <v/>
      </c>
      <c r="K55" s="115" t="str">
        <f>IFERROR(INDEX(PROJETS!$N$56:$N$95,MATCH($H55,PROJETS!$A$56:$A$95,0)),"")</f>
        <v/>
      </c>
      <c r="L55" s="114"/>
      <c r="M55" s="115" t="str">
        <f>IFERROR(INDEX(ACTIVITES!$G$56:$G$105,MATCH($L55,ACTIVITES!$A$56:$A$105,0)),"")</f>
        <v/>
      </c>
      <c r="N55" s="114"/>
      <c r="O55" s="114"/>
      <c r="P55" s="114"/>
      <c r="Q55" s="114"/>
      <c r="R55" s="114"/>
      <c r="S55" s="114"/>
      <c r="T55" s="116"/>
      <c r="U55" s="116"/>
      <c r="V55" s="117" t="str">
        <f t="shared" si="7"/>
        <v/>
      </c>
      <c r="W55" s="113" t="str">
        <f t="shared" si="8"/>
        <v/>
      </c>
      <c r="X55" s="113" t="str">
        <f t="shared" si="9"/>
        <v/>
      </c>
      <c r="Y55" s="114"/>
      <c r="Z55" s="118"/>
      <c r="AA55" s="119"/>
      <c r="AB55" s="120" t="str">
        <f t="shared" si="10"/>
        <v/>
      </c>
      <c r="AC55" s="119"/>
      <c r="AD55" s="120" t="str">
        <f t="shared" si="11"/>
        <v/>
      </c>
      <c r="AE55" s="114"/>
      <c r="AF55" s="114"/>
      <c r="AG55" s="114"/>
      <c r="AH55" s="121"/>
      <c r="AI55" s="114"/>
      <c r="AJ55" s="121"/>
      <c r="AK55" s="121"/>
      <c r="AL55" s="116"/>
      <c r="AM55" s="114"/>
      <c r="AN55" s="114"/>
      <c r="AO55" s="114"/>
      <c r="AP55" s="114"/>
      <c r="AQ55" s="121"/>
      <c r="AR55" s="114"/>
      <c r="AS55" s="114"/>
      <c r="AT55" s="114"/>
      <c r="AU55" s="114"/>
      <c r="AV55" s="119"/>
      <c r="AW55" s="114"/>
      <c r="AX55" s="114"/>
      <c r="AY55" s="121"/>
      <c r="AZ55" s="114"/>
      <c r="BA55" s="114"/>
      <c r="BB55" s="114"/>
      <c r="BC55" s="116"/>
      <c r="BD55" s="114"/>
      <c r="BE55" s="113" t="str">
        <f t="shared" ca="1" si="12"/>
        <v/>
      </c>
      <c r="BF55" s="121"/>
      <c r="BG55" s="117" t="str">
        <f>IF($D55="","",COUNTIFS($D$39:$D55,$D55))</f>
        <v/>
      </c>
      <c r="BH55" s="117" t="str">
        <f>IF($H55="","",COUNTIFS($H$39:$H55,$H55))</f>
        <v/>
      </c>
    </row>
    <row r="56" spans="1:60" ht="15" customHeight="1">
      <c r="A56" s="113" t="str">
        <f t="shared" si="6"/>
        <v/>
      </c>
      <c r="B56" s="114"/>
      <c r="C56" s="114"/>
      <c r="D56" s="114"/>
      <c r="E56" s="115" t="str">
        <f>IFERROR(INDEX(DONATEURS!$B$56:$B$205,MATCH($D56,DONATEURS!$A$56:$A$205,0)),"")</f>
        <v/>
      </c>
      <c r="F56" s="115" t="str">
        <f>IFERROR(INDEX(DONATEURS!$E$56:$E$205,MATCH($D56,DONATEURS!$A$56:$A$205,0)),"")</f>
        <v/>
      </c>
      <c r="G56" s="115" t="str">
        <f>IFERROR(INDEX(DONATEURS!$G$56:$G$205,MATCH($D56,DONATEURS!$A$56:$A$205,0)),"")</f>
        <v/>
      </c>
      <c r="H56" s="114"/>
      <c r="I56" s="115" t="str">
        <f>IFERROR(INDEX(PROJETS!$C$56:$C$95,MATCH($H56,PROJETS!$A$56:$A$95,0)),"")</f>
        <v/>
      </c>
      <c r="J56" s="115" t="str">
        <f>IFERROR(INDEX(PROJETS!$J$56:$J$95,MATCH($H56,PROJETS!$A$56:$A$95,0)),"")</f>
        <v/>
      </c>
      <c r="K56" s="115" t="str">
        <f>IFERROR(INDEX(PROJETS!$N$56:$N$95,MATCH($H56,PROJETS!$A$56:$A$95,0)),"")</f>
        <v/>
      </c>
      <c r="L56" s="114"/>
      <c r="M56" s="115" t="str">
        <f>IFERROR(INDEX(ACTIVITES!$G$56:$G$105,MATCH($L56,ACTIVITES!$A$56:$A$105,0)),"")</f>
        <v/>
      </c>
      <c r="N56" s="114"/>
      <c r="O56" s="114"/>
      <c r="P56" s="114"/>
      <c r="Q56" s="114"/>
      <c r="R56" s="114"/>
      <c r="S56" s="114"/>
      <c r="T56" s="116"/>
      <c r="U56" s="116"/>
      <c r="V56" s="117" t="str">
        <f t="shared" si="7"/>
        <v/>
      </c>
      <c r="W56" s="113" t="str">
        <f t="shared" si="8"/>
        <v/>
      </c>
      <c r="X56" s="113" t="str">
        <f t="shared" si="9"/>
        <v/>
      </c>
      <c r="Y56" s="114"/>
      <c r="Z56" s="118"/>
      <c r="AA56" s="119"/>
      <c r="AB56" s="120" t="str">
        <f t="shared" si="10"/>
        <v/>
      </c>
      <c r="AC56" s="119"/>
      <c r="AD56" s="120" t="str">
        <f t="shared" si="11"/>
        <v/>
      </c>
      <c r="AE56" s="114"/>
      <c r="AF56" s="114"/>
      <c r="AG56" s="114"/>
      <c r="AH56" s="121"/>
      <c r="AI56" s="114"/>
      <c r="AJ56" s="121"/>
      <c r="AK56" s="121"/>
      <c r="AL56" s="116"/>
      <c r="AM56" s="114"/>
      <c r="AN56" s="114"/>
      <c r="AO56" s="114"/>
      <c r="AP56" s="114"/>
      <c r="AQ56" s="121"/>
      <c r="AR56" s="114"/>
      <c r="AS56" s="114"/>
      <c r="AT56" s="114"/>
      <c r="AU56" s="114"/>
      <c r="AV56" s="119"/>
      <c r="AW56" s="114"/>
      <c r="AX56" s="114"/>
      <c r="AY56" s="121"/>
      <c r="AZ56" s="114"/>
      <c r="BA56" s="114"/>
      <c r="BB56" s="114"/>
      <c r="BC56" s="116"/>
      <c r="BD56" s="114"/>
      <c r="BE56" s="113" t="str">
        <f t="shared" ca="1" si="12"/>
        <v/>
      </c>
      <c r="BF56" s="121"/>
      <c r="BG56" s="117" t="str">
        <f>IF($D56="","",COUNTIFS($D$39:$D56,$D56))</f>
        <v/>
      </c>
      <c r="BH56" s="117" t="str">
        <f>IF($H56="","",COUNTIFS($H$39:$H56,$H56))</f>
        <v/>
      </c>
    </row>
    <row r="57" spans="1:60" ht="15" customHeight="1">
      <c r="A57" s="113" t="str">
        <f t="shared" si="6"/>
        <v/>
      </c>
      <c r="B57" s="114"/>
      <c r="C57" s="114"/>
      <c r="D57" s="114"/>
      <c r="E57" s="115" t="str">
        <f>IFERROR(INDEX(DONATEURS!$B$56:$B$205,MATCH($D57,DONATEURS!$A$56:$A$205,0)),"")</f>
        <v/>
      </c>
      <c r="F57" s="115" t="str">
        <f>IFERROR(INDEX(DONATEURS!$E$56:$E$205,MATCH($D57,DONATEURS!$A$56:$A$205,0)),"")</f>
        <v/>
      </c>
      <c r="G57" s="115" t="str">
        <f>IFERROR(INDEX(DONATEURS!$G$56:$G$205,MATCH($D57,DONATEURS!$A$56:$A$205,0)),"")</f>
        <v/>
      </c>
      <c r="H57" s="114"/>
      <c r="I57" s="115" t="str">
        <f>IFERROR(INDEX(PROJETS!$C$56:$C$95,MATCH($H57,PROJETS!$A$56:$A$95,0)),"")</f>
        <v/>
      </c>
      <c r="J57" s="115" t="str">
        <f>IFERROR(INDEX(PROJETS!$J$56:$J$95,MATCH($H57,PROJETS!$A$56:$A$95,0)),"")</f>
        <v/>
      </c>
      <c r="K57" s="115" t="str">
        <f>IFERROR(INDEX(PROJETS!$N$56:$N$95,MATCH($H57,PROJETS!$A$56:$A$95,0)),"")</f>
        <v/>
      </c>
      <c r="L57" s="114"/>
      <c r="M57" s="115" t="str">
        <f>IFERROR(INDEX(ACTIVITES!$G$56:$G$105,MATCH($L57,ACTIVITES!$A$56:$A$105,0)),"")</f>
        <v/>
      </c>
      <c r="N57" s="114"/>
      <c r="O57" s="114"/>
      <c r="P57" s="114"/>
      <c r="Q57" s="114"/>
      <c r="R57" s="114"/>
      <c r="S57" s="114"/>
      <c r="T57" s="116"/>
      <c r="U57" s="116"/>
      <c r="V57" s="117" t="str">
        <f t="shared" si="7"/>
        <v/>
      </c>
      <c r="W57" s="113" t="str">
        <f t="shared" si="8"/>
        <v/>
      </c>
      <c r="X57" s="113" t="str">
        <f t="shared" si="9"/>
        <v/>
      </c>
      <c r="Y57" s="114"/>
      <c r="Z57" s="118"/>
      <c r="AA57" s="119"/>
      <c r="AB57" s="120" t="str">
        <f t="shared" si="10"/>
        <v/>
      </c>
      <c r="AC57" s="119"/>
      <c r="AD57" s="120" t="str">
        <f t="shared" si="11"/>
        <v/>
      </c>
      <c r="AE57" s="114"/>
      <c r="AF57" s="114"/>
      <c r="AG57" s="114"/>
      <c r="AH57" s="121"/>
      <c r="AI57" s="114"/>
      <c r="AJ57" s="121"/>
      <c r="AK57" s="121"/>
      <c r="AL57" s="116"/>
      <c r="AM57" s="114"/>
      <c r="AN57" s="114"/>
      <c r="AO57" s="114"/>
      <c r="AP57" s="114"/>
      <c r="AQ57" s="121"/>
      <c r="AR57" s="114"/>
      <c r="AS57" s="114"/>
      <c r="AT57" s="114"/>
      <c r="AU57" s="114"/>
      <c r="AV57" s="119"/>
      <c r="AW57" s="114"/>
      <c r="AX57" s="114"/>
      <c r="AY57" s="121"/>
      <c r="AZ57" s="114"/>
      <c r="BA57" s="114"/>
      <c r="BB57" s="114"/>
      <c r="BC57" s="116"/>
      <c r="BD57" s="114"/>
      <c r="BE57" s="113" t="str">
        <f t="shared" ca="1" si="12"/>
        <v/>
      </c>
      <c r="BF57" s="121"/>
      <c r="BG57" s="117" t="str">
        <f>IF($D57="","",COUNTIFS($D$39:$D57,$D57))</f>
        <v/>
      </c>
      <c r="BH57" s="117" t="str">
        <f>IF($H57="","",COUNTIFS($H$39:$H57,$H57))</f>
        <v/>
      </c>
    </row>
    <row r="58" spans="1:60" ht="15" customHeight="1">
      <c r="A58" s="113" t="str">
        <f t="shared" si="6"/>
        <v/>
      </c>
      <c r="B58" s="114"/>
      <c r="C58" s="114"/>
      <c r="D58" s="114"/>
      <c r="E58" s="115" t="str">
        <f>IFERROR(INDEX(DONATEURS!$B$56:$B$205,MATCH($D58,DONATEURS!$A$56:$A$205,0)),"")</f>
        <v/>
      </c>
      <c r="F58" s="115" t="str">
        <f>IFERROR(INDEX(DONATEURS!$E$56:$E$205,MATCH($D58,DONATEURS!$A$56:$A$205,0)),"")</f>
        <v/>
      </c>
      <c r="G58" s="115" t="str">
        <f>IFERROR(INDEX(DONATEURS!$G$56:$G$205,MATCH($D58,DONATEURS!$A$56:$A$205,0)),"")</f>
        <v/>
      </c>
      <c r="H58" s="114"/>
      <c r="I58" s="115" t="str">
        <f>IFERROR(INDEX(PROJETS!$C$56:$C$95,MATCH($H58,PROJETS!$A$56:$A$95,0)),"")</f>
        <v/>
      </c>
      <c r="J58" s="115" t="str">
        <f>IFERROR(INDEX(PROJETS!$J$56:$J$95,MATCH($H58,PROJETS!$A$56:$A$95,0)),"")</f>
        <v/>
      </c>
      <c r="K58" s="115" t="str">
        <f>IFERROR(INDEX(PROJETS!$N$56:$N$95,MATCH($H58,PROJETS!$A$56:$A$95,0)),"")</f>
        <v/>
      </c>
      <c r="L58" s="114"/>
      <c r="M58" s="115" t="str">
        <f>IFERROR(INDEX(ACTIVITES!$G$56:$G$105,MATCH($L58,ACTIVITES!$A$56:$A$105,0)),"")</f>
        <v/>
      </c>
      <c r="N58" s="114"/>
      <c r="O58" s="114"/>
      <c r="P58" s="114"/>
      <c r="Q58" s="114"/>
      <c r="R58" s="114"/>
      <c r="S58" s="114"/>
      <c r="T58" s="116"/>
      <c r="U58" s="116"/>
      <c r="V58" s="117" t="str">
        <f t="shared" si="7"/>
        <v/>
      </c>
      <c r="W58" s="113" t="str">
        <f t="shared" si="8"/>
        <v/>
      </c>
      <c r="X58" s="113" t="str">
        <f t="shared" si="9"/>
        <v/>
      </c>
      <c r="Y58" s="114"/>
      <c r="Z58" s="118"/>
      <c r="AA58" s="119"/>
      <c r="AB58" s="120" t="str">
        <f t="shared" si="10"/>
        <v/>
      </c>
      <c r="AC58" s="119"/>
      <c r="AD58" s="120" t="str">
        <f t="shared" si="11"/>
        <v/>
      </c>
      <c r="AE58" s="114"/>
      <c r="AF58" s="114"/>
      <c r="AG58" s="114"/>
      <c r="AH58" s="121"/>
      <c r="AI58" s="114"/>
      <c r="AJ58" s="121"/>
      <c r="AK58" s="121"/>
      <c r="AL58" s="116"/>
      <c r="AM58" s="114"/>
      <c r="AN58" s="114"/>
      <c r="AO58" s="114"/>
      <c r="AP58" s="114"/>
      <c r="AQ58" s="121"/>
      <c r="AR58" s="114"/>
      <c r="AS58" s="114"/>
      <c r="AT58" s="114"/>
      <c r="AU58" s="114"/>
      <c r="AV58" s="119"/>
      <c r="AW58" s="114"/>
      <c r="AX58" s="114"/>
      <c r="AY58" s="121"/>
      <c r="AZ58" s="114"/>
      <c r="BA58" s="114"/>
      <c r="BB58" s="114"/>
      <c r="BC58" s="116"/>
      <c r="BD58" s="114"/>
      <c r="BE58" s="113" t="str">
        <f t="shared" ca="1" si="12"/>
        <v/>
      </c>
      <c r="BF58" s="121"/>
      <c r="BG58" s="117" t="str">
        <f>IF($D58="","",COUNTIFS($D$39:$D58,$D58))</f>
        <v/>
      </c>
      <c r="BH58" s="117" t="str">
        <f>IF($H58="","",COUNTIFS($H$39:$H58,$H58))</f>
        <v/>
      </c>
    </row>
    <row r="59" spans="1:60" ht="15" customHeight="1">
      <c r="A59" s="113" t="str">
        <f t="shared" si="6"/>
        <v/>
      </c>
      <c r="B59" s="114"/>
      <c r="C59" s="114"/>
      <c r="D59" s="114"/>
      <c r="E59" s="115" t="str">
        <f>IFERROR(INDEX(DONATEURS!$B$56:$B$205,MATCH($D59,DONATEURS!$A$56:$A$205,0)),"")</f>
        <v/>
      </c>
      <c r="F59" s="115" t="str">
        <f>IFERROR(INDEX(DONATEURS!$E$56:$E$205,MATCH($D59,DONATEURS!$A$56:$A$205,0)),"")</f>
        <v/>
      </c>
      <c r="G59" s="115" t="str">
        <f>IFERROR(INDEX(DONATEURS!$G$56:$G$205,MATCH($D59,DONATEURS!$A$56:$A$205,0)),"")</f>
        <v/>
      </c>
      <c r="H59" s="114"/>
      <c r="I59" s="115" t="str">
        <f>IFERROR(INDEX(PROJETS!$C$56:$C$95,MATCH($H59,PROJETS!$A$56:$A$95,0)),"")</f>
        <v/>
      </c>
      <c r="J59" s="115" t="str">
        <f>IFERROR(INDEX(PROJETS!$J$56:$J$95,MATCH($H59,PROJETS!$A$56:$A$95,0)),"")</f>
        <v/>
      </c>
      <c r="K59" s="115" t="str">
        <f>IFERROR(INDEX(PROJETS!$N$56:$N$95,MATCH($H59,PROJETS!$A$56:$A$95,0)),"")</f>
        <v/>
      </c>
      <c r="L59" s="114"/>
      <c r="M59" s="115" t="str">
        <f>IFERROR(INDEX(ACTIVITES!$G$56:$G$105,MATCH($L59,ACTIVITES!$A$56:$A$105,0)),"")</f>
        <v/>
      </c>
      <c r="N59" s="114"/>
      <c r="O59" s="114"/>
      <c r="P59" s="114"/>
      <c r="Q59" s="114"/>
      <c r="R59" s="114"/>
      <c r="S59" s="114"/>
      <c r="T59" s="116"/>
      <c r="U59" s="116"/>
      <c r="V59" s="117" t="str">
        <f t="shared" si="7"/>
        <v/>
      </c>
      <c r="W59" s="113" t="str">
        <f t="shared" si="8"/>
        <v/>
      </c>
      <c r="X59" s="113" t="str">
        <f t="shared" si="9"/>
        <v/>
      </c>
      <c r="Y59" s="114"/>
      <c r="Z59" s="118"/>
      <c r="AA59" s="119"/>
      <c r="AB59" s="120" t="str">
        <f t="shared" si="10"/>
        <v/>
      </c>
      <c r="AC59" s="119"/>
      <c r="AD59" s="120" t="str">
        <f t="shared" si="11"/>
        <v/>
      </c>
      <c r="AE59" s="114"/>
      <c r="AF59" s="114"/>
      <c r="AG59" s="114"/>
      <c r="AH59" s="121"/>
      <c r="AI59" s="114"/>
      <c r="AJ59" s="121"/>
      <c r="AK59" s="121"/>
      <c r="AL59" s="116"/>
      <c r="AM59" s="114"/>
      <c r="AN59" s="114"/>
      <c r="AO59" s="114"/>
      <c r="AP59" s="114"/>
      <c r="AQ59" s="121"/>
      <c r="AR59" s="114"/>
      <c r="AS59" s="114"/>
      <c r="AT59" s="114"/>
      <c r="AU59" s="114"/>
      <c r="AV59" s="119"/>
      <c r="AW59" s="114"/>
      <c r="AX59" s="114"/>
      <c r="AY59" s="121"/>
      <c r="AZ59" s="114"/>
      <c r="BA59" s="114"/>
      <c r="BB59" s="114"/>
      <c r="BC59" s="116"/>
      <c r="BD59" s="114"/>
      <c r="BE59" s="113" t="str">
        <f t="shared" ca="1" si="12"/>
        <v/>
      </c>
      <c r="BF59" s="121"/>
      <c r="BG59" s="117" t="str">
        <f>IF($D59="","",COUNTIFS($D$39:$D59,$D59))</f>
        <v/>
      </c>
      <c r="BH59" s="117" t="str">
        <f>IF($H59="","",COUNTIFS($H$39:$H59,$H59))</f>
        <v/>
      </c>
    </row>
    <row r="60" spans="1:60" ht="15" customHeight="1">
      <c r="A60" s="113" t="str">
        <f t="shared" si="6"/>
        <v/>
      </c>
      <c r="B60" s="114"/>
      <c r="C60" s="114"/>
      <c r="D60" s="114"/>
      <c r="E60" s="115" t="str">
        <f>IFERROR(INDEX(DONATEURS!$B$56:$B$205,MATCH($D60,DONATEURS!$A$56:$A$205,0)),"")</f>
        <v/>
      </c>
      <c r="F60" s="115" t="str">
        <f>IFERROR(INDEX(DONATEURS!$E$56:$E$205,MATCH($D60,DONATEURS!$A$56:$A$205,0)),"")</f>
        <v/>
      </c>
      <c r="G60" s="115" t="str">
        <f>IFERROR(INDEX(DONATEURS!$G$56:$G$205,MATCH($D60,DONATEURS!$A$56:$A$205,0)),"")</f>
        <v/>
      </c>
      <c r="H60" s="114"/>
      <c r="I60" s="115" t="str">
        <f>IFERROR(INDEX(PROJETS!$C$56:$C$95,MATCH($H60,PROJETS!$A$56:$A$95,0)),"")</f>
        <v/>
      </c>
      <c r="J60" s="115" t="str">
        <f>IFERROR(INDEX(PROJETS!$J$56:$J$95,MATCH($H60,PROJETS!$A$56:$A$95,0)),"")</f>
        <v/>
      </c>
      <c r="K60" s="115" t="str">
        <f>IFERROR(INDEX(PROJETS!$N$56:$N$95,MATCH($H60,PROJETS!$A$56:$A$95,0)),"")</f>
        <v/>
      </c>
      <c r="L60" s="114"/>
      <c r="M60" s="115" t="str">
        <f>IFERROR(INDEX(ACTIVITES!$G$56:$G$105,MATCH($L60,ACTIVITES!$A$56:$A$105,0)),"")</f>
        <v/>
      </c>
      <c r="N60" s="114"/>
      <c r="O60" s="114"/>
      <c r="P60" s="114"/>
      <c r="Q60" s="114"/>
      <c r="R60" s="114"/>
      <c r="S60" s="114"/>
      <c r="T60" s="116"/>
      <c r="U60" s="116"/>
      <c r="V60" s="117" t="str">
        <f t="shared" si="7"/>
        <v/>
      </c>
      <c r="W60" s="113" t="str">
        <f t="shared" si="8"/>
        <v/>
      </c>
      <c r="X60" s="113" t="str">
        <f t="shared" si="9"/>
        <v/>
      </c>
      <c r="Y60" s="114"/>
      <c r="Z60" s="118"/>
      <c r="AA60" s="119"/>
      <c r="AB60" s="120" t="str">
        <f t="shared" si="10"/>
        <v/>
      </c>
      <c r="AC60" s="119"/>
      <c r="AD60" s="120" t="str">
        <f t="shared" si="11"/>
        <v/>
      </c>
      <c r="AE60" s="114"/>
      <c r="AF60" s="114"/>
      <c r="AG60" s="114"/>
      <c r="AH60" s="121"/>
      <c r="AI60" s="114"/>
      <c r="AJ60" s="121"/>
      <c r="AK60" s="121"/>
      <c r="AL60" s="116"/>
      <c r="AM60" s="114"/>
      <c r="AN60" s="114"/>
      <c r="AO60" s="114"/>
      <c r="AP60" s="114"/>
      <c r="AQ60" s="121"/>
      <c r="AR60" s="114"/>
      <c r="AS60" s="114"/>
      <c r="AT60" s="114"/>
      <c r="AU60" s="114"/>
      <c r="AV60" s="119"/>
      <c r="AW60" s="114"/>
      <c r="AX60" s="114"/>
      <c r="AY60" s="121"/>
      <c r="AZ60" s="114"/>
      <c r="BA60" s="114"/>
      <c r="BB60" s="114"/>
      <c r="BC60" s="116"/>
      <c r="BD60" s="114"/>
      <c r="BE60" s="113" t="str">
        <f t="shared" ca="1" si="12"/>
        <v/>
      </c>
      <c r="BF60" s="121"/>
      <c r="BG60" s="117" t="str">
        <f>IF($D60="","",COUNTIFS($D$39:$D60,$D60))</f>
        <v/>
      </c>
      <c r="BH60" s="117" t="str">
        <f>IF($H60="","",COUNTIFS($H$39:$H60,$H60))</f>
        <v/>
      </c>
    </row>
    <row r="61" spans="1:60" ht="15" customHeight="1">
      <c r="A61" s="113" t="str">
        <f t="shared" si="6"/>
        <v/>
      </c>
      <c r="B61" s="114"/>
      <c r="C61" s="114"/>
      <c r="D61" s="114"/>
      <c r="E61" s="115" t="str">
        <f>IFERROR(INDEX(DONATEURS!$B$56:$B$205,MATCH($D61,DONATEURS!$A$56:$A$205,0)),"")</f>
        <v/>
      </c>
      <c r="F61" s="115" t="str">
        <f>IFERROR(INDEX(DONATEURS!$E$56:$E$205,MATCH($D61,DONATEURS!$A$56:$A$205,0)),"")</f>
        <v/>
      </c>
      <c r="G61" s="115" t="str">
        <f>IFERROR(INDEX(DONATEURS!$G$56:$G$205,MATCH($D61,DONATEURS!$A$56:$A$205,0)),"")</f>
        <v/>
      </c>
      <c r="H61" s="114"/>
      <c r="I61" s="115" t="str">
        <f>IFERROR(INDEX(PROJETS!$C$56:$C$95,MATCH($H61,PROJETS!$A$56:$A$95,0)),"")</f>
        <v/>
      </c>
      <c r="J61" s="115" t="str">
        <f>IFERROR(INDEX(PROJETS!$J$56:$J$95,MATCH($H61,PROJETS!$A$56:$A$95,0)),"")</f>
        <v/>
      </c>
      <c r="K61" s="115" t="str">
        <f>IFERROR(INDEX(PROJETS!$N$56:$N$95,MATCH($H61,PROJETS!$A$56:$A$95,0)),"")</f>
        <v/>
      </c>
      <c r="L61" s="114"/>
      <c r="M61" s="115" t="str">
        <f>IFERROR(INDEX(ACTIVITES!$G$56:$G$105,MATCH($L61,ACTIVITES!$A$56:$A$105,0)),"")</f>
        <v/>
      </c>
      <c r="N61" s="114"/>
      <c r="O61" s="114"/>
      <c r="P61" s="114"/>
      <c r="Q61" s="114"/>
      <c r="R61" s="114"/>
      <c r="S61" s="114"/>
      <c r="T61" s="116"/>
      <c r="U61" s="116"/>
      <c r="V61" s="117" t="str">
        <f t="shared" si="7"/>
        <v/>
      </c>
      <c r="W61" s="113" t="str">
        <f t="shared" si="8"/>
        <v/>
      </c>
      <c r="X61" s="113" t="str">
        <f t="shared" si="9"/>
        <v/>
      </c>
      <c r="Y61" s="114"/>
      <c r="Z61" s="118"/>
      <c r="AA61" s="119"/>
      <c r="AB61" s="120" t="str">
        <f t="shared" si="10"/>
        <v/>
      </c>
      <c r="AC61" s="119"/>
      <c r="AD61" s="120" t="str">
        <f t="shared" si="11"/>
        <v/>
      </c>
      <c r="AE61" s="114"/>
      <c r="AF61" s="114"/>
      <c r="AG61" s="114"/>
      <c r="AH61" s="121"/>
      <c r="AI61" s="114"/>
      <c r="AJ61" s="121"/>
      <c r="AK61" s="121"/>
      <c r="AL61" s="116"/>
      <c r="AM61" s="114"/>
      <c r="AN61" s="114"/>
      <c r="AO61" s="114"/>
      <c r="AP61" s="114"/>
      <c r="AQ61" s="121"/>
      <c r="AR61" s="114"/>
      <c r="AS61" s="114"/>
      <c r="AT61" s="114"/>
      <c r="AU61" s="114"/>
      <c r="AV61" s="119"/>
      <c r="AW61" s="114"/>
      <c r="AX61" s="114"/>
      <c r="AY61" s="121"/>
      <c r="AZ61" s="114"/>
      <c r="BA61" s="114"/>
      <c r="BB61" s="114"/>
      <c r="BC61" s="116"/>
      <c r="BD61" s="114"/>
      <c r="BE61" s="113" t="str">
        <f t="shared" ca="1" si="12"/>
        <v/>
      </c>
      <c r="BF61" s="121"/>
      <c r="BG61" s="117" t="str">
        <f>IF($D61="","",COUNTIFS($D$39:$D61,$D61))</f>
        <v/>
      </c>
      <c r="BH61" s="117" t="str">
        <f>IF($H61="","",COUNTIFS($H$39:$H61,$H61))</f>
        <v/>
      </c>
    </row>
    <row r="62" spans="1:60" ht="15" customHeight="1">
      <c r="A62" s="113" t="str">
        <f t="shared" si="6"/>
        <v/>
      </c>
      <c r="B62" s="114"/>
      <c r="C62" s="114"/>
      <c r="D62" s="114"/>
      <c r="E62" s="115" t="str">
        <f>IFERROR(INDEX(DONATEURS!$B$56:$B$205,MATCH($D62,DONATEURS!$A$56:$A$205,0)),"")</f>
        <v/>
      </c>
      <c r="F62" s="115" t="str">
        <f>IFERROR(INDEX(DONATEURS!$E$56:$E$205,MATCH($D62,DONATEURS!$A$56:$A$205,0)),"")</f>
        <v/>
      </c>
      <c r="G62" s="115" t="str">
        <f>IFERROR(INDEX(DONATEURS!$G$56:$G$205,MATCH($D62,DONATEURS!$A$56:$A$205,0)),"")</f>
        <v/>
      </c>
      <c r="H62" s="114"/>
      <c r="I62" s="115" t="str">
        <f>IFERROR(INDEX(PROJETS!$C$56:$C$95,MATCH($H62,PROJETS!$A$56:$A$95,0)),"")</f>
        <v/>
      </c>
      <c r="J62" s="115" t="str">
        <f>IFERROR(INDEX(PROJETS!$J$56:$J$95,MATCH($H62,PROJETS!$A$56:$A$95,0)),"")</f>
        <v/>
      </c>
      <c r="K62" s="115" t="str">
        <f>IFERROR(INDEX(PROJETS!$N$56:$N$95,MATCH($H62,PROJETS!$A$56:$A$95,0)),"")</f>
        <v/>
      </c>
      <c r="L62" s="114"/>
      <c r="M62" s="115" t="str">
        <f>IFERROR(INDEX(ACTIVITES!$G$56:$G$105,MATCH($L62,ACTIVITES!$A$56:$A$105,0)),"")</f>
        <v/>
      </c>
      <c r="N62" s="114"/>
      <c r="O62" s="114"/>
      <c r="P62" s="114"/>
      <c r="Q62" s="114"/>
      <c r="R62" s="114"/>
      <c r="S62" s="114"/>
      <c r="T62" s="116"/>
      <c r="U62" s="116"/>
      <c r="V62" s="117" t="str">
        <f t="shared" si="7"/>
        <v/>
      </c>
      <c r="W62" s="113" t="str">
        <f t="shared" si="8"/>
        <v/>
      </c>
      <c r="X62" s="113" t="str">
        <f t="shared" si="9"/>
        <v/>
      </c>
      <c r="Y62" s="114"/>
      <c r="Z62" s="118"/>
      <c r="AA62" s="119"/>
      <c r="AB62" s="120" t="str">
        <f t="shared" si="10"/>
        <v/>
      </c>
      <c r="AC62" s="119"/>
      <c r="AD62" s="120" t="str">
        <f t="shared" si="11"/>
        <v/>
      </c>
      <c r="AE62" s="114"/>
      <c r="AF62" s="114"/>
      <c r="AG62" s="114"/>
      <c r="AH62" s="121"/>
      <c r="AI62" s="114"/>
      <c r="AJ62" s="121"/>
      <c r="AK62" s="121"/>
      <c r="AL62" s="116"/>
      <c r="AM62" s="114"/>
      <c r="AN62" s="114"/>
      <c r="AO62" s="114"/>
      <c r="AP62" s="114"/>
      <c r="AQ62" s="121"/>
      <c r="AR62" s="114"/>
      <c r="AS62" s="114"/>
      <c r="AT62" s="114"/>
      <c r="AU62" s="114"/>
      <c r="AV62" s="119"/>
      <c r="AW62" s="114"/>
      <c r="AX62" s="114"/>
      <c r="AY62" s="121"/>
      <c r="AZ62" s="114"/>
      <c r="BA62" s="114"/>
      <c r="BB62" s="114"/>
      <c r="BC62" s="116"/>
      <c r="BD62" s="114"/>
      <c r="BE62" s="113" t="str">
        <f t="shared" ca="1" si="12"/>
        <v/>
      </c>
      <c r="BF62" s="121"/>
      <c r="BG62" s="117" t="str">
        <f>IF($D62="","",COUNTIFS($D$39:$D62,$D62))</f>
        <v/>
      </c>
      <c r="BH62" s="117" t="str">
        <f>IF($H62="","",COUNTIFS($H$39:$H62,$H62))</f>
        <v/>
      </c>
    </row>
    <row r="63" spans="1:60" ht="15" customHeight="1">
      <c r="A63" s="113" t="str">
        <f t="shared" si="6"/>
        <v/>
      </c>
      <c r="B63" s="114"/>
      <c r="C63" s="114"/>
      <c r="D63" s="114"/>
      <c r="E63" s="115" t="str">
        <f>IFERROR(INDEX(DONATEURS!$B$56:$B$205,MATCH($D63,DONATEURS!$A$56:$A$205,0)),"")</f>
        <v/>
      </c>
      <c r="F63" s="115" t="str">
        <f>IFERROR(INDEX(DONATEURS!$E$56:$E$205,MATCH($D63,DONATEURS!$A$56:$A$205,0)),"")</f>
        <v/>
      </c>
      <c r="G63" s="115" t="str">
        <f>IFERROR(INDEX(DONATEURS!$G$56:$G$205,MATCH($D63,DONATEURS!$A$56:$A$205,0)),"")</f>
        <v/>
      </c>
      <c r="H63" s="114"/>
      <c r="I63" s="115" t="str">
        <f>IFERROR(INDEX(PROJETS!$C$56:$C$95,MATCH($H63,PROJETS!$A$56:$A$95,0)),"")</f>
        <v/>
      </c>
      <c r="J63" s="115" t="str">
        <f>IFERROR(INDEX(PROJETS!$J$56:$J$95,MATCH($H63,PROJETS!$A$56:$A$95,0)),"")</f>
        <v/>
      </c>
      <c r="K63" s="115" t="str">
        <f>IFERROR(INDEX(PROJETS!$N$56:$N$95,MATCH($H63,PROJETS!$A$56:$A$95,0)),"")</f>
        <v/>
      </c>
      <c r="L63" s="114"/>
      <c r="M63" s="115" t="str">
        <f>IFERROR(INDEX(ACTIVITES!$G$56:$G$105,MATCH($L63,ACTIVITES!$A$56:$A$105,0)),"")</f>
        <v/>
      </c>
      <c r="N63" s="114"/>
      <c r="O63" s="114"/>
      <c r="P63" s="114"/>
      <c r="Q63" s="114"/>
      <c r="R63" s="114"/>
      <c r="S63" s="114"/>
      <c r="T63" s="116"/>
      <c r="U63" s="116"/>
      <c r="V63" s="117" t="str">
        <f t="shared" si="7"/>
        <v/>
      </c>
      <c r="W63" s="113" t="str">
        <f t="shared" si="8"/>
        <v/>
      </c>
      <c r="X63" s="113" t="str">
        <f t="shared" si="9"/>
        <v/>
      </c>
      <c r="Y63" s="114"/>
      <c r="Z63" s="118"/>
      <c r="AA63" s="119"/>
      <c r="AB63" s="120" t="str">
        <f t="shared" si="10"/>
        <v/>
      </c>
      <c r="AC63" s="119"/>
      <c r="AD63" s="120" t="str">
        <f t="shared" si="11"/>
        <v/>
      </c>
      <c r="AE63" s="114"/>
      <c r="AF63" s="114"/>
      <c r="AG63" s="114"/>
      <c r="AH63" s="121"/>
      <c r="AI63" s="114"/>
      <c r="AJ63" s="121"/>
      <c r="AK63" s="121"/>
      <c r="AL63" s="116"/>
      <c r="AM63" s="114"/>
      <c r="AN63" s="114"/>
      <c r="AO63" s="114"/>
      <c r="AP63" s="114"/>
      <c r="AQ63" s="121"/>
      <c r="AR63" s="114"/>
      <c r="AS63" s="114"/>
      <c r="AT63" s="114"/>
      <c r="AU63" s="114"/>
      <c r="AV63" s="119"/>
      <c r="AW63" s="114"/>
      <c r="AX63" s="114"/>
      <c r="AY63" s="121"/>
      <c r="AZ63" s="114"/>
      <c r="BA63" s="114"/>
      <c r="BB63" s="114"/>
      <c r="BC63" s="116"/>
      <c r="BD63" s="114"/>
      <c r="BE63" s="113" t="str">
        <f t="shared" ca="1" si="12"/>
        <v/>
      </c>
      <c r="BF63" s="121"/>
      <c r="BG63" s="117" t="str">
        <f>IF($D63="","",COUNTIFS($D$39:$D63,$D63))</f>
        <v/>
      </c>
      <c r="BH63" s="117" t="str">
        <f>IF($H63="","",COUNTIFS($H$39:$H63,$H63))</f>
        <v/>
      </c>
    </row>
    <row r="64" spans="1:60" ht="15" customHeight="1">
      <c r="A64" s="113" t="str">
        <f t="shared" si="6"/>
        <v/>
      </c>
      <c r="B64" s="114"/>
      <c r="C64" s="114"/>
      <c r="D64" s="114"/>
      <c r="E64" s="115" t="str">
        <f>IFERROR(INDEX(DONATEURS!$B$56:$B$205,MATCH($D64,DONATEURS!$A$56:$A$205,0)),"")</f>
        <v/>
      </c>
      <c r="F64" s="115" t="str">
        <f>IFERROR(INDEX(DONATEURS!$E$56:$E$205,MATCH($D64,DONATEURS!$A$56:$A$205,0)),"")</f>
        <v/>
      </c>
      <c r="G64" s="115" t="str">
        <f>IFERROR(INDEX(DONATEURS!$G$56:$G$205,MATCH($D64,DONATEURS!$A$56:$A$205,0)),"")</f>
        <v/>
      </c>
      <c r="H64" s="114"/>
      <c r="I64" s="115" t="str">
        <f>IFERROR(INDEX(PROJETS!$C$56:$C$95,MATCH($H64,PROJETS!$A$56:$A$95,0)),"")</f>
        <v/>
      </c>
      <c r="J64" s="115" t="str">
        <f>IFERROR(INDEX(PROJETS!$J$56:$J$95,MATCH($H64,PROJETS!$A$56:$A$95,0)),"")</f>
        <v/>
      </c>
      <c r="K64" s="115" t="str">
        <f>IFERROR(INDEX(PROJETS!$N$56:$N$95,MATCH($H64,PROJETS!$A$56:$A$95,0)),"")</f>
        <v/>
      </c>
      <c r="L64" s="114"/>
      <c r="M64" s="115" t="str">
        <f>IFERROR(INDEX(ACTIVITES!$G$56:$G$105,MATCH($L64,ACTIVITES!$A$56:$A$105,0)),"")</f>
        <v/>
      </c>
      <c r="N64" s="114"/>
      <c r="O64" s="114"/>
      <c r="P64" s="114"/>
      <c r="Q64" s="114"/>
      <c r="R64" s="114"/>
      <c r="S64" s="114"/>
      <c r="T64" s="116"/>
      <c r="U64" s="116"/>
      <c r="V64" s="117" t="str">
        <f t="shared" si="7"/>
        <v/>
      </c>
      <c r="W64" s="113" t="str">
        <f t="shared" si="8"/>
        <v/>
      </c>
      <c r="X64" s="113" t="str">
        <f t="shared" si="9"/>
        <v/>
      </c>
      <c r="Y64" s="114"/>
      <c r="Z64" s="118"/>
      <c r="AA64" s="119"/>
      <c r="AB64" s="120" t="str">
        <f t="shared" si="10"/>
        <v/>
      </c>
      <c r="AC64" s="119"/>
      <c r="AD64" s="120" t="str">
        <f t="shared" si="11"/>
        <v/>
      </c>
      <c r="AE64" s="114"/>
      <c r="AF64" s="114"/>
      <c r="AG64" s="114"/>
      <c r="AH64" s="121"/>
      <c r="AI64" s="114"/>
      <c r="AJ64" s="121"/>
      <c r="AK64" s="121"/>
      <c r="AL64" s="116"/>
      <c r="AM64" s="114"/>
      <c r="AN64" s="114"/>
      <c r="AO64" s="114"/>
      <c r="AP64" s="114"/>
      <c r="AQ64" s="121"/>
      <c r="AR64" s="114"/>
      <c r="AS64" s="114"/>
      <c r="AT64" s="114"/>
      <c r="AU64" s="114"/>
      <c r="AV64" s="119"/>
      <c r="AW64" s="114"/>
      <c r="AX64" s="114"/>
      <c r="AY64" s="121"/>
      <c r="AZ64" s="114"/>
      <c r="BA64" s="114"/>
      <c r="BB64" s="114"/>
      <c r="BC64" s="116"/>
      <c r="BD64" s="114"/>
      <c r="BE64" s="113" t="str">
        <f t="shared" ca="1" si="12"/>
        <v/>
      </c>
      <c r="BF64" s="121"/>
      <c r="BG64" s="117" t="str">
        <f>IF($D64="","",COUNTIFS($D$39:$D64,$D64))</f>
        <v/>
      </c>
      <c r="BH64" s="117" t="str">
        <f>IF($H64="","",COUNTIFS($H$39:$H64,$H64))</f>
        <v/>
      </c>
    </row>
    <row r="65" spans="1:60" ht="15" customHeight="1">
      <c r="A65" s="113" t="str">
        <f t="shared" si="6"/>
        <v/>
      </c>
      <c r="B65" s="114"/>
      <c r="C65" s="114"/>
      <c r="D65" s="114"/>
      <c r="E65" s="115" t="str">
        <f>IFERROR(INDEX(DONATEURS!$B$56:$B$205,MATCH($D65,DONATEURS!$A$56:$A$205,0)),"")</f>
        <v/>
      </c>
      <c r="F65" s="115" t="str">
        <f>IFERROR(INDEX(DONATEURS!$E$56:$E$205,MATCH($D65,DONATEURS!$A$56:$A$205,0)),"")</f>
        <v/>
      </c>
      <c r="G65" s="115" t="str">
        <f>IFERROR(INDEX(DONATEURS!$G$56:$G$205,MATCH($D65,DONATEURS!$A$56:$A$205,0)),"")</f>
        <v/>
      </c>
      <c r="H65" s="114"/>
      <c r="I65" s="115" t="str">
        <f>IFERROR(INDEX(PROJETS!$C$56:$C$95,MATCH($H65,PROJETS!$A$56:$A$95,0)),"")</f>
        <v/>
      </c>
      <c r="J65" s="115" t="str">
        <f>IFERROR(INDEX(PROJETS!$J$56:$J$95,MATCH($H65,PROJETS!$A$56:$A$95,0)),"")</f>
        <v/>
      </c>
      <c r="K65" s="115" t="str">
        <f>IFERROR(INDEX(PROJETS!$N$56:$N$95,MATCH($H65,PROJETS!$A$56:$A$95,0)),"")</f>
        <v/>
      </c>
      <c r="L65" s="114"/>
      <c r="M65" s="115" t="str">
        <f>IFERROR(INDEX(ACTIVITES!$G$56:$G$105,MATCH($L65,ACTIVITES!$A$56:$A$105,0)),"")</f>
        <v/>
      </c>
      <c r="N65" s="114"/>
      <c r="O65" s="114"/>
      <c r="P65" s="114"/>
      <c r="Q65" s="114"/>
      <c r="R65" s="114"/>
      <c r="S65" s="114"/>
      <c r="T65" s="116"/>
      <c r="U65" s="116"/>
      <c r="V65" s="117" t="str">
        <f t="shared" si="7"/>
        <v/>
      </c>
      <c r="W65" s="113" t="str">
        <f t="shared" si="8"/>
        <v/>
      </c>
      <c r="X65" s="113" t="str">
        <f t="shared" si="9"/>
        <v/>
      </c>
      <c r="Y65" s="114"/>
      <c r="Z65" s="118"/>
      <c r="AA65" s="119"/>
      <c r="AB65" s="120" t="str">
        <f t="shared" si="10"/>
        <v/>
      </c>
      <c r="AC65" s="119"/>
      <c r="AD65" s="120" t="str">
        <f t="shared" si="11"/>
        <v/>
      </c>
      <c r="AE65" s="114"/>
      <c r="AF65" s="114"/>
      <c r="AG65" s="114"/>
      <c r="AH65" s="121"/>
      <c r="AI65" s="114"/>
      <c r="AJ65" s="121"/>
      <c r="AK65" s="121"/>
      <c r="AL65" s="116"/>
      <c r="AM65" s="114"/>
      <c r="AN65" s="114"/>
      <c r="AO65" s="114"/>
      <c r="AP65" s="114"/>
      <c r="AQ65" s="121"/>
      <c r="AR65" s="114"/>
      <c r="AS65" s="114"/>
      <c r="AT65" s="114"/>
      <c r="AU65" s="114"/>
      <c r="AV65" s="119"/>
      <c r="AW65" s="114"/>
      <c r="AX65" s="114"/>
      <c r="AY65" s="121"/>
      <c r="AZ65" s="114"/>
      <c r="BA65" s="114"/>
      <c r="BB65" s="114"/>
      <c r="BC65" s="116"/>
      <c r="BD65" s="114"/>
      <c r="BE65" s="113" t="str">
        <f t="shared" ca="1" si="12"/>
        <v/>
      </c>
      <c r="BF65" s="121"/>
      <c r="BG65" s="117" t="str">
        <f>IF($D65="","",COUNTIFS($D$39:$D65,$D65))</f>
        <v/>
      </c>
      <c r="BH65" s="117" t="str">
        <f>IF($H65="","",COUNTIFS($H$39:$H65,$H65))</f>
        <v/>
      </c>
    </row>
    <row r="66" spans="1:60" ht="15" customHeight="1">
      <c r="A66" s="113" t="str">
        <f t="shared" si="6"/>
        <v/>
      </c>
      <c r="B66" s="114"/>
      <c r="C66" s="114"/>
      <c r="D66" s="114"/>
      <c r="E66" s="115" t="str">
        <f>IFERROR(INDEX(DONATEURS!$B$56:$B$205,MATCH($D66,DONATEURS!$A$56:$A$205,0)),"")</f>
        <v/>
      </c>
      <c r="F66" s="115" t="str">
        <f>IFERROR(INDEX(DONATEURS!$E$56:$E$205,MATCH($D66,DONATEURS!$A$56:$A$205,0)),"")</f>
        <v/>
      </c>
      <c r="G66" s="115" t="str">
        <f>IFERROR(INDEX(DONATEURS!$G$56:$G$205,MATCH($D66,DONATEURS!$A$56:$A$205,0)),"")</f>
        <v/>
      </c>
      <c r="H66" s="114"/>
      <c r="I66" s="115" t="str">
        <f>IFERROR(INDEX(PROJETS!$C$56:$C$95,MATCH($H66,PROJETS!$A$56:$A$95,0)),"")</f>
        <v/>
      </c>
      <c r="J66" s="115" t="str">
        <f>IFERROR(INDEX(PROJETS!$J$56:$J$95,MATCH($H66,PROJETS!$A$56:$A$95,0)),"")</f>
        <v/>
      </c>
      <c r="K66" s="115" t="str">
        <f>IFERROR(INDEX(PROJETS!$N$56:$N$95,MATCH($H66,PROJETS!$A$56:$A$95,0)),"")</f>
        <v/>
      </c>
      <c r="L66" s="114"/>
      <c r="M66" s="115" t="str">
        <f>IFERROR(INDEX(ACTIVITES!$G$56:$G$105,MATCH($L66,ACTIVITES!$A$56:$A$105,0)),"")</f>
        <v/>
      </c>
      <c r="N66" s="114"/>
      <c r="O66" s="114"/>
      <c r="P66" s="114"/>
      <c r="Q66" s="114"/>
      <c r="R66" s="114"/>
      <c r="S66" s="114"/>
      <c r="T66" s="116"/>
      <c r="U66" s="116"/>
      <c r="V66" s="117" t="str">
        <f t="shared" si="7"/>
        <v/>
      </c>
      <c r="W66" s="113" t="str">
        <f t="shared" si="8"/>
        <v/>
      </c>
      <c r="X66" s="113" t="str">
        <f t="shared" si="9"/>
        <v/>
      </c>
      <c r="Y66" s="114"/>
      <c r="Z66" s="118"/>
      <c r="AA66" s="119"/>
      <c r="AB66" s="120" t="str">
        <f t="shared" si="10"/>
        <v/>
      </c>
      <c r="AC66" s="119"/>
      <c r="AD66" s="120" t="str">
        <f t="shared" si="11"/>
        <v/>
      </c>
      <c r="AE66" s="114"/>
      <c r="AF66" s="114"/>
      <c r="AG66" s="114"/>
      <c r="AH66" s="121"/>
      <c r="AI66" s="114"/>
      <c r="AJ66" s="121"/>
      <c r="AK66" s="121"/>
      <c r="AL66" s="116"/>
      <c r="AM66" s="114"/>
      <c r="AN66" s="114"/>
      <c r="AO66" s="114"/>
      <c r="AP66" s="114"/>
      <c r="AQ66" s="121"/>
      <c r="AR66" s="114"/>
      <c r="AS66" s="114"/>
      <c r="AT66" s="114"/>
      <c r="AU66" s="114"/>
      <c r="AV66" s="119"/>
      <c r="AW66" s="114"/>
      <c r="AX66" s="114"/>
      <c r="AY66" s="121"/>
      <c r="AZ66" s="114"/>
      <c r="BA66" s="114"/>
      <c r="BB66" s="114"/>
      <c r="BC66" s="116"/>
      <c r="BD66" s="114"/>
      <c r="BE66" s="113" t="str">
        <f t="shared" ca="1" si="12"/>
        <v/>
      </c>
      <c r="BF66" s="121"/>
      <c r="BG66" s="117" t="str">
        <f>IF($D66="","",COUNTIFS($D$39:$D66,$D66))</f>
        <v/>
      </c>
      <c r="BH66" s="117" t="str">
        <f>IF($H66="","",COUNTIFS($H$39:$H66,$H66))</f>
        <v/>
      </c>
    </row>
    <row r="67" spans="1:60" ht="15" customHeight="1">
      <c r="A67" s="113" t="str">
        <f t="shared" si="6"/>
        <v/>
      </c>
      <c r="B67" s="114"/>
      <c r="C67" s="114"/>
      <c r="D67" s="114"/>
      <c r="E67" s="115" t="str">
        <f>IFERROR(INDEX(DONATEURS!$B$56:$B$205,MATCH($D67,DONATEURS!$A$56:$A$205,0)),"")</f>
        <v/>
      </c>
      <c r="F67" s="115" t="str">
        <f>IFERROR(INDEX(DONATEURS!$E$56:$E$205,MATCH($D67,DONATEURS!$A$56:$A$205,0)),"")</f>
        <v/>
      </c>
      <c r="G67" s="115" t="str">
        <f>IFERROR(INDEX(DONATEURS!$G$56:$G$205,MATCH($D67,DONATEURS!$A$56:$A$205,0)),"")</f>
        <v/>
      </c>
      <c r="H67" s="114"/>
      <c r="I67" s="115" t="str">
        <f>IFERROR(INDEX(PROJETS!$C$56:$C$95,MATCH($H67,PROJETS!$A$56:$A$95,0)),"")</f>
        <v/>
      </c>
      <c r="J67" s="115" t="str">
        <f>IFERROR(INDEX(PROJETS!$J$56:$J$95,MATCH($H67,PROJETS!$A$56:$A$95,0)),"")</f>
        <v/>
      </c>
      <c r="K67" s="115" t="str">
        <f>IFERROR(INDEX(PROJETS!$N$56:$N$95,MATCH($H67,PROJETS!$A$56:$A$95,0)),"")</f>
        <v/>
      </c>
      <c r="L67" s="114"/>
      <c r="M67" s="115" t="str">
        <f>IFERROR(INDEX(ACTIVITES!$G$56:$G$105,MATCH($L67,ACTIVITES!$A$56:$A$105,0)),"")</f>
        <v/>
      </c>
      <c r="N67" s="114"/>
      <c r="O67" s="114"/>
      <c r="P67" s="114"/>
      <c r="Q67" s="114"/>
      <c r="R67" s="114"/>
      <c r="S67" s="114"/>
      <c r="T67" s="116"/>
      <c r="U67" s="116"/>
      <c r="V67" s="117" t="str">
        <f t="shared" si="7"/>
        <v/>
      </c>
      <c r="W67" s="113" t="str">
        <f t="shared" si="8"/>
        <v/>
      </c>
      <c r="X67" s="113" t="str">
        <f t="shared" si="9"/>
        <v/>
      </c>
      <c r="Y67" s="114"/>
      <c r="Z67" s="118"/>
      <c r="AA67" s="119"/>
      <c r="AB67" s="120" t="str">
        <f t="shared" si="10"/>
        <v/>
      </c>
      <c r="AC67" s="119"/>
      <c r="AD67" s="120" t="str">
        <f t="shared" si="11"/>
        <v/>
      </c>
      <c r="AE67" s="114"/>
      <c r="AF67" s="114"/>
      <c r="AG67" s="114"/>
      <c r="AH67" s="121"/>
      <c r="AI67" s="114"/>
      <c r="AJ67" s="121"/>
      <c r="AK67" s="121"/>
      <c r="AL67" s="116"/>
      <c r="AM67" s="114"/>
      <c r="AN67" s="114"/>
      <c r="AO67" s="114"/>
      <c r="AP67" s="114"/>
      <c r="AQ67" s="121"/>
      <c r="AR67" s="114"/>
      <c r="AS67" s="114"/>
      <c r="AT67" s="114"/>
      <c r="AU67" s="114"/>
      <c r="AV67" s="119"/>
      <c r="AW67" s="114"/>
      <c r="AX67" s="114"/>
      <c r="AY67" s="121"/>
      <c r="AZ67" s="114"/>
      <c r="BA67" s="114"/>
      <c r="BB67" s="114"/>
      <c r="BC67" s="116"/>
      <c r="BD67" s="114"/>
      <c r="BE67" s="113" t="str">
        <f t="shared" ca="1" si="12"/>
        <v/>
      </c>
      <c r="BF67" s="121"/>
      <c r="BG67" s="117" t="str">
        <f>IF($D67="","",COUNTIFS($D$39:$D67,$D67))</f>
        <v/>
      </c>
      <c r="BH67" s="117" t="str">
        <f>IF($H67="","",COUNTIFS($H$39:$H67,$H67))</f>
        <v/>
      </c>
    </row>
    <row r="68" spans="1:60" ht="15" customHeight="1">
      <c r="A68" s="113" t="str">
        <f t="shared" si="6"/>
        <v/>
      </c>
      <c r="B68" s="114"/>
      <c r="C68" s="114"/>
      <c r="D68" s="114"/>
      <c r="E68" s="115" t="str">
        <f>IFERROR(INDEX(DONATEURS!$B$56:$B$205,MATCH($D68,DONATEURS!$A$56:$A$205,0)),"")</f>
        <v/>
      </c>
      <c r="F68" s="115" t="str">
        <f>IFERROR(INDEX(DONATEURS!$E$56:$E$205,MATCH($D68,DONATEURS!$A$56:$A$205,0)),"")</f>
        <v/>
      </c>
      <c r="G68" s="115" t="str">
        <f>IFERROR(INDEX(DONATEURS!$G$56:$G$205,MATCH($D68,DONATEURS!$A$56:$A$205,0)),"")</f>
        <v/>
      </c>
      <c r="H68" s="114"/>
      <c r="I68" s="115" t="str">
        <f>IFERROR(INDEX(PROJETS!$C$56:$C$95,MATCH($H68,PROJETS!$A$56:$A$95,0)),"")</f>
        <v/>
      </c>
      <c r="J68" s="115" t="str">
        <f>IFERROR(INDEX(PROJETS!$J$56:$J$95,MATCH($H68,PROJETS!$A$56:$A$95,0)),"")</f>
        <v/>
      </c>
      <c r="K68" s="115" t="str">
        <f>IFERROR(INDEX(PROJETS!$N$56:$N$95,MATCH($H68,PROJETS!$A$56:$A$95,0)),"")</f>
        <v/>
      </c>
      <c r="L68" s="114"/>
      <c r="M68" s="115" t="str">
        <f>IFERROR(INDEX(ACTIVITES!$G$56:$G$105,MATCH($L68,ACTIVITES!$A$56:$A$105,0)),"")</f>
        <v/>
      </c>
      <c r="N68" s="114"/>
      <c r="O68" s="114"/>
      <c r="P68" s="114"/>
      <c r="Q68" s="114"/>
      <c r="R68" s="114"/>
      <c r="S68" s="114"/>
      <c r="T68" s="116"/>
      <c r="U68" s="116"/>
      <c r="V68" s="117" t="str">
        <f t="shared" si="7"/>
        <v/>
      </c>
      <c r="W68" s="113" t="str">
        <f t="shared" si="8"/>
        <v/>
      </c>
      <c r="X68" s="113" t="str">
        <f t="shared" si="9"/>
        <v/>
      </c>
      <c r="Y68" s="114"/>
      <c r="Z68" s="118"/>
      <c r="AA68" s="119"/>
      <c r="AB68" s="120" t="str">
        <f t="shared" si="10"/>
        <v/>
      </c>
      <c r="AC68" s="119"/>
      <c r="AD68" s="120" t="str">
        <f t="shared" si="11"/>
        <v/>
      </c>
      <c r="AE68" s="114"/>
      <c r="AF68" s="114"/>
      <c r="AG68" s="114"/>
      <c r="AH68" s="121"/>
      <c r="AI68" s="114"/>
      <c r="AJ68" s="121"/>
      <c r="AK68" s="121"/>
      <c r="AL68" s="116"/>
      <c r="AM68" s="114"/>
      <c r="AN68" s="114"/>
      <c r="AO68" s="114"/>
      <c r="AP68" s="114"/>
      <c r="AQ68" s="121"/>
      <c r="AR68" s="114"/>
      <c r="AS68" s="114"/>
      <c r="AT68" s="114"/>
      <c r="AU68" s="114"/>
      <c r="AV68" s="119"/>
      <c r="AW68" s="114"/>
      <c r="AX68" s="114"/>
      <c r="AY68" s="121"/>
      <c r="AZ68" s="114"/>
      <c r="BA68" s="114"/>
      <c r="BB68" s="114"/>
      <c r="BC68" s="116"/>
      <c r="BD68" s="114"/>
      <c r="BE68" s="113" t="str">
        <f t="shared" ca="1" si="12"/>
        <v/>
      </c>
      <c r="BF68" s="121"/>
      <c r="BG68" s="117" t="str">
        <f>IF($D68="","",COUNTIFS($D$39:$D68,$D68))</f>
        <v/>
      </c>
      <c r="BH68" s="117" t="str">
        <f>IF($H68="","",COUNTIFS($H$39:$H68,$H68))</f>
        <v/>
      </c>
    </row>
    <row r="69" spans="1:60" ht="15" customHeight="1">
      <c r="A69" s="113" t="str">
        <f t="shared" si="6"/>
        <v/>
      </c>
      <c r="B69" s="114"/>
      <c r="C69" s="114"/>
      <c r="D69" s="114"/>
      <c r="E69" s="115" t="str">
        <f>IFERROR(INDEX(DONATEURS!$B$56:$B$205,MATCH($D69,DONATEURS!$A$56:$A$205,0)),"")</f>
        <v/>
      </c>
      <c r="F69" s="115" t="str">
        <f>IFERROR(INDEX(DONATEURS!$E$56:$E$205,MATCH($D69,DONATEURS!$A$56:$A$205,0)),"")</f>
        <v/>
      </c>
      <c r="G69" s="115" t="str">
        <f>IFERROR(INDEX(DONATEURS!$G$56:$G$205,MATCH($D69,DONATEURS!$A$56:$A$205,0)),"")</f>
        <v/>
      </c>
      <c r="H69" s="114"/>
      <c r="I69" s="115" t="str">
        <f>IFERROR(INDEX(PROJETS!$C$56:$C$95,MATCH($H69,PROJETS!$A$56:$A$95,0)),"")</f>
        <v/>
      </c>
      <c r="J69" s="115" t="str">
        <f>IFERROR(INDEX(PROJETS!$J$56:$J$95,MATCH($H69,PROJETS!$A$56:$A$95,0)),"")</f>
        <v/>
      </c>
      <c r="K69" s="115" t="str">
        <f>IFERROR(INDEX(PROJETS!$N$56:$N$95,MATCH($H69,PROJETS!$A$56:$A$95,0)),"")</f>
        <v/>
      </c>
      <c r="L69" s="114"/>
      <c r="M69" s="115" t="str">
        <f>IFERROR(INDEX(ACTIVITES!$G$56:$G$105,MATCH($L69,ACTIVITES!$A$56:$A$105,0)),"")</f>
        <v/>
      </c>
      <c r="N69" s="114"/>
      <c r="O69" s="114"/>
      <c r="P69" s="114"/>
      <c r="Q69" s="114"/>
      <c r="R69" s="114"/>
      <c r="S69" s="114"/>
      <c r="T69" s="116"/>
      <c r="U69" s="116"/>
      <c r="V69" s="117" t="str">
        <f t="shared" si="7"/>
        <v/>
      </c>
      <c r="W69" s="113" t="str">
        <f t="shared" si="8"/>
        <v/>
      </c>
      <c r="X69" s="113" t="str">
        <f t="shared" si="9"/>
        <v/>
      </c>
      <c r="Y69" s="114"/>
      <c r="Z69" s="118"/>
      <c r="AA69" s="119"/>
      <c r="AB69" s="120" t="str">
        <f t="shared" si="10"/>
        <v/>
      </c>
      <c r="AC69" s="119"/>
      <c r="AD69" s="120" t="str">
        <f t="shared" si="11"/>
        <v/>
      </c>
      <c r="AE69" s="114"/>
      <c r="AF69" s="114"/>
      <c r="AG69" s="114"/>
      <c r="AH69" s="121"/>
      <c r="AI69" s="114"/>
      <c r="AJ69" s="121"/>
      <c r="AK69" s="121"/>
      <c r="AL69" s="116"/>
      <c r="AM69" s="114"/>
      <c r="AN69" s="114"/>
      <c r="AO69" s="114"/>
      <c r="AP69" s="114"/>
      <c r="AQ69" s="121"/>
      <c r="AR69" s="114"/>
      <c r="AS69" s="114"/>
      <c r="AT69" s="114"/>
      <c r="AU69" s="114"/>
      <c r="AV69" s="119"/>
      <c r="AW69" s="114"/>
      <c r="AX69" s="114"/>
      <c r="AY69" s="121"/>
      <c r="AZ69" s="114"/>
      <c r="BA69" s="114"/>
      <c r="BB69" s="114"/>
      <c r="BC69" s="116"/>
      <c r="BD69" s="114"/>
      <c r="BE69" s="113" t="str">
        <f t="shared" ca="1" si="12"/>
        <v/>
      </c>
      <c r="BF69" s="121"/>
      <c r="BG69" s="117" t="str">
        <f>IF($D69="","",COUNTIFS($D$39:$D69,$D69))</f>
        <v/>
      </c>
      <c r="BH69" s="117" t="str">
        <f>IF($H69="","",COUNTIFS($H$39:$H69,$H69))</f>
        <v/>
      </c>
    </row>
    <row r="70" spans="1:60" ht="15" customHeight="1">
      <c r="A70" s="113" t="str">
        <f t="shared" si="6"/>
        <v/>
      </c>
      <c r="B70" s="114"/>
      <c r="C70" s="114"/>
      <c r="D70" s="114"/>
      <c r="E70" s="115" t="str">
        <f>IFERROR(INDEX(DONATEURS!$B$56:$B$205,MATCH($D70,DONATEURS!$A$56:$A$205,0)),"")</f>
        <v/>
      </c>
      <c r="F70" s="115" t="str">
        <f>IFERROR(INDEX(DONATEURS!$E$56:$E$205,MATCH($D70,DONATEURS!$A$56:$A$205,0)),"")</f>
        <v/>
      </c>
      <c r="G70" s="115" t="str">
        <f>IFERROR(INDEX(DONATEURS!$G$56:$G$205,MATCH($D70,DONATEURS!$A$56:$A$205,0)),"")</f>
        <v/>
      </c>
      <c r="H70" s="114"/>
      <c r="I70" s="115" t="str">
        <f>IFERROR(INDEX(PROJETS!$C$56:$C$95,MATCH($H70,PROJETS!$A$56:$A$95,0)),"")</f>
        <v/>
      </c>
      <c r="J70" s="115" t="str">
        <f>IFERROR(INDEX(PROJETS!$J$56:$J$95,MATCH($H70,PROJETS!$A$56:$A$95,0)),"")</f>
        <v/>
      </c>
      <c r="K70" s="115" t="str">
        <f>IFERROR(INDEX(PROJETS!$N$56:$N$95,MATCH($H70,PROJETS!$A$56:$A$95,0)),"")</f>
        <v/>
      </c>
      <c r="L70" s="114"/>
      <c r="M70" s="115" t="str">
        <f>IFERROR(INDEX(ACTIVITES!$G$56:$G$105,MATCH($L70,ACTIVITES!$A$56:$A$105,0)),"")</f>
        <v/>
      </c>
      <c r="N70" s="114"/>
      <c r="O70" s="114"/>
      <c r="P70" s="114"/>
      <c r="Q70" s="114"/>
      <c r="R70" s="114"/>
      <c r="S70" s="114"/>
      <c r="T70" s="116"/>
      <c r="U70" s="116"/>
      <c r="V70" s="117" t="str">
        <f t="shared" si="7"/>
        <v/>
      </c>
      <c r="W70" s="113" t="str">
        <f t="shared" si="8"/>
        <v/>
      </c>
      <c r="X70" s="113" t="str">
        <f t="shared" si="9"/>
        <v/>
      </c>
      <c r="Y70" s="114"/>
      <c r="Z70" s="118"/>
      <c r="AA70" s="119"/>
      <c r="AB70" s="120" t="str">
        <f t="shared" si="10"/>
        <v/>
      </c>
      <c r="AC70" s="119"/>
      <c r="AD70" s="120" t="str">
        <f t="shared" si="11"/>
        <v/>
      </c>
      <c r="AE70" s="114"/>
      <c r="AF70" s="114"/>
      <c r="AG70" s="114"/>
      <c r="AH70" s="121"/>
      <c r="AI70" s="114"/>
      <c r="AJ70" s="121"/>
      <c r="AK70" s="121"/>
      <c r="AL70" s="116"/>
      <c r="AM70" s="114"/>
      <c r="AN70" s="114"/>
      <c r="AO70" s="114"/>
      <c r="AP70" s="114"/>
      <c r="AQ70" s="121"/>
      <c r="AR70" s="114"/>
      <c r="AS70" s="114"/>
      <c r="AT70" s="114"/>
      <c r="AU70" s="114"/>
      <c r="AV70" s="119"/>
      <c r="AW70" s="114"/>
      <c r="AX70" s="114"/>
      <c r="AY70" s="121"/>
      <c r="AZ70" s="114"/>
      <c r="BA70" s="114"/>
      <c r="BB70" s="114"/>
      <c r="BC70" s="116"/>
      <c r="BD70" s="114"/>
      <c r="BE70" s="113" t="str">
        <f t="shared" ca="1" si="12"/>
        <v/>
      </c>
      <c r="BF70" s="121"/>
      <c r="BG70" s="117" t="str">
        <f>IF($D70="","",COUNTIFS($D$39:$D70,$D70))</f>
        <v/>
      </c>
      <c r="BH70" s="117" t="str">
        <f>IF($H70="","",COUNTIFS($H$39:$H70,$H70))</f>
        <v/>
      </c>
    </row>
    <row r="71" spans="1:60" ht="15" customHeight="1">
      <c r="A71" s="113" t="str">
        <f t="shared" ref="A71:A88" si="13">IF($O71="","","REC"&amp;TEXT(ROW()-38,"00000"))</f>
        <v/>
      </c>
      <c r="B71" s="114"/>
      <c r="C71" s="114"/>
      <c r="D71" s="114"/>
      <c r="E71" s="115" t="str">
        <f>IFERROR(INDEX(DONATEURS!$B$56:$B$205,MATCH($D71,DONATEURS!$A$56:$A$205,0)),"")</f>
        <v/>
      </c>
      <c r="F71" s="115" t="str">
        <f>IFERROR(INDEX(DONATEURS!$E$56:$E$205,MATCH($D71,DONATEURS!$A$56:$A$205,0)),"")</f>
        <v/>
      </c>
      <c r="G71" s="115" t="str">
        <f>IFERROR(INDEX(DONATEURS!$G$56:$G$205,MATCH($D71,DONATEURS!$A$56:$A$205,0)),"")</f>
        <v/>
      </c>
      <c r="H71" s="114"/>
      <c r="I71" s="115" t="str">
        <f>IFERROR(INDEX(PROJETS!$C$56:$C$95,MATCH($H71,PROJETS!$A$56:$A$95,0)),"")</f>
        <v/>
      </c>
      <c r="J71" s="115" t="str">
        <f>IFERROR(INDEX(PROJETS!$J$56:$J$95,MATCH($H71,PROJETS!$A$56:$A$95,0)),"")</f>
        <v/>
      </c>
      <c r="K71" s="115" t="str">
        <f>IFERROR(INDEX(PROJETS!$N$56:$N$95,MATCH($H71,PROJETS!$A$56:$A$95,0)),"")</f>
        <v/>
      </c>
      <c r="L71" s="114"/>
      <c r="M71" s="115" t="str">
        <f>IFERROR(INDEX(ACTIVITES!$G$56:$G$105,MATCH($L71,ACTIVITES!$A$56:$A$105,0)),"")</f>
        <v/>
      </c>
      <c r="N71" s="114"/>
      <c r="O71" s="114"/>
      <c r="P71" s="114"/>
      <c r="Q71" s="114"/>
      <c r="R71" s="114"/>
      <c r="S71" s="114"/>
      <c r="T71" s="116"/>
      <c r="U71" s="116"/>
      <c r="V71" s="117" t="str">
        <f t="shared" ref="V71:V88" si="14">IF($T71="","",YEAR($T71))</f>
        <v/>
      </c>
      <c r="W71" s="113" t="str">
        <f t="shared" ref="W71:W88" si="15">IF($T71="","","T"&amp;ROUNDUP(MONTH($T71)/3,0))</f>
        <v/>
      </c>
      <c r="X71" s="113" t="str">
        <f t="shared" ref="X71:X88" si="16">IF($T71="","",TEXT($T71,"mmmm"))</f>
        <v/>
      </c>
      <c r="Y71" s="114"/>
      <c r="Z71" s="118"/>
      <c r="AA71" s="119"/>
      <c r="AB71" s="120" t="str">
        <f t="shared" ref="AB71:AB88" si="17">IF($AA71="","",IF(OR($Y71="FCFA",$Y71=""),$AA71,$AA71*IF($Z71="",1,$Z71)))</f>
        <v/>
      </c>
      <c r="AC71" s="119"/>
      <c r="AD71" s="120" t="str">
        <f t="shared" ref="AD71:AD88" si="18">IF($AC71="","",MAX($AC71-IF($AB71="",0,$AB71),0))</f>
        <v/>
      </c>
      <c r="AE71" s="114"/>
      <c r="AF71" s="114"/>
      <c r="AG71" s="114"/>
      <c r="AH71" s="121"/>
      <c r="AI71" s="114"/>
      <c r="AJ71" s="121"/>
      <c r="AK71" s="121"/>
      <c r="AL71" s="116"/>
      <c r="AM71" s="114"/>
      <c r="AN71" s="114"/>
      <c r="AO71" s="114"/>
      <c r="AP71" s="114"/>
      <c r="AQ71" s="121"/>
      <c r="AR71" s="114"/>
      <c r="AS71" s="114"/>
      <c r="AT71" s="114"/>
      <c r="AU71" s="114"/>
      <c r="AV71" s="119"/>
      <c r="AW71" s="114"/>
      <c r="AX71" s="114"/>
      <c r="AY71" s="121"/>
      <c r="AZ71" s="114"/>
      <c r="BA71" s="114"/>
      <c r="BB71" s="114"/>
      <c r="BC71" s="116"/>
      <c r="BD71" s="114"/>
      <c r="BE71" s="113" t="str">
        <f t="shared" ref="BE71:BE88" ca="1" si="19">IF($AC71="","",IF($AD71&lt;=0,"Recu integralement",IF(AND($AU71&lt;&gt;"",$AU71&lt;=TODAY()),"Relance necessaire",IF(AND($U71&lt;&gt;"",$T71="",$U71&lt;TODAY()),"Retard",IF($AD71&gt;0.5*$AC71,"Vigilance","Normal")))))</f>
        <v/>
      </c>
      <c r="BF71" s="121"/>
      <c r="BG71" s="117" t="str">
        <f>IF($D71="","",COUNTIFS($D$39:$D71,$D71))</f>
        <v/>
      </c>
      <c r="BH71" s="117" t="str">
        <f>IF($H71="","",COUNTIFS($H$39:$H71,$H71))</f>
        <v/>
      </c>
    </row>
    <row r="72" spans="1:60" ht="15" customHeight="1">
      <c r="A72" s="113" t="str">
        <f t="shared" si="13"/>
        <v/>
      </c>
      <c r="B72" s="114"/>
      <c r="C72" s="114"/>
      <c r="D72" s="114"/>
      <c r="E72" s="115" t="str">
        <f>IFERROR(INDEX(DONATEURS!$B$56:$B$205,MATCH($D72,DONATEURS!$A$56:$A$205,0)),"")</f>
        <v/>
      </c>
      <c r="F72" s="115" t="str">
        <f>IFERROR(INDEX(DONATEURS!$E$56:$E$205,MATCH($D72,DONATEURS!$A$56:$A$205,0)),"")</f>
        <v/>
      </c>
      <c r="G72" s="115" t="str">
        <f>IFERROR(INDEX(DONATEURS!$G$56:$G$205,MATCH($D72,DONATEURS!$A$56:$A$205,0)),"")</f>
        <v/>
      </c>
      <c r="H72" s="114"/>
      <c r="I72" s="115" t="str">
        <f>IFERROR(INDEX(PROJETS!$C$56:$C$95,MATCH($H72,PROJETS!$A$56:$A$95,0)),"")</f>
        <v/>
      </c>
      <c r="J72" s="115" t="str">
        <f>IFERROR(INDEX(PROJETS!$J$56:$J$95,MATCH($H72,PROJETS!$A$56:$A$95,0)),"")</f>
        <v/>
      </c>
      <c r="K72" s="115" t="str">
        <f>IFERROR(INDEX(PROJETS!$N$56:$N$95,MATCH($H72,PROJETS!$A$56:$A$95,0)),"")</f>
        <v/>
      </c>
      <c r="L72" s="114"/>
      <c r="M72" s="115" t="str">
        <f>IFERROR(INDEX(ACTIVITES!$G$56:$G$105,MATCH($L72,ACTIVITES!$A$56:$A$105,0)),"")</f>
        <v/>
      </c>
      <c r="N72" s="114"/>
      <c r="O72" s="114"/>
      <c r="P72" s="114"/>
      <c r="Q72" s="114"/>
      <c r="R72" s="114"/>
      <c r="S72" s="114"/>
      <c r="T72" s="116"/>
      <c r="U72" s="116"/>
      <c r="V72" s="117" t="str">
        <f t="shared" si="14"/>
        <v/>
      </c>
      <c r="W72" s="113" t="str">
        <f t="shared" si="15"/>
        <v/>
      </c>
      <c r="X72" s="113" t="str">
        <f t="shared" si="16"/>
        <v/>
      </c>
      <c r="Y72" s="114"/>
      <c r="Z72" s="118"/>
      <c r="AA72" s="119"/>
      <c r="AB72" s="120" t="str">
        <f t="shared" si="17"/>
        <v/>
      </c>
      <c r="AC72" s="119"/>
      <c r="AD72" s="120" t="str">
        <f t="shared" si="18"/>
        <v/>
      </c>
      <c r="AE72" s="114"/>
      <c r="AF72" s="114"/>
      <c r="AG72" s="114"/>
      <c r="AH72" s="121"/>
      <c r="AI72" s="114"/>
      <c r="AJ72" s="121"/>
      <c r="AK72" s="121"/>
      <c r="AL72" s="116"/>
      <c r="AM72" s="114"/>
      <c r="AN72" s="114"/>
      <c r="AO72" s="114"/>
      <c r="AP72" s="114"/>
      <c r="AQ72" s="121"/>
      <c r="AR72" s="114"/>
      <c r="AS72" s="114"/>
      <c r="AT72" s="114"/>
      <c r="AU72" s="114"/>
      <c r="AV72" s="119"/>
      <c r="AW72" s="114"/>
      <c r="AX72" s="114"/>
      <c r="AY72" s="121"/>
      <c r="AZ72" s="114"/>
      <c r="BA72" s="114"/>
      <c r="BB72" s="114"/>
      <c r="BC72" s="116"/>
      <c r="BD72" s="114"/>
      <c r="BE72" s="113" t="str">
        <f t="shared" ca="1" si="19"/>
        <v/>
      </c>
      <c r="BF72" s="121"/>
      <c r="BG72" s="117" t="str">
        <f>IF($D72="","",COUNTIFS($D$39:$D72,$D72))</f>
        <v/>
      </c>
      <c r="BH72" s="117" t="str">
        <f>IF($H72="","",COUNTIFS($H$39:$H72,$H72))</f>
        <v/>
      </c>
    </row>
    <row r="73" spans="1:60" ht="15" customHeight="1">
      <c r="A73" s="113" t="str">
        <f t="shared" si="13"/>
        <v/>
      </c>
      <c r="B73" s="114"/>
      <c r="C73" s="114"/>
      <c r="D73" s="114"/>
      <c r="E73" s="115" t="str">
        <f>IFERROR(INDEX(DONATEURS!$B$56:$B$205,MATCH($D73,DONATEURS!$A$56:$A$205,0)),"")</f>
        <v/>
      </c>
      <c r="F73" s="115" t="str">
        <f>IFERROR(INDEX(DONATEURS!$E$56:$E$205,MATCH($D73,DONATEURS!$A$56:$A$205,0)),"")</f>
        <v/>
      </c>
      <c r="G73" s="115" t="str">
        <f>IFERROR(INDEX(DONATEURS!$G$56:$G$205,MATCH($D73,DONATEURS!$A$56:$A$205,0)),"")</f>
        <v/>
      </c>
      <c r="H73" s="114"/>
      <c r="I73" s="115" t="str">
        <f>IFERROR(INDEX(PROJETS!$C$56:$C$95,MATCH($H73,PROJETS!$A$56:$A$95,0)),"")</f>
        <v/>
      </c>
      <c r="J73" s="115" t="str">
        <f>IFERROR(INDEX(PROJETS!$J$56:$J$95,MATCH($H73,PROJETS!$A$56:$A$95,0)),"")</f>
        <v/>
      </c>
      <c r="K73" s="115" t="str">
        <f>IFERROR(INDEX(PROJETS!$N$56:$N$95,MATCH($H73,PROJETS!$A$56:$A$95,0)),"")</f>
        <v/>
      </c>
      <c r="L73" s="114"/>
      <c r="M73" s="115" t="str">
        <f>IFERROR(INDEX(ACTIVITES!$G$56:$G$105,MATCH($L73,ACTIVITES!$A$56:$A$105,0)),"")</f>
        <v/>
      </c>
      <c r="N73" s="114"/>
      <c r="O73" s="114"/>
      <c r="P73" s="114"/>
      <c r="Q73" s="114"/>
      <c r="R73" s="114"/>
      <c r="S73" s="114"/>
      <c r="T73" s="116"/>
      <c r="U73" s="116"/>
      <c r="V73" s="117" t="str">
        <f t="shared" si="14"/>
        <v/>
      </c>
      <c r="W73" s="113" t="str">
        <f t="shared" si="15"/>
        <v/>
      </c>
      <c r="X73" s="113" t="str">
        <f t="shared" si="16"/>
        <v/>
      </c>
      <c r="Y73" s="114"/>
      <c r="Z73" s="118"/>
      <c r="AA73" s="119"/>
      <c r="AB73" s="120" t="str">
        <f t="shared" si="17"/>
        <v/>
      </c>
      <c r="AC73" s="119"/>
      <c r="AD73" s="120" t="str">
        <f t="shared" si="18"/>
        <v/>
      </c>
      <c r="AE73" s="114"/>
      <c r="AF73" s="114"/>
      <c r="AG73" s="114"/>
      <c r="AH73" s="121"/>
      <c r="AI73" s="114"/>
      <c r="AJ73" s="121"/>
      <c r="AK73" s="121"/>
      <c r="AL73" s="116"/>
      <c r="AM73" s="114"/>
      <c r="AN73" s="114"/>
      <c r="AO73" s="114"/>
      <c r="AP73" s="114"/>
      <c r="AQ73" s="121"/>
      <c r="AR73" s="114"/>
      <c r="AS73" s="114"/>
      <c r="AT73" s="114"/>
      <c r="AU73" s="114"/>
      <c r="AV73" s="119"/>
      <c r="AW73" s="114"/>
      <c r="AX73" s="114"/>
      <c r="AY73" s="121"/>
      <c r="AZ73" s="114"/>
      <c r="BA73" s="114"/>
      <c r="BB73" s="114"/>
      <c r="BC73" s="116"/>
      <c r="BD73" s="114"/>
      <c r="BE73" s="113" t="str">
        <f t="shared" ca="1" si="19"/>
        <v/>
      </c>
      <c r="BF73" s="121"/>
      <c r="BG73" s="117" t="str">
        <f>IF($D73="","",COUNTIFS($D$39:$D73,$D73))</f>
        <v/>
      </c>
      <c r="BH73" s="117" t="str">
        <f>IF($H73="","",COUNTIFS($H$39:$H73,$H73))</f>
        <v/>
      </c>
    </row>
    <row r="74" spans="1:60" ht="15" customHeight="1">
      <c r="A74" s="113" t="str">
        <f t="shared" si="13"/>
        <v/>
      </c>
      <c r="B74" s="114"/>
      <c r="C74" s="114"/>
      <c r="D74" s="114"/>
      <c r="E74" s="115" t="str">
        <f>IFERROR(INDEX(DONATEURS!$B$56:$B$205,MATCH($D74,DONATEURS!$A$56:$A$205,0)),"")</f>
        <v/>
      </c>
      <c r="F74" s="115" t="str">
        <f>IFERROR(INDEX(DONATEURS!$E$56:$E$205,MATCH($D74,DONATEURS!$A$56:$A$205,0)),"")</f>
        <v/>
      </c>
      <c r="G74" s="115" t="str">
        <f>IFERROR(INDEX(DONATEURS!$G$56:$G$205,MATCH($D74,DONATEURS!$A$56:$A$205,0)),"")</f>
        <v/>
      </c>
      <c r="H74" s="114"/>
      <c r="I74" s="115" t="str">
        <f>IFERROR(INDEX(PROJETS!$C$56:$C$95,MATCH($H74,PROJETS!$A$56:$A$95,0)),"")</f>
        <v/>
      </c>
      <c r="J74" s="115" t="str">
        <f>IFERROR(INDEX(PROJETS!$J$56:$J$95,MATCH($H74,PROJETS!$A$56:$A$95,0)),"")</f>
        <v/>
      </c>
      <c r="K74" s="115" t="str">
        <f>IFERROR(INDEX(PROJETS!$N$56:$N$95,MATCH($H74,PROJETS!$A$56:$A$95,0)),"")</f>
        <v/>
      </c>
      <c r="L74" s="114"/>
      <c r="M74" s="115" t="str">
        <f>IFERROR(INDEX(ACTIVITES!$G$56:$G$105,MATCH($L74,ACTIVITES!$A$56:$A$105,0)),"")</f>
        <v/>
      </c>
      <c r="N74" s="114"/>
      <c r="O74" s="114"/>
      <c r="P74" s="114"/>
      <c r="Q74" s="114"/>
      <c r="R74" s="114"/>
      <c r="S74" s="114"/>
      <c r="T74" s="116"/>
      <c r="U74" s="116"/>
      <c r="V74" s="117" t="str">
        <f t="shared" si="14"/>
        <v/>
      </c>
      <c r="W74" s="113" t="str">
        <f t="shared" si="15"/>
        <v/>
      </c>
      <c r="X74" s="113" t="str">
        <f t="shared" si="16"/>
        <v/>
      </c>
      <c r="Y74" s="114"/>
      <c r="Z74" s="118"/>
      <c r="AA74" s="119"/>
      <c r="AB74" s="120" t="str">
        <f t="shared" si="17"/>
        <v/>
      </c>
      <c r="AC74" s="119"/>
      <c r="AD74" s="120" t="str">
        <f t="shared" si="18"/>
        <v/>
      </c>
      <c r="AE74" s="114"/>
      <c r="AF74" s="114"/>
      <c r="AG74" s="114"/>
      <c r="AH74" s="121"/>
      <c r="AI74" s="114"/>
      <c r="AJ74" s="121"/>
      <c r="AK74" s="121"/>
      <c r="AL74" s="116"/>
      <c r="AM74" s="114"/>
      <c r="AN74" s="114"/>
      <c r="AO74" s="114"/>
      <c r="AP74" s="114"/>
      <c r="AQ74" s="121"/>
      <c r="AR74" s="114"/>
      <c r="AS74" s="114"/>
      <c r="AT74" s="114"/>
      <c r="AU74" s="114"/>
      <c r="AV74" s="119"/>
      <c r="AW74" s="114"/>
      <c r="AX74" s="114"/>
      <c r="AY74" s="121"/>
      <c r="AZ74" s="114"/>
      <c r="BA74" s="114"/>
      <c r="BB74" s="114"/>
      <c r="BC74" s="116"/>
      <c r="BD74" s="114"/>
      <c r="BE74" s="113" t="str">
        <f t="shared" ca="1" si="19"/>
        <v/>
      </c>
      <c r="BF74" s="121"/>
      <c r="BG74" s="117" t="str">
        <f>IF($D74="","",COUNTIFS($D$39:$D74,$D74))</f>
        <v/>
      </c>
      <c r="BH74" s="117" t="str">
        <f>IF($H74="","",COUNTIFS($H$39:$H74,$H74))</f>
        <v/>
      </c>
    </row>
    <row r="75" spans="1:60" ht="15" customHeight="1">
      <c r="A75" s="113" t="str">
        <f t="shared" si="13"/>
        <v/>
      </c>
      <c r="B75" s="114"/>
      <c r="C75" s="114"/>
      <c r="D75" s="114"/>
      <c r="E75" s="115" t="str">
        <f>IFERROR(INDEX(DONATEURS!$B$56:$B$205,MATCH($D75,DONATEURS!$A$56:$A$205,0)),"")</f>
        <v/>
      </c>
      <c r="F75" s="115" t="str">
        <f>IFERROR(INDEX(DONATEURS!$E$56:$E$205,MATCH($D75,DONATEURS!$A$56:$A$205,0)),"")</f>
        <v/>
      </c>
      <c r="G75" s="115" t="str">
        <f>IFERROR(INDEX(DONATEURS!$G$56:$G$205,MATCH($D75,DONATEURS!$A$56:$A$205,0)),"")</f>
        <v/>
      </c>
      <c r="H75" s="114"/>
      <c r="I75" s="115" t="str">
        <f>IFERROR(INDEX(PROJETS!$C$56:$C$95,MATCH($H75,PROJETS!$A$56:$A$95,0)),"")</f>
        <v/>
      </c>
      <c r="J75" s="115" t="str">
        <f>IFERROR(INDEX(PROJETS!$J$56:$J$95,MATCH($H75,PROJETS!$A$56:$A$95,0)),"")</f>
        <v/>
      </c>
      <c r="K75" s="115" t="str">
        <f>IFERROR(INDEX(PROJETS!$N$56:$N$95,MATCH($H75,PROJETS!$A$56:$A$95,0)),"")</f>
        <v/>
      </c>
      <c r="L75" s="114"/>
      <c r="M75" s="115" t="str">
        <f>IFERROR(INDEX(ACTIVITES!$G$56:$G$105,MATCH($L75,ACTIVITES!$A$56:$A$105,0)),"")</f>
        <v/>
      </c>
      <c r="N75" s="114"/>
      <c r="O75" s="114"/>
      <c r="P75" s="114"/>
      <c r="Q75" s="114"/>
      <c r="R75" s="114"/>
      <c r="S75" s="114"/>
      <c r="T75" s="116"/>
      <c r="U75" s="116"/>
      <c r="V75" s="117" t="str">
        <f t="shared" si="14"/>
        <v/>
      </c>
      <c r="W75" s="113" t="str">
        <f t="shared" si="15"/>
        <v/>
      </c>
      <c r="X75" s="113" t="str">
        <f t="shared" si="16"/>
        <v/>
      </c>
      <c r="Y75" s="114"/>
      <c r="Z75" s="118"/>
      <c r="AA75" s="119"/>
      <c r="AB75" s="120" t="str">
        <f t="shared" si="17"/>
        <v/>
      </c>
      <c r="AC75" s="119"/>
      <c r="AD75" s="120" t="str">
        <f t="shared" si="18"/>
        <v/>
      </c>
      <c r="AE75" s="114"/>
      <c r="AF75" s="114"/>
      <c r="AG75" s="114"/>
      <c r="AH75" s="121"/>
      <c r="AI75" s="114"/>
      <c r="AJ75" s="121"/>
      <c r="AK75" s="121"/>
      <c r="AL75" s="116"/>
      <c r="AM75" s="114"/>
      <c r="AN75" s="114"/>
      <c r="AO75" s="114"/>
      <c r="AP75" s="114"/>
      <c r="AQ75" s="121"/>
      <c r="AR75" s="114"/>
      <c r="AS75" s="114"/>
      <c r="AT75" s="114"/>
      <c r="AU75" s="114"/>
      <c r="AV75" s="119"/>
      <c r="AW75" s="114"/>
      <c r="AX75" s="114"/>
      <c r="AY75" s="121"/>
      <c r="AZ75" s="114"/>
      <c r="BA75" s="114"/>
      <c r="BB75" s="114"/>
      <c r="BC75" s="116"/>
      <c r="BD75" s="114"/>
      <c r="BE75" s="113" t="str">
        <f t="shared" ca="1" si="19"/>
        <v/>
      </c>
      <c r="BF75" s="121"/>
      <c r="BG75" s="117" t="str">
        <f>IF($D75="","",COUNTIFS($D$39:$D75,$D75))</f>
        <v/>
      </c>
      <c r="BH75" s="117" t="str">
        <f>IF($H75="","",COUNTIFS($H$39:$H75,$H75))</f>
        <v/>
      </c>
    </row>
    <row r="76" spans="1:60" ht="15" customHeight="1">
      <c r="A76" s="113" t="str">
        <f t="shared" si="13"/>
        <v/>
      </c>
      <c r="B76" s="114"/>
      <c r="C76" s="114"/>
      <c r="D76" s="114"/>
      <c r="E76" s="115" t="str">
        <f>IFERROR(INDEX(DONATEURS!$B$56:$B$205,MATCH($D76,DONATEURS!$A$56:$A$205,0)),"")</f>
        <v/>
      </c>
      <c r="F76" s="115" t="str">
        <f>IFERROR(INDEX(DONATEURS!$E$56:$E$205,MATCH($D76,DONATEURS!$A$56:$A$205,0)),"")</f>
        <v/>
      </c>
      <c r="G76" s="115" t="str">
        <f>IFERROR(INDEX(DONATEURS!$G$56:$G$205,MATCH($D76,DONATEURS!$A$56:$A$205,0)),"")</f>
        <v/>
      </c>
      <c r="H76" s="114"/>
      <c r="I76" s="115" t="str">
        <f>IFERROR(INDEX(PROJETS!$C$56:$C$95,MATCH($H76,PROJETS!$A$56:$A$95,0)),"")</f>
        <v/>
      </c>
      <c r="J76" s="115" t="str">
        <f>IFERROR(INDEX(PROJETS!$J$56:$J$95,MATCH($H76,PROJETS!$A$56:$A$95,0)),"")</f>
        <v/>
      </c>
      <c r="K76" s="115" t="str">
        <f>IFERROR(INDEX(PROJETS!$N$56:$N$95,MATCH($H76,PROJETS!$A$56:$A$95,0)),"")</f>
        <v/>
      </c>
      <c r="L76" s="114"/>
      <c r="M76" s="115" t="str">
        <f>IFERROR(INDEX(ACTIVITES!$G$56:$G$105,MATCH($L76,ACTIVITES!$A$56:$A$105,0)),"")</f>
        <v/>
      </c>
      <c r="N76" s="114"/>
      <c r="O76" s="114"/>
      <c r="P76" s="114"/>
      <c r="Q76" s="114"/>
      <c r="R76" s="114"/>
      <c r="S76" s="114"/>
      <c r="T76" s="116"/>
      <c r="U76" s="116"/>
      <c r="V76" s="117" t="str">
        <f t="shared" si="14"/>
        <v/>
      </c>
      <c r="W76" s="113" t="str">
        <f t="shared" si="15"/>
        <v/>
      </c>
      <c r="X76" s="113" t="str">
        <f t="shared" si="16"/>
        <v/>
      </c>
      <c r="Y76" s="114"/>
      <c r="Z76" s="118"/>
      <c r="AA76" s="119"/>
      <c r="AB76" s="120" t="str">
        <f t="shared" si="17"/>
        <v/>
      </c>
      <c r="AC76" s="119"/>
      <c r="AD76" s="120" t="str">
        <f t="shared" si="18"/>
        <v/>
      </c>
      <c r="AE76" s="114"/>
      <c r="AF76" s="114"/>
      <c r="AG76" s="114"/>
      <c r="AH76" s="121"/>
      <c r="AI76" s="114"/>
      <c r="AJ76" s="121"/>
      <c r="AK76" s="121"/>
      <c r="AL76" s="116"/>
      <c r="AM76" s="114"/>
      <c r="AN76" s="114"/>
      <c r="AO76" s="114"/>
      <c r="AP76" s="114"/>
      <c r="AQ76" s="121"/>
      <c r="AR76" s="114"/>
      <c r="AS76" s="114"/>
      <c r="AT76" s="114"/>
      <c r="AU76" s="114"/>
      <c r="AV76" s="119"/>
      <c r="AW76" s="114"/>
      <c r="AX76" s="114"/>
      <c r="AY76" s="121"/>
      <c r="AZ76" s="114"/>
      <c r="BA76" s="114"/>
      <c r="BB76" s="114"/>
      <c r="BC76" s="116"/>
      <c r="BD76" s="114"/>
      <c r="BE76" s="113" t="str">
        <f t="shared" ca="1" si="19"/>
        <v/>
      </c>
      <c r="BF76" s="121"/>
      <c r="BG76" s="117" t="str">
        <f>IF($D76="","",COUNTIFS($D$39:$D76,$D76))</f>
        <v/>
      </c>
      <c r="BH76" s="117" t="str">
        <f>IF($H76="","",COUNTIFS($H$39:$H76,$H76))</f>
        <v/>
      </c>
    </row>
    <row r="77" spans="1:60" ht="15" customHeight="1">
      <c r="A77" s="113" t="str">
        <f t="shared" si="13"/>
        <v/>
      </c>
      <c r="B77" s="114"/>
      <c r="C77" s="114"/>
      <c r="D77" s="114"/>
      <c r="E77" s="115" t="str">
        <f>IFERROR(INDEX(DONATEURS!$B$56:$B$205,MATCH($D77,DONATEURS!$A$56:$A$205,0)),"")</f>
        <v/>
      </c>
      <c r="F77" s="115" t="str">
        <f>IFERROR(INDEX(DONATEURS!$E$56:$E$205,MATCH($D77,DONATEURS!$A$56:$A$205,0)),"")</f>
        <v/>
      </c>
      <c r="G77" s="115" t="str">
        <f>IFERROR(INDEX(DONATEURS!$G$56:$G$205,MATCH($D77,DONATEURS!$A$56:$A$205,0)),"")</f>
        <v/>
      </c>
      <c r="H77" s="114"/>
      <c r="I77" s="115" t="str">
        <f>IFERROR(INDEX(PROJETS!$C$56:$C$95,MATCH($H77,PROJETS!$A$56:$A$95,0)),"")</f>
        <v/>
      </c>
      <c r="J77" s="115" t="str">
        <f>IFERROR(INDEX(PROJETS!$J$56:$J$95,MATCH($H77,PROJETS!$A$56:$A$95,0)),"")</f>
        <v/>
      </c>
      <c r="K77" s="115" t="str">
        <f>IFERROR(INDEX(PROJETS!$N$56:$N$95,MATCH($H77,PROJETS!$A$56:$A$95,0)),"")</f>
        <v/>
      </c>
      <c r="L77" s="114"/>
      <c r="M77" s="115" t="str">
        <f>IFERROR(INDEX(ACTIVITES!$G$56:$G$105,MATCH($L77,ACTIVITES!$A$56:$A$105,0)),"")</f>
        <v/>
      </c>
      <c r="N77" s="114"/>
      <c r="O77" s="114"/>
      <c r="P77" s="114"/>
      <c r="Q77" s="114"/>
      <c r="R77" s="114"/>
      <c r="S77" s="114"/>
      <c r="T77" s="116"/>
      <c r="U77" s="116"/>
      <c r="V77" s="117" t="str">
        <f t="shared" si="14"/>
        <v/>
      </c>
      <c r="W77" s="113" t="str">
        <f t="shared" si="15"/>
        <v/>
      </c>
      <c r="X77" s="113" t="str">
        <f t="shared" si="16"/>
        <v/>
      </c>
      <c r="Y77" s="114"/>
      <c r="Z77" s="118"/>
      <c r="AA77" s="119"/>
      <c r="AB77" s="120" t="str">
        <f t="shared" si="17"/>
        <v/>
      </c>
      <c r="AC77" s="119"/>
      <c r="AD77" s="120" t="str">
        <f t="shared" si="18"/>
        <v/>
      </c>
      <c r="AE77" s="114"/>
      <c r="AF77" s="114"/>
      <c r="AG77" s="114"/>
      <c r="AH77" s="121"/>
      <c r="AI77" s="114"/>
      <c r="AJ77" s="121"/>
      <c r="AK77" s="121"/>
      <c r="AL77" s="116"/>
      <c r="AM77" s="114"/>
      <c r="AN77" s="114"/>
      <c r="AO77" s="114"/>
      <c r="AP77" s="114"/>
      <c r="AQ77" s="121"/>
      <c r="AR77" s="114"/>
      <c r="AS77" s="114"/>
      <c r="AT77" s="114"/>
      <c r="AU77" s="114"/>
      <c r="AV77" s="119"/>
      <c r="AW77" s="114"/>
      <c r="AX77" s="114"/>
      <c r="AY77" s="121"/>
      <c r="AZ77" s="114"/>
      <c r="BA77" s="114"/>
      <c r="BB77" s="114"/>
      <c r="BC77" s="116"/>
      <c r="BD77" s="114"/>
      <c r="BE77" s="113" t="str">
        <f t="shared" ca="1" si="19"/>
        <v/>
      </c>
      <c r="BF77" s="121"/>
      <c r="BG77" s="117" t="str">
        <f>IF($D77="","",COUNTIFS($D$39:$D77,$D77))</f>
        <v/>
      </c>
      <c r="BH77" s="117" t="str">
        <f>IF($H77="","",COUNTIFS($H$39:$H77,$H77))</f>
        <v/>
      </c>
    </row>
    <row r="78" spans="1:60" ht="15" customHeight="1">
      <c r="A78" s="113" t="str">
        <f t="shared" si="13"/>
        <v/>
      </c>
      <c r="B78" s="114"/>
      <c r="C78" s="114"/>
      <c r="D78" s="114"/>
      <c r="E78" s="115" t="str">
        <f>IFERROR(INDEX(DONATEURS!$B$56:$B$205,MATCH($D78,DONATEURS!$A$56:$A$205,0)),"")</f>
        <v/>
      </c>
      <c r="F78" s="115" t="str">
        <f>IFERROR(INDEX(DONATEURS!$E$56:$E$205,MATCH($D78,DONATEURS!$A$56:$A$205,0)),"")</f>
        <v/>
      </c>
      <c r="G78" s="115" t="str">
        <f>IFERROR(INDEX(DONATEURS!$G$56:$G$205,MATCH($D78,DONATEURS!$A$56:$A$205,0)),"")</f>
        <v/>
      </c>
      <c r="H78" s="114"/>
      <c r="I78" s="115" t="str">
        <f>IFERROR(INDEX(PROJETS!$C$56:$C$95,MATCH($H78,PROJETS!$A$56:$A$95,0)),"")</f>
        <v/>
      </c>
      <c r="J78" s="115" t="str">
        <f>IFERROR(INDEX(PROJETS!$J$56:$J$95,MATCH($H78,PROJETS!$A$56:$A$95,0)),"")</f>
        <v/>
      </c>
      <c r="K78" s="115" t="str">
        <f>IFERROR(INDEX(PROJETS!$N$56:$N$95,MATCH($H78,PROJETS!$A$56:$A$95,0)),"")</f>
        <v/>
      </c>
      <c r="L78" s="114"/>
      <c r="M78" s="115" t="str">
        <f>IFERROR(INDEX(ACTIVITES!$G$56:$G$105,MATCH($L78,ACTIVITES!$A$56:$A$105,0)),"")</f>
        <v/>
      </c>
      <c r="N78" s="114"/>
      <c r="O78" s="114"/>
      <c r="P78" s="114"/>
      <c r="Q78" s="114"/>
      <c r="R78" s="114"/>
      <c r="S78" s="114"/>
      <c r="T78" s="116"/>
      <c r="U78" s="116"/>
      <c r="V78" s="117" t="str">
        <f t="shared" si="14"/>
        <v/>
      </c>
      <c r="W78" s="113" t="str">
        <f t="shared" si="15"/>
        <v/>
      </c>
      <c r="X78" s="113" t="str">
        <f t="shared" si="16"/>
        <v/>
      </c>
      <c r="Y78" s="114"/>
      <c r="Z78" s="118"/>
      <c r="AA78" s="119"/>
      <c r="AB78" s="120" t="str">
        <f t="shared" si="17"/>
        <v/>
      </c>
      <c r="AC78" s="119"/>
      <c r="AD78" s="120" t="str">
        <f t="shared" si="18"/>
        <v/>
      </c>
      <c r="AE78" s="114"/>
      <c r="AF78" s="114"/>
      <c r="AG78" s="114"/>
      <c r="AH78" s="121"/>
      <c r="AI78" s="114"/>
      <c r="AJ78" s="121"/>
      <c r="AK78" s="121"/>
      <c r="AL78" s="116"/>
      <c r="AM78" s="114"/>
      <c r="AN78" s="114"/>
      <c r="AO78" s="114"/>
      <c r="AP78" s="114"/>
      <c r="AQ78" s="121"/>
      <c r="AR78" s="114"/>
      <c r="AS78" s="114"/>
      <c r="AT78" s="114"/>
      <c r="AU78" s="114"/>
      <c r="AV78" s="119"/>
      <c r="AW78" s="114"/>
      <c r="AX78" s="114"/>
      <c r="AY78" s="121"/>
      <c r="AZ78" s="114"/>
      <c r="BA78" s="114"/>
      <c r="BB78" s="114"/>
      <c r="BC78" s="116"/>
      <c r="BD78" s="114"/>
      <c r="BE78" s="113" t="str">
        <f t="shared" ca="1" si="19"/>
        <v/>
      </c>
      <c r="BF78" s="121"/>
      <c r="BG78" s="117" t="str">
        <f>IF($D78="","",COUNTIFS($D$39:$D78,$D78))</f>
        <v/>
      </c>
      <c r="BH78" s="117" t="str">
        <f>IF($H78="","",COUNTIFS($H$39:$H78,$H78))</f>
        <v/>
      </c>
    </row>
    <row r="79" spans="1:60" ht="15" customHeight="1">
      <c r="A79" s="113" t="str">
        <f t="shared" si="13"/>
        <v/>
      </c>
      <c r="B79" s="114"/>
      <c r="C79" s="114"/>
      <c r="D79" s="114"/>
      <c r="E79" s="115" t="str">
        <f>IFERROR(INDEX(DONATEURS!$B$56:$B$205,MATCH($D79,DONATEURS!$A$56:$A$205,0)),"")</f>
        <v/>
      </c>
      <c r="F79" s="115" t="str">
        <f>IFERROR(INDEX(DONATEURS!$E$56:$E$205,MATCH($D79,DONATEURS!$A$56:$A$205,0)),"")</f>
        <v/>
      </c>
      <c r="G79" s="115" t="str">
        <f>IFERROR(INDEX(DONATEURS!$G$56:$G$205,MATCH($D79,DONATEURS!$A$56:$A$205,0)),"")</f>
        <v/>
      </c>
      <c r="H79" s="114"/>
      <c r="I79" s="115" t="str">
        <f>IFERROR(INDEX(PROJETS!$C$56:$C$95,MATCH($H79,PROJETS!$A$56:$A$95,0)),"")</f>
        <v/>
      </c>
      <c r="J79" s="115" t="str">
        <f>IFERROR(INDEX(PROJETS!$J$56:$J$95,MATCH($H79,PROJETS!$A$56:$A$95,0)),"")</f>
        <v/>
      </c>
      <c r="K79" s="115" t="str">
        <f>IFERROR(INDEX(PROJETS!$N$56:$N$95,MATCH($H79,PROJETS!$A$56:$A$95,0)),"")</f>
        <v/>
      </c>
      <c r="L79" s="114"/>
      <c r="M79" s="115" t="str">
        <f>IFERROR(INDEX(ACTIVITES!$G$56:$G$105,MATCH($L79,ACTIVITES!$A$56:$A$105,0)),"")</f>
        <v/>
      </c>
      <c r="N79" s="114"/>
      <c r="O79" s="114"/>
      <c r="P79" s="114"/>
      <c r="Q79" s="114"/>
      <c r="R79" s="114"/>
      <c r="S79" s="114"/>
      <c r="T79" s="116"/>
      <c r="U79" s="116"/>
      <c r="V79" s="117" t="str">
        <f t="shared" si="14"/>
        <v/>
      </c>
      <c r="W79" s="113" t="str">
        <f t="shared" si="15"/>
        <v/>
      </c>
      <c r="X79" s="113" t="str">
        <f t="shared" si="16"/>
        <v/>
      </c>
      <c r="Y79" s="114"/>
      <c r="Z79" s="118"/>
      <c r="AA79" s="119"/>
      <c r="AB79" s="120" t="str">
        <f t="shared" si="17"/>
        <v/>
      </c>
      <c r="AC79" s="119"/>
      <c r="AD79" s="120" t="str">
        <f t="shared" si="18"/>
        <v/>
      </c>
      <c r="AE79" s="114"/>
      <c r="AF79" s="114"/>
      <c r="AG79" s="114"/>
      <c r="AH79" s="121"/>
      <c r="AI79" s="114"/>
      <c r="AJ79" s="121"/>
      <c r="AK79" s="121"/>
      <c r="AL79" s="116"/>
      <c r="AM79" s="114"/>
      <c r="AN79" s="114"/>
      <c r="AO79" s="114"/>
      <c r="AP79" s="114"/>
      <c r="AQ79" s="121"/>
      <c r="AR79" s="114"/>
      <c r="AS79" s="114"/>
      <c r="AT79" s="114"/>
      <c r="AU79" s="114"/>
      <c r="AV79" s="119"/>
      <c r="AW79" s="114"/>
      <c r="AX79" s="114"/>
      <c r="AY79" s="121"/>
      <c r="AZ79" s="114"/>
      <c r="BA79" s="114"/>
      <c r="BB79" s="114"/>
      <c r="BC79" s="116"/>
      <c r="BD79" s="114"/>
      <c r="BE79" s="113" t="str">
        <f t="shared" ca="1" si="19"/>
        <v/>
      </c>
      <c r="BF79" s="121"/>
      <c r="BG79" s="117" t="str">
        <f>IF($D79="","",COUNTIFS($D$39:$D79,$D79))</f>
        <v/>
      </c>
      <c r="BH79" s="117" t="str">
        <f>IF($H79="","",COUNTIFS($H$39:$H79,$H79))</f>
        <v/>
      </c>
    </row>
    <row r="80" spans="1:60" ht="15" customHeight="1">
      <c r="A80" s="113" t="str">
        <f t="shared" si="13"/>
        <v/>
      </c>
      <c r="B80" s="114"/>
      <c r="C80" s="114"/>
      <c r="D80" s="114"/>
      <c r="E80" s="115" t="str">
        <f>IFERROR(INDEX(DONATEURS!$B$56:$B$205,MATCH($D80,DONATEURS!$A$56:$A$205,0)),"")</f>
        <v/>
      </c>
      <c r="F80" s="115" t="str">
        <f>IFERROR(INDEX(DONATEURS!$E$56:$E$205,MATCH($D80,DONATEURS!$A$56:$A$205,0)),"")</f>
        <v/>
      </c>
      <c r="G80" s="115" t="str">
        <f>IFERROR(INDEX(DONATEURS!$G$56:$G$205,MATCH($D80,DONATEURS!$A$56:$A$205,0)),"")</f>
        <v/>
      </c>
      <c r="H80" s="114"/>
      <c r="I80" s="115" t="str">
        <f>IFERROR(INDEX(PROJETS!$C$56:$C$95,MATCH($H80,PROJETS!$A$56:$A$95,0)),"")</f>
        <v/>
      </c>
      <c r="J80" s="115" t="str">
        <f>IFERROR(INDEX(PROJETS!$J$56:$J$95,MATCH($H80,PROJETS!$A$56:$A$95,0)),"")</f>
        <v/>
      </c>
      <c r="K80" s="115" t="str">
        <f>IFERROR(INDEX(PROJETS!$N$56:$N$95,MATCH($H80,PROJETS!$A$56:$A$95,0)),"")</f>
        <v/>
      </c>
      <c r="L80" s="114"/>
      <c r="M80" s="115" t="str">
        <f>IFERROR(INDEX(ACTIVITES!$G$56:$G$105,MATCH($L80,ACTIVITES!$A$56:$A$105,0)),"")</f>
        <v/>
      </c>
      <c r="N80" s="114"/>
      <c r="O80" s="114"/>
      <c r="P80" s="114"/>
      <c r="Q80" s="114"/>
      <c r="R80" s="114"/>
      <c r="S80" s="114"/>
      <c r="T80" s="116"/>
      <c r="U80" s="116"/>
      <c r="V80" s="117" t="str">
        <f t="shared" si="14"/>
        <v/>
      </c>
      <c r="W80" s="113" t="str">
        <f t="shared" si="15"/>
        <v/>
      </c>
      <c r="X80" s="113" t="str">
        <f t="shared" si="16"/>
        <v/>
      </c>
      <c r="Y80" s="114"/>
      <c r="Z80" s="118"/>
      <c r="AA80" s="119"/>
      <c r="AB80" s="120" t="str">
        <f t="shared" si="17"/>
        <v/>
      </c>
      <c r="AC80" s="119"/>
      <c r="AD80" s="120" t="str">
        <f t="shared" si="18"/>
        <v/>
      </c>
      <c r="AE80" s="114"/>
      <c r="AF80" s="114"/>
      <c r="AG80" s="114"/>
      <c r="AH80" s="121"/>
      <c r="AI80" s="114"/>
      <c r="AJ80" s="121"/>
      <c r="AK80" s="121"/>
      <c r="AL80" s="116"/>
      <c r="AM80" s="114"/>
      <c r="AN80" s="114"/>
      <c r="AO80" s="114"/>
      <c r="AP80" s="114"/>
      <c r="AQ80" s="121"/>
      <c r="AR80" s="114"/>
      <c r="AS80" s="114"/>
      <c r="AT80" s="114"/>
      <c r="AU80" s="114"/>
      <c r="AV80" s="119"/>
      <c r="AW80" s="114"/>
      <c r="AX80" s="114"/>
      <c r="AY80" s="121"/>
      <c r="AZ80" s="114"/>
      <c r="BA80" s="114"/>
      <c r="BB80" s="114"/>
      <c r="BC80" s="116"/>
      <c r="BD80" s="114"/>
      <c r="BE80" s="113" t="str">
        <f t="shared" ca="1" si="19"/>
        <v/>
      </c>
      <c r="BF80" s="121"/>
      <c r="BG80" s="117" t="str">
        <f>IF($D80="","",COUNTIFS($D$39:$D80,$D80))</f>
        <v/>
      </c>
      <c r="BH80" s="117" t="str">
        <f>IF($H80="","",COUNTIFS($H$39:$H80,$H80))</f>
        <v/>
      </c>
    </row>
    <row r="81" spans="1:60" ht="15" customHeight="1">
      <c r="A81" s="113" t="str">
        <f t="shared" si="13"/>
        <v/>
      </c>
      <c r="B81" s="114"/>
      <c r="C81" s="114"/>
      <c r="D81" s="114"/>
      <c r="E81" s="115" t="str">
        <f>IFERROR(INDEX(DONATEURS!$B$56:$B$205,MATCH($D81,DONATEURS!$A$56:$A$205,0)),"")</f>
        <v/>
      </c>
      <c r="F81" s="115" t="str">
        <f>IFERROR(INDEX(DONATEURS!$E$56:$E$205,MATCH($D81,DONATEURS!$A$56:$A$205,0)),"")</f>
        <v/>
      </c>
      <c r="G81" s="115" t="str">
        <f>IFERROR(INDEX(DONATEURS!$G$56:$G$205,MATCH($D81,DONATEURS!$A$56:$A$205,0)),"")</f>
        <v/>
      </c>
      <c r="H81" s="114"/>
      <c r="I81" s="115" t="str">
        <f>IFERROR(INDEX(PROJETS!$C$56:$C$95,MATCH($H81,PROJETS!$A$56:$A$95,0)),"")</f>
        <v/>
      </c>
      <c r="J81" s="115" t="str">
        <f>IFERROR(INDEX(PROJETS!$J$56:$J$95,MATCH($H81,PROJETS!$A$56:$A$95,0)),"")</f>
        <v/>
      </c>
      <c r="K81" s="115" t="str">
        <f>IFERROR(INDEX(PROJETS!$N$56:$N$95,MATCH($H81,PROJETS!$A$56:$A$95,0)),"")</f>
        <v/>
      </c>
      <c r="L81" s="114"/>
      <c r="M81" s="115" t="str">
        <f>IFERROR(INDEX(ACTIVITES!$G$56:$G$105,MATCH($L81,ACTIVITES!$A$56:$A$105,0)),"")</f>
        <v/>
      </c>
      <c r="N81" s="114"/>
      <c r="O81" s="114"/>
      <c r="P81" s="114"/>
      <c r="Q81" s="114"/>
      <c r="R81" s="114"/>
      <c r="S81" s="114"/>
      <c r="T81" s="116"/>
      <c r="U81" s="116"/>
      <c r="V81" s="117" t="str">
        <f t="shared" si="14"/>
        <v/>
      </c>
      <c r="W81" s="113" t="str">
        <f t="shared" si="15"/>
        <v/>
      </c>
      <c r="X81" s="113" t="str">
        <f t="shared" si="16"/>
        <v/>
      </c>
      <c r="Y81" s="114"/>
      <c r="Z81" s="118"/>
      <c r="AA81" s="119"/>
      <c r="AB81" s="120" t="str">
        <f t="shared" si="17"/>
        <v/>
      </c>
      <c r="AC81" s="119"/>
      <c r="AD81" s="120" t="str">
        <f t="shared" si="18"/>
        <v/>
      </c>
      <c r="AE81" s="114"/>
      <c r="AF81" s="114"/>
      <c r="AG81" s="114"/>
      <c r="AH81" s="121"/>
      <c r="AI81" s="114"/>
      <c r="AJ81" s="121"/>
      <c r="AK81" s="121"/>
      <c r="AL81" s="116"/>
      <c r="AM81" s="114"/>
      <c r="AN81" s="114"/>
      <c r="AO81" s="114"/>
      <c r="AP81" s="114"/>
      <c r="AQ81" s="121"/>
      <c r="AR81" s="114"/>
      <c r="AS81" s="114"/>
      <c r="AT81" s="114"/>
      <c r="AU81" s="114"/>
      <c r="AV81" s="119"/>
      <c r="AW81" s="114"/>
      <c r="AX81" s="114"/>
      <c r="AY81" s="121"/>
      <c r="AZ81" s="114"/>
      <c r="BA81" s="114"/>
      <c r="BB81" s="114"/>
      <c r="BC81" s="116"/>
      <c r="BD81" s="114"/>
      <c r="BE81" s="113" t="str">
        <f t="shared" ca="1" si="19"/>
        <v/>
      </c>
      <c r="BF81" s="121"/>
      <c r="BG81" s="117" t="str">
        <f>IF($D81="","",COUNTIFS($D$39:$D81,$D81))</f>
        <v/>
      </c>
      <c r="BH81" s="117" t="str">
        <f>IF($H81="","",COUNTIFS($H$39:$H81,$H81))</f>
        <v/>
      </c>
    </row>
    <row r="82" spans="1:60" ht="15" customHeight="1">
      <c r="A82" s="113" t="str">
        <f t="shared" si="13"/>
        <v/>
      </c>
      <c r="B82" s="114"/>
      <c r="C82" s="114"/>
      <c r="D82" s="114"/>
      <c r="E82" s="115" t="str">
        <f>IFERROR(INDEX(DONATEURS!$B$56:$B$205,MATCH($D82,DONATEURS!$A$56:$A$205,0)),"")</f>
        <v/>
      </c>
      <c r="F82" s="115" t="str">
        <f>IFERROR(INDEX(DONATEURS!$E$56:$E$205,MATCH($D82,DONATEURS!$A$56:$A$205,0)),"")</f>
        <v/>
      </c>
      <c r="G82" s="115" t="str">
        <f>IFERROR(INDEX(DONATEURS!$G$56:$G$205,MATCH($D82,DONATEURS!$A$56:$A$205,0)),"")</f>
        <v/>
      </c>
      <c r="H82" s="114"/>
      <c r="I82" s="115" t="str">
        <f>IFERROR(INDEX(PROJETS!$C$56:$C$95,MATCH($H82,PROJETS!$A$56:$A$95,0)),"")</f>
        <v/>
      </c>
      <c r="J82" s="115" t="str">
        <f>IFERROR(INDEX(PROJETS!$J$56:$J$95,MATCH($H82,PROJETS!$A$56:$A$95,0)),"")</f>
        <v/>
      </c>
      <c r="K82" s="115" t="str">
        <f>IFERROR(INDEX(PROJETS!$N$56:$N$95,MATCH($H82,PROJETS!$A$56:$A$95,0)),"")</f>
        <v/>
      </c>
      <c r="L82" s="114"/>
      <c r="M82" s="115" t="str">
        <f>IFERROR(INDEX(ACTIVITES!$G$56:$G$105,MATCH($L82,ACTIVITES!$A$56:$A$105,0)),"")</f>
        <v/>
      </c>
      <c r="N82" s="114"/>
      <c r="O82" s="114"/>
      <c r="P82" s="114"/>
      <c r="Q82" s="114"/>
      <c r="R82" s="114"/>
      <c r="S82" s="114"/>
      <c r="T82" s="116"/>
      <c r="U82" s="116"/>
      <c r="V82" s="117" t="str">
        <f t="shared" si="14"/>
        <v/>
      </c>
      <c r="W82" s="113" t="str">
        <f t="shared" si="15"/>
        <v/>
      </c>
      <c r="X82" s="113" t="str">
        <f t="shared" si="16"/>
        <v/>
      </c>
      <c r="Y82" s="114"/>
      <c r="Z82" s="118"/>
      <c r="AA82" s="119"/>
      <c r="AB82" s="120" t="str">
        <f t="shared" si="17"/>
        <v/>
      </c>
      <c r="AC82" s="119"/>
      <c r="AD82" s="120" t="str">
        <f t="shared" si="18"/>
        <v/>
      </c>
      <c r="AE82" s="114"/>
      <c r="AF82" s="114"/>
      <c r="AG82" s="114"/>
      <c r="AH82" s="121"/>
      <c r="AI82" s="114"/>
      <c r="AJ82" s="121"/>
      <c r="AK82" s="121"/>
      <c r="AL82" s="116"/>
      <c r="AM82" s="114"/>
      <c r="AN82" s="114"/>
      <c r="AO82" s="114"/>
      <c r="AP82" s="114"/>
      <c r="AQ82" s="121"/>
      <c r="AR82" s="114"/>
      <c r="AS82" s="114"/>
      <c r="AT82" s="114"/>
      <c r="AU82" s="114"/>
      <c r="AV82" s="119"/>
      <c r="AW82" s="114"/>
      <c r="AX82" s="114"/>
      <c r="AY82" s="121"/>
      <c r="AZ82" s="114"/>
      <c r="BA82" s="114"/>
      <c r="BB82" s="114"/>
      <c r="BC82" s="116"/>
      <c r="BD82" s="114"/>
      <c r="BE82" s="113" t="str">
        <f t="shared" ca="1" si="19"/>
        <v/>
      </c>
      <c r="BF82" s="121"/>
      <c r="BG82" s="117" t="str">
        <f>IF($D82="","",COUNTIFS($D$39:$D82,$D82))</f>
        <v/>
      </c>
      <c r="BH82" s="117" t="str">
        <f>IF($H82="","",COUNTIFS($H$39:$H82,$H82))</f>
        <v/>
      </c>
    </row>
    <row r="83" spans="1:60" ht="15" customHeight="1">
      <c r="A83" s="113" t="str">
        <f t="shared" si="13"/>
        <v/>
      </c>
      <c r="B83" s="114"/>
      <c r="C83" s="114"/>
      <c r="D83" s="114"/>
      <c r="E83" s="115" t="str">
        <f>IFERROR(INDEX(DONATEURS!$B$56:$B$205,MATCH($D83,DONATEURS!$A$56:$A$205,0)),"")</f>
        <v/>
      </c>
      <c r="F83" s="115" t="str">
        <f>IFERROR(INDEX(DONATEURS!$E$56:$E$205,MATCH($D83,DONATEURS!$A$56:$A$205,0)),"")</f>
        <v/>
      </c>
      <c r="G83" s="115" t="str">
        <f>IFERROR(INDEX(DONATEURS!$G$56:$G$205,MATCH($D83,DONATEURS!$A$56:$A$205,0)),"")</f>
        <v/>
      </c>
      <c r="H83" s="114"/>
      <c r="I83" s="115" t="str">
        <f>IFERROR(INDEX(PROJETS!$C$56:$C$95,MATCH($H83,PROJETS!$A$56:$A$95,0)),"")</f>
        <v/>
      </c>
      <c r="J83" s="115" t="str">
        <f>IFERROR(INDEX(PROJETS!$J$56:$J$95,MATCH($H83,PROJETS!$A$56:$A$95,0)),"")</f>
        <v/>
      </c>
      <c r="K83" s="115" t="str">
        <f>IFERROR(INDEX(PROJETS!$N$56:$N$95,MATCH($H83,PROJETS!$A$56:$A$95,0)),"")</f>
        <v/>
      </c>
      <c r="L83" s="114"/>
      <c r="M83" s="115" t="str">
        <f>IFERROR(INDEX(ACTIVITES!$G$56:$G$105,MATCH($L83,ACTIVITES!$A$56:$A$105,0)),"")</f>
        <v/>
      </c>
      <c r="N83" s="114"/>
      <c r="O83" s="114"/>
      <c r="P83" s="114"/>
      <c r="Q83" s="114"/>
      <c r="R83" s="114"/>
      <c r="S83" s="114"/>
      <c r="T83" s="116"/>
      <c r="U83" s="116"/>
      <c r="V83" s="117" t="str">
        <f t="shared" si="14"/>
        <v/>
      </c>
      <c r="W83" s="113" t="str">
        <f t="shared" si="15"/>
        <v/>
      </c>
      <c r="X83" s="113" t="str">
        <f t="shared" si="16"/>
        <v/>
      </c>
      <c r="Y83" s="114"/>
      <c r="Z83" s="118"/>
      <c r="AA83" s="119"/>
      <c r="AB83" s="120" t="str">
        <f t="shared" si="17"/>
        <v/>
      </c>
      <c r="AC83" s="119"/>
      <c r="AD83" s="120" t="str">
        <f t="shared" si="18"/>
        <v/>
      </c>
      <c r="AE83" s="114"/>
      <c r="AF83" s="114"/>
      <c r="AG83" s="114"/>
      <c r="AH83" s="121"/>
      <c r="AI83" s="114"/>
      <c r="AJ83" s="121"/>
      <c r="AK83" s="121"/>
      <c r="AL83" s="116"/>
      <c r="AM83" s="114"/>
      <c r="AN83" s="114"/>
      <c r="AO83" s="114"/>
      <c r="AP83" s="114"/>
      <c r="AQ83" s="121"/>
      <c r="AR83" s="114"/>
      <c r="AS83" s="114"/>
      <c r="AT83" s="114"/>
      <c r="AU83" s="114"/>
      <c r="AV83" s="119"/>
      <c r="AW83" s="114"/>
      <c r="AX83" s="114"/>
      <c r="AY83" s="121"/>
      <c r="AZ83" s="114"/>
      <c r="BA83" s="114"/>
      <c r="BB83" s="114"/>
      <c r="BC83" s="116"/>
      <c r="BD83" s="114"/>
      <c r="BE83" s="113" t="str">
        <f t="shared" ca="1" si="19"/>
        <v/>
      </c>
      <c r="BF83" s="121"/>
      <c r="BG83" s="117" t="str">
        <f>IF($D83="","",COUNTIFS($D$39:$D83,$D83))</f>
        <v/>
      </c>
      <c r="BH83" s="117" t="str">
        <f>IF($H83="","",COUNTIFS($H$39:$H83,$H83))</f>
        <v/>
      </c>
    </row>
    <row r="84" spans="1:60" ht="15" customHeight="1">
      <c r="A84" s="113" t="str">
        <f t="shared" si="13"/>
        <v/>
      </c>
      <c r="B84" s="114"/>
      <c r="C84" s="114"/>
      <c r="D84" s="114"/>
      <c r="E84" s="115" t="str">
        <f>IFERROR(INDEX(DONATEURS!$B$56:$B$205,MATCH($D84,DONATEURS!$A$56:$A$205,0)),"")</f>
        <v/>
      </c>
      <c r="F84" s="115" t="str">
        <f>IFERROR(INDEX(DONATEURS!$E$56:$E$205,MATCH($D84,DONATEURS!$A$56:$A$205,0)),"")</f>
        <v/>
      </c>
      <c r="G84" s="115" t="str">
        <f>IFERROR(INDEX(DONATEURS!$G$56:$G$205,MATCH($D84,DONATEURS!$A$56:$A$205,0)),"")</f>
        <v/>
      </c>
      <c r="H84" s="114"/>
      <c r="I84" s="115" t="str">
        <f>IFERROR(INDEX(PROJETS!$C$56:$C$95,MATCH($H84,PROJETS!$A$56:$A$95,0)),"")</f>
        <v/>
      </c>
      <c r="J84" s="115" t="str">
        <f>IFERROR(INDEX(PROJETS!$J$56:$J$95,MATCH($H84,PROJETS!$A$56:$A$95,0)),"")</f>
        <v/>
      </c>
      <c r="K84" s="115" t="str">
        <f>IFERROR(INDEX(PROJETS!$N$56:$N$95,MATCH($H84,PROJETS!$A$56:$A$95,0)),"")</f>
        <v/>
      </c>
      <c r="L84" s="114"/>
      <c r="M84" s="115" t="str">
        <f>IFERROR(INDEX(ACTIVITES!$G$56:$G$105,MATCH($L84,ACTIVITES!$A$56:$A$105,0)),"")</f>
        <v/>
      </c>
      <c r="N84" s="114"/>
      <c r="O84" s="114"/>
      <c r="P84" s="114"/>
      <c r="Q84" s="114"/>
      <c r="R84" s="114"/>
      <c r="S84" s="114"/>
      <c r="T84" s="116"/>
      <c r="U84" s="116"/>
      <c r="V84" s="117" t="str">
        <f t="shared" si="14"/>
        <v/>
      </c>
      <c r="W84" s="113" t="str">
        <f t="shared" si="15"/>
        <v/>
      </c>
      <c r="X84" s="113" t="str">
        <f t="shared" si="16"/>
        <v/>
      </c>
      <c r="Y84" s="114"/>
      <c r="Z84" s="118"/>
      <c r="AA84" s="119"/>
      <c r="AB84" s="120" t="str">
        <f t="shared" si="17"/>
        <v/>
      </c>
      <c r="AC84" s="119"/>
      <c r="AD84" s="120" t="str">
        <f t="shared" si="18"/>
        <v/>
      </c>
      <c r="AE84" s="114"/>
      <c r="AF84" s="114"/>
      <c r="AG84" s="114"/>
      <c r="AH84" s="121"/>
      <c r="AI84" s="114"/>
      <c r="AJ84" s="121"/>
      <c r="AK84" s="121"/>
      <c r="AL84" s="116"/>
      <c r="AM84" s="114"/>
      <c r="AN84" s="114"/>
      <c r="AO84" s="114"/>
      <c r="AP84" s="114"/>
      <c r="AQ84" s="121"/>
      <c r="AR84" s="114"/>
      <c r="AS84" s="114"/>
      <c r="AT84" s="114"/>
      <c r="AU84" s="114"/>
      <c r="AV84" s="119"/>
      <c r="AW84" s="114"/>
      <c r="AX84" s="114"/>
      <c r="AY84" s="121"/>
      <c r="AZ84" s="114"/>
      <c r="BA84" s="114"/>
      <c r="BB84" s="114"/>
      <c r="BC84" s="116"/>
      <c r="BD84" s="114"/>
      <c r="BE84" s="113" t="str">
        <f t="shared" ca="1" si="19"/>
        <v/>
      </c>
      <c r="BF84" s="121"/>
      <c r="BG84" s="117" t="str">
        <f>IF($D84="","",COUNTIFS($D$39:$D84,$D84))</f>
        <v/>
      </c>
      <c r="BH84" s="117" t="str">
        <f>IF($H84="","",COUNTIFS($H$39:$H84,$H84))</f>
        <v/>
      </c>
    </row>
    <row r="85" spans="1:60" ht="15" customHeight="1">
      <c r="A85" s="113" t="str">
        <f t="shared" si="13"/>
        <v/>
      </c>
      <c r="B85" s="114"/>
      <c r="C85" s="114"/>
      <c r="D85" s="114"/>
      <c r="E85" s="115" t="str">
        <f>IFERROR(INDEX(DONATEURS!$B$56:$B$205,MATCH($D85,DONATEURS!$A$56:$A$205,0)),"")</f>
        <v/>
      </c>
      <c r="F85" s="115" t="str">
        <f>IFERROR(INDEX(DONATEURS!$E$56:$E$205,MATCH($D85,DONATEURS!$A$56:$A$205,0)),"")</f>
        <v/>
      </c>
      <c r="G85" s="115" t="str">
        <f>IFERROR(INDEX(DONATEURS!$G$56:$G$205,MATCH($D85,DONATEURS!$A$56:$A$205,0)),"")</f>
        <v/>
      </c>
      <c r="H85" s="114"/>
      <c r="I85" s="115" t="str">
        <f>IFERROR(INDEX(PROJETS!$C$56:$C$95,MATCH($H85,PROJETS!$A$56:$A$95,0)),"")</f>
        <v/>
      </c>
      <c r="J85" s="115" t="str">
        <f>IFERROR(INDEX(PROJETS!$J$56:$J$95,MATCH($H85,PROJETS!$A$56:$A$95,0)),"")</f>
        <v/>
      </c>
      <c r="K85" s="115" t="str">
        <f>IFERROR(INDEX(PROJETS!$N$56:$N$95,MATCH($H85,PROJETS!$A$56:$A$95,0)),"")</f>
        <v/>
      </c>
      <c r="L85" s="114"/>
      <c r="M85" s="115" t="str">
        <f>IFERROR(INDEX(ACTIVITES!$G$56:$G$105,MATCH($L85,ACTIVITES!$A$56:$A$105,0)),"")</f>
        <v/>
      </c>
      <c r="N85" s="114"/>
      <c r="O85" s="114"/>
      <c r="P85" s="114"/>
      <c r="Q85" s="114"/>
      <c r="R85" s="114"/>
      <c r="S85" s="114"/>
      <c r="T85" s="116"/>
      <c r="U85" s="116"/>
      <c r="V85" s="117" t="str">
        <f t="shared" si="14"/>
        <v/>
      </c>
      <c r="W85" s="113" t="str">
        <f t="shared" si="15"/>
        <v/>
      </c>
      <c r="X85" s="113" t="str">
        <f t="shared" si="16"/>
        <v/>
      </c>
      <c r="Y85" s="114"/>
      <c r="Z85" s="118"/>
      <c r="AA85" s="119"/>
      <c r="AB85" s="120" t="str">
        <f t="shared" si="17"/>
        <v/>
      </c>
      <c r="AC85" s="119"/>
      <c r="AD85" s="120" t="str">
        <f t="shared" si="18"/>
        <v/>
      </c>
      <c r="AE85" s="114"/>
      <c r="AF85" s="114"/>
      <c r="AG85" s="114"/>
      <c r="AH85" s="121"/>
      <c r="AI85" s="114"/>
      <c r="AJ85" s="121"/>
      <c r="AK85" s="121"/>
      <c r="AL85" s="116"/>
      <c r="AM85" s="114"/>
      <c r="AN85" s="114"/>
      <c r="AO85" s="114"/>
      <c r="AP85" s="114"/>
      <c r="AQ85" s="121"/>
      <c r="AR85" s="114"/>
      <c r="AS85" s="114"/>
      <c r="AT85" s="114"/>
      <c r="AU85" s="114"/>
      <c r="AV85" s="119"/>
      <c r="AW85" s="114"/>
      <c r="AX85" s="114"/>
      <c r="AY85" s="121"/>
      <c r="AZ85" s="114"/>
      <c r="BA85" s="114"/>
      <c r="BB85" s="114"/>
      <c r="BC85" s="116"/>
      <c r="BD85" s="114"/>
      <c r="BE85" s="113" t="str">
        <f t="shared" ca="1" si="19"/>
        <v/>
      </c>
      <c r="BF85" s="121"/>
      <c r="BG85" s="117" t="str">
        <f>IF($D85="","",COUNTIFS($D$39:$D85,$D85))</f>
        <v/>
      </c>
      <c r="BH85" s="117" t="str">
        <f>IF($H85="","",COUNTIFS($H$39:$H85,$H85))</f>
        <v/>
      </c>
    </row>
    <row r="86" spans="1:60" ht="15" customHeight="1">
      <c r="A86" s="113" t="str">
        <f t="shared" si="13"/>
        <v/>
      </c>
      <c r="B86" s="114"/>
      <c r="C86" s="114"/>
      <c r="D86" s="114"/>
      <c r="E86" s="115" t="str">
        <f>IFERROR(INDEX(DONATEURS!$B$56:$B$205,MATCH($D86,DONATEURS!$A$56:$A$205,0)),"")</f>
        <v/>
      </c>
      <c r="F86" s="115" t="str">
        <f>IFERROR(INDEX(DONATEURS!$E$56:$E$205,MATCH($D86,DONATEURS!$A$56:$A$205,0)),"")</f>
        <v/>
      </c>
      <c r="G86" s="115" t="str">
        <f>IFERROR(INDEX(DONATEURS!$G$56:$G$205,MATCH($D86,DONATEURS!$A$56:$A$205,0)),"")</f>
        <v/>
      </c>
      <c r="H86" s="114"/>
      <c r="I86" s="115" t="str">
        <f>IFERROR(INDEX(PROJETS!$C$56:$C$95,MATCH($H86,PROJETS!$A$56:$A$95,0)),"")</f>
        <v/>
      </c>
      <c r="J86" s="115" t="str">
        <f>IFERROR(INDEX(PROJETS!$J$56:$J$95,MATCH($H86,PROJETS!$A$56:$A$95,0)),"")</f>
        <v/>
      </c>
      <c r="K86" s="115" t="str">
        <f>IFERROR(INDEX(PROJETS!$N$56:$N$95,MATCH($H86,PROJETS!$A$56:$A$95,0)),"")</f>
        <v/>
      </c>
      <c r="L86" s="114"/>
      <c r="M86" s="115" t="str">
        <f>IFERROR(INDEX(ACTIVITES!$G$56:$G$105,MATCH($L86,ACTIVITES!$A$56:$A$105,0)),"")</f>
        <v/>
      </c>
      <c r="N86" s="114"/>
      <c r="O86" s="114"/>
      <c r="P86" s="114"/>
      <c r="Q86" s="114"/>
      <c r="R86" s="114"/>
      <c r="S86" s="114"/>
      <c r="T86" s="116"/>
      <c r="U86" s="116"/>
      <c r="V86" s="117" t="str">
        <f t="shared" si="14"/>
        <v/>
      </c>
      <c r="W86" s="113" t="str">
        <f t="shared" si="15"/>
        <v/>
      </c>
      <c r="X86" s="113" t="str">
        <f t="shared" si="16"/>
        <v/>
      </c>
      <c r="Y86" s="114"/>
      <c r="Z86" s="118"/>
      <c r="AA86" s="119"/>
      <c r="AB86" s="120" t="str">
        <f t="shared" si="17"/>
        <v/>
      </c>
      <c r="AC86" s="119"/>
      <c r="AD86" s="120" t="str">
        <f t="shared" si="18"/>
        <v/>
      </c>
      <c r="AE86" s="114"/>
      <c r="AF86" s="114"/>
      <c r="AG86" s="114"/>
      <c r="AH86" s="121"/>
      <c r="AI86" s="114"/>
      <c r="AJ86" s="121"/>
      <c r="AK86" s="121"/>
      <c r="AL86" s="116"/>
      <c r="AM86" s="114"/>
      <c r="AN86" s="114"/>
      <c r="AO86" s="114"/>
      <c r="AP86" s="114"/>
      <c r="AQ86" s="121"/>
      <c r="AR86" s="114"/>
      <c r="AS86" s="114"/>
      <c r="AT86" s="114"/>
      <c r="AU86" s="114"/>
      <c r="AV86" s="119"/>
      <c r="AW86" s="114"/>
      <c r="AX86" s="114"/>
      <c r="AY86" s="121"/>
      <c r="AZ86" s="114"/>
      <c r="BA86" s="114"/>
      <c r="BB86" s="114"/>
      <c r="BC86" s="116"/>
      <c r="BD86" s="114"/>
      <c r="BE86" s="113" t="str">
        <f t="shared" ca="1" si="19"/>
        <v/>
      </c>
      <c r="BF86" s="121"/>
      <c r="BG86" s="117" t="str">
        <f>IF($D86="","",COUNTIFS($D$39:$D86,$D86))</f>
        <v/>
      </c>
      <c r="BH86" s="117" t="str">
        <f>IF($H86="","",COUNTIFS($H$39:$H86,$H86))</f>
        <v/>
      </c>
    </row>
    <row r="87" spans="1:60" ht="15" customHeight="1">
      <c r="A87" s="113" t="str">
        <f t="shared" si="13"/>
        <v/>
      </c>
      <c r="B87" s="114"/>
      <c r="C87" s="114"/>
      <c r="D87" s="114"/>
      <c r="E87" s="115" t="str">
        <f>IFERROR(INDEX(DONATEURS!$B$56:$B$205,MATCH($D87,DONATEURS!$A$56:$A$205,0)),"")</f>
        <v/>
      </c>
      <c r="F87" s="115" t="str">
        <f>IFERROR(INDEX(DONATEURS!$E$56:$E$205,MATCH($D87,DONATEURS!$A$56:$A$205,0)),"")</f>
        <v/>
      </c>
      <c r="G87" s="115" t="str">
        <f>IFERROR(INDEX(DONATEURS!$G$56:$G$205,MATCH($D87,DONATEURS!$A$56:$A$205,0)),"")</f>
        <v/>
      </c>
      <c r="H87" s="114"/>
      <c r="I87" s="115" t="str">
        <f>IFERROR(INDEX(PROJETS!$C$56:$C$95,MATCH($H87,PROJETS!$A$56:$A$95,0)),"")</f>
        <v/>
      </c>
      <c r="J87" s="115" t="str">
        <f>IFERROR(INDEX(PROJETS!$J$56:$J$95,MATCH($H87,PROJETS!$A$56:$A$95,0)),"")</f>
        <v/>
      </c>
      <c r="K87" s="115" t="str">
        <f>IFERROR(INDEX(PROJETS!$N$56:$N$95,MATCH($H87,PROJETS!$A$56:$A$95,0)),"")</f>
        <v/>
      </c>
      <c r="L87" s="114"/>
      <c r="M87" s="115" t="str">
        <f>IFERROR(INDEX(ACTIVITES!$G$56:$G$105,MATCH($L87,ACTIVITES!$A$56:$A$105,0)),"")</f>
        <v/>
      </c>
      <c r="N87" s="114"/>
      <c r="O87" s="114"/>
      <c r="P87" s="114"/>
      <c r="Q87" s="114"/>
      <c r="R87" s="114"/>
      <c r="S87" s="114"/>
      <c r="T87" s="116"/>
      <c r="U87" s="116"/>
      <c r="V87" s="117" t="str">
        <f t="shared" si="14"/>
        <v/>
      </c>
      <c r="W87" s="113" t="str">
        <f t="shared" si="15"/>
        <v/>
      </c>
      <c r="X87" s="113" t="str">
        <f t="shared" si="16"/>
        <v/>
      </c>
      <c r="Y87" s="114"/>
      <c r="Z87" s="118"/>
      <c r="AA87" s="119"/>
      <c r="AB87" s="120" t="str">
        <f t="shared" si="17"/>
        <v/>
      </c>
      <c r="AC87" s="119"/>
      <c r="AD87" s="120" t="str">
        <f t="shared" si="18"/>
        <v/>
      </c>
      <c r="AE87" s="114"/>
      <c r="AF87" s="114"/>
      <c r="AG87" s="114"/>
      <c r="AH87" s="121"/>
      <c r="AI87" s="114"/>
      <c r="AJ87" s="121"/>
      <c r="AK87" s="121"/>
      <c r="AL87" s="116"/>
      <c r="AM87" s="114"/>
      <c r="AN87" s="114"/>
      <c r="AO87" s="114"/>
      <c r="AP87" s="114"/>
      <c r="AQ87" s="121"/>
      <c r="AR87" s="114"/>
      <c r="AS87" s="114"/>
      <c r="AT87" s="114"/>
      <c r="AU87" s="114"/>
      <c r="AV87" s="119"/>
      <c r="AW87" s="114"/>
      <c r="AX87" s="114"/>
      <c r="AY87" s="121"/>
      <c r="AZ87" s="114"/>
      <c r="BA87" s="114"/>
      <c r="BB87" s="114"/>
      <c r="BC87" s="116"/>
      <c r="BD87" s="114"/>
      <c r="BE87" s="113" t="str">
        <f t="shared" ca="1" si="19"/>
        <v/>
      </c>
      <c r="BF87" s="121"/>
      <c r="BG87" s="117" t="str">
        <f>IF($D87="","",COUNTIFS($D$39:$D87,$D87))</f>
        <v/>
      </c>
      <c r="BH87" s="117" t="str">
        <f>IF($H87="","",COUNTIFS($H$39:$H87,$H87))</f>
        <v/>
      </c>
    </row>
    <row r="88" spans="1:60" ht="15" customHeight="1">
      <c r="A88" s="113" t="str">
        <f t="shared" si="13"/>
        <v/>
      </c>
      <c r="B88" s="114"/>
      <c r="C88" s="114"/>
      <c r="D88" s="114"/>
      <c r="E88" s="115" t="str">
        <f>IFERROR(INDEX(DONATEURS!$B$56:$B$205,MATCH($D88,DONATEURS!$A$56:$A$205,0)),"")</f>
        <v/>
      </c>
      <c r="F88" s="115" t="str">
        <f>IFERROR(INDEX(DONATEURS!$E$56:$E$205,MATCH($D88,DONATEURS!$A$56:$A$205,0)),"")</f>
        <v/>
      </c>
      <c r="G88" s="115" t="str">
        <f>IFERROR(INDEX(DONATEURS!$G$56:$G$205,MATCH($D88,DONATEURS!$A$56:$A$205,0)),"")</f>
        <v/>
      </c>
      <c r="H88" s="114"/>
      <c r="I88" s="115" t="str">
        <f>IFERROR(INDEX(PROJETS!$C$56:$C$95,MATCH($H88,PROJETS!$A$56:$A$95,0)),"")</f>
        <v/>
      </c>
      <c r="J88" s="115" t="str">
        <f>IFERROR(INDEX(PROJETS!$J$56:$J$95,MATCH($H88,PROJETS!$A$56:$A$95,0)),"")</f>
        <v/>
      </c>
      <c r="K88" s="115" t="str">
        <f>IFERROR(INDEX(PROJETS!$N$56:$N$95,MATCH($H88,PROJETS!$A$56:$A$95,0)),"")</f>
        <v/>
      </c>
      <c r="L88" s="114"/>
      <c r="M88" s="115" t="str">
        <f>IFERROR(INDEX(ACTIVITES!$G$56:$G$105,MATCH($L88,ACTIVITES!$A$56:$A$105,0)),"")</f>
        <v/>
      </c>
      <c r="N88" s="114"/>
      <c r="O88" s="114"/>
      <c r="P88" s="114"/>
      <c r="Q88" s="114"/>
      <c r="R88" s="114"/>
      <c r="S88" s="114"/>
      <c r="T88" s="116"/>
      <c r="U88" s="116"/>
      <c r="V88" s="117" t="str">
        <f t="shared" si="14"/>
        <v/>
      </c>
      <c r="W88" s="113" t="str">
        <f t="shared" si="15"/>
        <v/>
      </c>
      <c r="X88" s="113" t="str">
        <f t="shared" si="16"/>
        <v/>
      </c>
      <c r="Y88" s="114"/>
      <c r="Z88" s="118"/>
      <c r="AA88" s="119"/>
      <c r="AB88" s="120" t="str">
        <f t="shared" si="17"/>
        <v/>
      </c>
      <c r="AC88" s="119"/>
      <c r="AD88" s="120" t="str">
        <f t="shared" si="18"/>
        <v/>
      </c>
      <c r="AE88" s="114"/>
      <c r="AF88" s="114"/>
      <c r="AG88" s="114"/>
      <c r="AH88" s="121"/>
      <c r="AI88" s="114"/>
      <c r="AJ88" s="121"/>
      <c r="AK88" s="121"/>
      <c r="AL88" s="116"/>
      <c r="AM88" s="114"/>
      <c r="AN88" s="114"/>
      <c r="AO88" s="114"/>
      <c r="AP88" s="114"/>
      <c r="AQ88" s="121"/>
      <c r="AR88" s="114"/>
      <c r="AS88" s="114"/>
      <c r="AT88" s="114"/>
      <c r="AU88" s="114"/>
      <c r="AV88" s="119"/>
      <c r="AW88" s="114"/>
      <c r="AX88" s="114"/>
      <c r="AY88" s="121"/>
      <c r="AZ88" s="114"/>
      <c r="BA88" s="114"/>
      <c r="BB88" s="114"/>
      <c r="BC88" s="116"/>
      <c r="BD88" s="114"/>
      <c r="BE88" s="113" t="str">
        <f t="shared" ca="1" si="19"/>
        <v/>
      </c>
      <c r="BF88" s="121"/>
      <c r="BG88" s="117" t="str">
        <f>IF($D88="","",COUNTIFS($D$39:$D88,$D88))</f>
        <v/>
      </c>
      <c r="BH88" s="117" t="str">
        <f>IF($H88="","",COUNTIFS($H$39:$H88,$H88))</f>
        <v/>
      </c>
    </row>
    <row r="90" spans="1:60" ht="15" customHeight="1">
      <c r="A90" s="299" t="s">
        <v>2146</v>
      </c>
      <c r="B90" s="262"/>
      <c r="C90" s="262"/>
      <c r="D90" s="262"/>
      <c r="E90" s="262"/>
    </row>
    <row r="91" spans="1:60" ht="21.75" customHeight="1">
      <c r="A91" s="108" t="s">
        <v>1987</v>
      </c>
      <c r="B91" s="108" t="s">
        <v>2198</v>
      </c>
      <c r="C91" s="108" t="s">
        <v>2184</v>
      </c>
      <c r="D91" s="108" t="s">
        <v>2181</v>
      </c>
      <c r="E91" s="108" t="s">
        <v>2182</v>
      </c>
    </row>
    <row r="92" spans="1:60" ht="15" customHeight="1">
      <c r="A92" s="110" t="str">
        <f>IF(DONATEURS!$A$56="","",DONATEURS!$A$56)</f>
        <v>DON00001</v>
      </c>
      <c r="B92" s="122" t="str">
        <f>IF($A92="","",IFERROR(INDEX(DONATEURS!$B$56:$B$205,MATCH($A92,DONATEURS!$A$56:$A$205,0)),""))</f>
        <v>AUSP</v>
      </c>
      <c r="C92" s="123">
        <f t="shared" ref="C92:C131" si="20">IF($A92="","",COUNTIFS($D$39:$D$88,$A92))</f>
        <v>0</v>
      </c>
      <c r="D92" s="112">
        <f t="shared" ref="D92:D131" si="21">IF($A92="","",SUMIFS($AB$39:$AB$88,$D$39:$D$88,$A92))</f>
        <v>0</v>
      </c>
      <c r="E92" s="112">
        <f t="shared" ref="E92:E131" si="22">IF($A92="","",SUMIFS($AD$39:$AD$88,$D$39:$D$88,$A92))</f>
        <v>0</v>
      </c>
    </row>
    <row r="93" spans="1:60" ht="15" customHeight="1">
      <c r="A93" s="110" t="str">
        <f>IF(DONATEURS!$A$57="","",DONATEURS!$A$57)</f>
        <v/>
      </c>
      <c r="B93" s="122" t="str">
        <f>IF($A93="","",IFERROR(INDEX(DONATEURS!$B$56:$B$205,MATCH($A93,DONATEURS!$A$56:$A$205,0)),""))</f>
        <v/>
      </c>
      <c r="C93" s="123" t="str">
        <f t="shared" si="20"/>
        <v/>
      </c>
      <c r="D93" s="112" t="str">
        <f t="shared" si="21"/>
        <v/>
      </c>
      <c r="E93" s="112" t="str">
        <f t="shared" si="22"/>
        <v/>
      </c>
    </row>
    <row r="94" spans="1:60" ht="15" customHeight="1">
      <c r="A94" s="110" t="str">
        <f>IF(DONATEURS!$A$58="","",DONATEURS!$A$58)</f>
        <v/>
      </c>
      <c r="B94" s="122" t="str">
        <f>IF($A94="","",IFERROR(INDEX(DONATEURS!$B$56:$B$205,MATCH($A94,DONATEURS!$A$56:$A$205,0)),""))</f>
        <v/>
      </c>
      <c r="C94" s="123" t="str">
        <f t="shared" si="20"/>
        <v/>
      </c>
      <c r="D94" s="112" t="str">
        <f t="shared" si="21"/>
        <v/>
      </c>
      <c r="E94" s="112" t="str">
        <f t="shared" si="22"/>
        <v/>
      </c>
    </row>
    <row r="95" spans="1:60" ht="15" customHeight="1">
      <c r="A95" s="110" t="str">
        <f>IF(DONATEURS!$A$59="","",DONATEURS!$A$59)</f>
        <v/>
      </c>
      <c r="B95" s="122" t="str">
        <f>IF($A95="","",IFERROR(INDEX(DONATEURS!$B$56:$B$205,MATCH($A95,DONATEURS!$A$56:$A$205,0)),""))</f>
        <v/>
      </c>
      <c r="C95" s="123" t="str">
        <f t="shared" si="20"/>
        <v/>
      </c>
      <c r="D95" s="112" t="str">
        <f t="shared" si="21"/>
        <v/>
      </c>
      <c r="E95" s="112" t="str">
        <f t="shared" si="22"/>
        <v/>
      </c>
    </row>
    <row r="96" spans="1:60" ht="15" customHeight="1">
      <c r="A96" s="110" t="str">
        <f>IF(DONATEURS!$A$60="","",DONATEURS!$A$60)</f>
        <v/>
      </c>
      <c r="B96" s="122" t="str">
        <f>IF($A96="","",IFERROR(INDEX(DONATEURS!$B$56:$B$205,MATCH($A96,DONATEURS!$A$56:$A$205,0)),""))</f>
        <v/>
      </c>
      <c r="C96" s="123" t="str">
        <f t="shared" si="20"/>
        <v/>
      </c>
      <c r="D96" s="112" t="str">
        <f t="shared" si="21"/>
        <v/>
      </c>
      <c r="E96" s="112" t="str">
        <f t="shared" si="22"/>
        <v/>
      </c>
    </row>
    <row r="97" spans="1:5" ht="15" customHeight="1">
      <c r="A97" s="110" t="str">
        <f>IF(DONATEURS!$A$61="","",DONATEURS!$A$61)</f>
        <v/>
      </c>
      <c r="B97" s="122" t="str">
        <f>IF($A97="","",IFERROR(INDEX(DONATEURS!$B$56:$B$205,MATCH($A97,DONATEURS!$A$56:$A$205,0)),""))</f>
        <v/>
      </c>
      <c r="C97" s="123" t="str">
        <f t="shared" si="20"/>
        <v/>
      </c>
      <c r="D97" s="112" t="str">
        <f t="shared" si="21"/>
        <v/>
      </c>
      <c r="E97" s="112" t="str">
        <f t="shared" si="22"/>
        <v/>
      </c>
    </row>
    <row r="98" spans="1:5" ht="15" customHeight="1">
      <c r="A98" s="110" t="str">
        <f>IF(DONATEURS!$A$62="","",DONATEURS!$A$62)</f>
        <v/>
      </c>
      <c r="B98" s="122" t="str">
        <f>IF($A98="","",IFERROR(INDEX(DONATEURS!$B$56:$B$205,MATCH($A98,DONATEURS!$A$56:$A$205,0)),""))</f>
        <v/>
      </c>
      <c r="C98" s="123" t="str">
        <f t="shared" si="20"/>
        <v/>
      </c>
      <c r="D98" s="112" t="str">
        <f t="shared" si="21"/>
        <v/>
      </c>
      <c r="E98" s="112" t="str">
        <f t="shared" si="22"/>
        <v/>
      </c>
    </row>
    <row r="99" spans="1:5" ht="15" customHeight="1">
      <c r="A99" s="110" t="str">
        <f>IF(DONATEURS!$A$63="","",DONATEURS!$A$63)</f>
        <v/>
      </c>
      <c r="B99" s="122" t="str">
        <f>IF($A99="","",IFERROR(INDEX(DONATEURS!$B$56:$B$205,MATCH($A99,DONATEURS!$A$56:$A$205,0)),""))</f>
        <v/>
      </c>
      <c r="C99" s="123" t="str">
        <f t="shared" si="20"/>
        <v/>
      </c>
      <c r="D99" s="112" t="str">
        <f t="shared" si="21"/>
        <v/>
      </c>
      <c r="E99" s="112" t="str">
        <f t="shared" si="22"/>
        <v/>
      </c>
    </row>
    <row r="100" spans="1:5" ht="15" customHeight="1">
      <c r="A100" s="110" t="str">
        <f>IF(DONATEURS!$A$64="","",DONATEURS!$A$64)</f>
        <v/>
      </c>
      <c r="B100" s="122" t="str">
        <f>IF($A100="","",IFERROR(INDEX(DONATEURS!$B$56:$B$205,MATCH($A100,DONATEURS!$A$56:$A$205,0)),""))</f>
        <v/>
      </c>
      <c r="C100" s="123" t="str">
        <f t="shared" si="20"/>
        <v/>
      </c>
      <c r="D100" s="112" t="str">
        <f t="shared" si="21"/>
        <v/>
      </c>
      <c r="E100" s="112" t="str">
        <f t="shared" si="22"/>
        <v/>
      </c>
    </row>
    <row r="101" spans="1:5" ht="15" customHeight="1">
      <c r="A101" s="110" t="str">
        <f>IF(DONATEURS!$A$65="","",DONATEURS!$A$65)</f>
        <v/>
      </c>
      <c r="B101" s="122" t="str">
        <f>IF($A101="","",IFERROR(INDEX(DONATEURS!$B$56:$B$205,MATCH($A101,DONATEURS!$A$56:$A$205,0)),""))</f>
        <v/>
      </c>
      <c r="C101" s="123" t="str">
        <f t="shared" si="20"/>
        <v/>
      </c>
      <c r="D101" s="112" t="str">
        <f t="shared" si="21"/>
        <v/>
      </c>
      <c r="E101" s="112" t="str">
        <f t="shared" si="22"/>
        <v/>
      </c>
    </row>
    <row r="102" spans="1:5" ht="15" customHeight="1">
      <c r="A102" s="110" t="str">
        <f>IF(DONATEURS!$A$66="","",DONATEURS!$A$66)</f>
        <v/>
      </c>
      <c r="B102" s="122" t="str">
        <f>IF($A102="","",IFERROR(INDEX(DONATEURS!$B$56:$B$205,MATCH($A102,DONATEURS!$A$56:$A$205,0)),""))</f>
        <v/>
      </c>
      <c r="C102" s="123" t="str">
        <f t="shared" si="20"/>
        <v/>
      </c>
      <c r="D102" s="112" t="str">
        <f t="shared" si="21"/>
        <v/>
      </c>
      <c r="E102" s="112" t="str">
        <f t="shared" si="22"/>
        <v/>
      </c>
    </row>
    <row r="103" spans="1:5" ht="15" customHeight="1">
      <c r="A103" s="110" t="str">
        <f>IF(DONATEURS!$A$67="","",DONATEURS!$A$67)</f>
        <v/>
      </c>
      <c r="B103" s="122" t="str">
        <f>IF($A103="","",IFERROR(INDEX(DONATEURS!$B$56:$B$205,MATCH($A103,DONATEURS!$A$56:$A$205,0)),""))</f>
        <v/>
      </c>
      <c r="C103" s="123" t="str">
        <f t="shared" si="20"/>
        <v/>
      </c>
      <c r="D103" s="112" t="str">
        <f t="shared" si="21"/>
        <v/>
      </c>
      <c r="E103" s="112" t="str">
        <f t="shared" si="22"/>
        <v/>
      </c>
    </row>
    <row r="104" spans="1:5" ht="15" customHeight="1">
      <c r="A104" s="110" t="str">
        <f>IF(DONATEURS!$A$68="","",DONATEURS!$A$68)</f>
        <v/>
      </c>
      <c r="B104" s="122" t="str">
        <f>IF($A104="","",IFERROR(INDEX(DONATEURS!$B$56:$B$205,MATCH($A104,DONATEURS!$A$56:$A$205,0)),""))</f>
        <v/>
      </c>
      <c r="C104" s="123" t="str">
        <f t="shared" si="20"/>
        <v/>
      </c>
      <c r="D104" s="112" t="str">
        <f t="shared" si="21"/>
        <v/>
      </c>
      <c r="E104" s="112" t="str">
        <f t="shared" si="22"/>
        <v/>
      </c>
    </row>
    <row r="105" spans="1:5" ht="15" customHeight="1">
      <c r="A105" s="110" t="str">
        <f>IF(DONATEURS!$A$69="","",DONATEURS!$A$69)</f>
        <v/>
      </c>
      <c r="B105" s="122" t="str">
        <f>IF($A105="","",IFERROR(INDEX(DONATEURS!$B$56:$B$205,MATCH($A105,DONATEURS!$A$56:$A$205,0)),""))</f>
        <v/>
      </c>
      <c r="C105" s="123" t="str">
        <f t="shared" si="20"/>
        <v/>
      </c>
      <c r="D105" s="112" t="str">
        <f t="shared" si="21"/>
        <v/>
      </c>
      <c r="E105" s="112" t="str">
        <f t="shared" si="22"/>
        <v/>
      </c>
    </row>
    <row r="106" spans="1:5" ht="15" customHeight="1">
      <c r="A106" s="110" t="str">
        <f>IF(DONATEURS!$A$70="","",DONATEURS!$A$70)</f>
        <v/>
      </c>
      <c r="B106" s="122" t="str">
        <f>IF($A106="","",IFERROR(INDEX(DONATEURS!$B$56:$B$205,MATCH($A106,DONATEURS!$A$56:$A$205,0)),""))</f>
        <v/>
      </c>
      <c r="C106" s="123" t="str">
        <f t="shared" si="20"/>
        <v/>
      </c>
      <c r="D106" s="112" t="str">
        <f t="shared" si="21"/>
        <v/>
      </c>
      <c r="E106" s="112" t="str">
        <f t="shared" si="22"/>
        <v/>
      </c>
    </row>
    <row r="107" spans="1:5" ht="15" customHeight="1">
      <c r="A107" s="110" t="str">
        <f>IF(DONATEURS!$A$71="","",DONATEURS!$A$71)</f>
        <v/>
      </c>
      <c r="B107" s="122" t="str">
        <f>IF($A107="","",IFERROR(INDEX(DONATEURS!$B$56:$B$205,MATCH($A107,DONATEURS!$A$56:$A$205,0)),""))</f>
        <v/>
      </c>
      <c r="C107" s="123" t="str">
        <f t="shared" si="20"/>
        <v/>
      </c>
      <c r="D107" s="112" t="str">
        <f t="shared" si="21"/>
        <v/>
      </c>
      <c r="E107" s="112" t="str">
        <f t="shared" si="22"/>
        <v/>
      </c>
    </row>
    <row r="108" spans="1:5" ht="15" customHeight="1">
      <c r="A108" s="110" t="str">
        <f>IF(DONATEURS!$A$72="","",DONATEURS!$A$72)</f>
        <v/>
      </c>
      <c r="B108" s="122" t="str">
        <f>IF($A108="","",IFERROR(INDEX(DONATEURS!$B$56:$B$205,MATCH($A108,DONATEURS!$A$56:$A$205,0)),""))</f>
        <v/>
      </c>
      <c r="C108" s="123" t="str">
        <f t="shared" si="20"/>
        <v/>
      </c>
      <c r="D108" s="112" t="str">
        <f t="shared" si="21"/>
        <v/>
      </c>
      <c r="E108" s="112" t="str">
        <f t="shared" si="22"/>
        <v/>
      </c>
    </row>
    <row r="109" spans="1:5" ht="15" customHeight="1">
      <c r="A109" s="110" t="str">
        <f>IF(DONATEURS!$A$73="","",DONATEURS!$A$73)</f>
        <v/>
      </c>
      <c r="B109" s="122" t="str">
        <f>IF($A109="","",IFERROR(INDEX(DONATEURS!$B$56:$B$205,MATCH($A109,DONATEURS!$A$56:$A$205,0)),""))</f>
        <v/>
      </c>
      <c r="C109" s="123" t="str">
        <f t="shared" si="20"/>
        <v/>
      </c>
      <c r="D109" s="112" t="str">
        <f t="shared" si="21"/>
        <v/>
      </c>
      <c r="E109" s="112" t="str">
        <f t="shared" si="22"/>
        <v/>
      </c>
    </row>
    <row r="110" spans="1:5" ht="15" customHeight="1">
      <c r="A110" s="110" t="str">
        <f>IF(DONATEURS!$A$74="","",DONATEURS!$A$74)</f>
        <v/>
      </c>
      <c r="B110" s="122" t="str">
        <f>IF($A110="","",IFERROR(INDEX(DONATEURS!$B$56:$B$205,MATCH($A110,DONATEURS!$A$56:$A$205,0)),""))</f>
        <v/>
      </c>
      <c r="C110" s="123" t="str">
        <f t="shared" si="20"/>
        <v/>
      </c>
      <c r="D110" s="112" t="str">
        <f t="shared" si="21"/>
        <v/>
      </c>
      <c r="E110" s="112" t="str">
        <f t="shared" si="22"/>
        <v/>
      </c>
    </row>
    <row r="111" spans="1:5" ht="15" customHeight="1">
      <c r="A111" s="110" t="str">
        <f>IF(DONATEURS!$A$75="","",DONATEURS!$A$75)</f>
        <v/>
      </c>
      <c r="B111" s="122" t="str">
        <f>IF($A111="","",IFERROR(INDEX(DONATEURS!$B$56:$B$205,MATCH($A111,DONATEURS!$A$56:$A$205,0)),""))</f>
        <v/>
      </c>
      <c r="C111" s="123" t="str">
        <f t="shared" si="20"/>
        <v/>
      </c>
      <c r="D111" s="112" t="str">
        <f t="shared" si="21"/>
        <v/>
      </c>
      <c r="E111" s="112" t="str">
        <f t="shared" si="22"/>
        <v/>
      </c>
    </row>
    <row r="112" spans="1:5" ht="15" customHeight="1">
      <c r="A112" s="110" t="str">
        <f>IF(DONATEURS!$A$76="","",DONATEURS!$A$76)</f>
        <v/>
      </c>
      <c r="B112" s="122" t="str">
        <f>IF($A112="","",IFERROR(INDEX(DONATEURS!$B$56:$B$205,MATCH($A112,DONATEURS!$A$56:$A$205,0)),""))</f>
        <v/>
      </c>
      <c r="C112" s="123" t="str">
        <f t="shared" si="20"/>
        <v/>
      </c>
      <c r="D112" s="112" t="str">
        <f t="shared" si="21"/>
        <v/>
      </c>
      <c r="E112" s="112" t="str">
        <f t="shared" si="22"/>
        <v/>
      </c>
    </row>
    <row r="113" spans="1:5" ht="15" customHeight="1">
      <c r="A113" s="110" t="str">
        <f>IF(DONATEURS!$A$77="","",DONATEURS!$A$77)</f>
        <v/>
      </c>
      <c r="B113" s="122" t="str">
        <f>IF($A113="","",IFERROR(INDEX(DONATEURS!$B$56:$B$205,MATCH($A113,DONATEURS!$A$56:$A$205,0)),""))</f>
        <v/>
      </c>
      <c r="C113" s="123" t="str">
        <f t="shared" si="20"/>
        <v/>
      </c>
      <c r="D113" s="112" t="str">
        <f t="shared" si="21"/>
        <v/>
      </c>
      <c r="E113" s="112" t="str">
        <f t="shared" si="22"/>
        <v/>
      </c>
    </row>
    <row r="114" spans="1:5" ht="15" customHeight="1">
      <c r="A114" s="110" t="str">
        <f>IF(DONATEURS!$A$78="","",DONATEURS!$A$78)</f>
        <v/>
      </c>
      <c r="B114" s="122" t="str">
        <f>IF($A114="","",IFERROR(INDEX(DONATEURS!$B$56:$B$205,MATCH($A114,DONATEURS!$A$56:$A$205,0)),""))</f>
        <v/>
      </c>
      <c r="C114" s="123" t="str">
        <f t="shared" si="20"/>
        <v/>
      </c>
      <c r="D114" s="112" t="str">
        <f t="shared" si="21"/>
        <v/>
      </c>
      <c r="E114" s="112" t="str">
        <f t="shared" si="22"/>
        <v/>
      </c>
    </row>
    <row r="115" spans="1:5" ht="15" customHeight="1">
      <c r="A115" s="110" t="str">
        <f>IF(DONATEURS!$A$79="","",DONATEURS!$A$79)</f>
        <v/>
      </c>
      <c r="B115" s="122" t="str">
        <f>IF($A115="","",IFERROR(INDEX(DONATEURS!$B$56:$B$205,MATCH($A115,DONATEURS!$A$56:$A$205,0)),""))</f>
        <v/>
      </c>
      <c r="C115" s="123" t="str">
        <f t="shared" si="20"/>
        <v/>
      </c>
      <c r="D115" s="112" t="str">
        <f t="shared" si="21"/>
        <v/>
      </c>
      <c r="E115" s="112" t="str">
        <f t="shared" si="22"/>
        <v/>
      </c>
    </row>
    <row r="116" spans="1:5" ht="15" customHeight="1">
      <c r="A116" s="110" t="str">
        <f>IF(DONATEURS!$A$80="","",DONATEURS!$A$80)</f>
        <v/>
      </c>
      <c r="B116" s="122" t="str">
        <f>IF($A116="","",IFERROR(INDEX(DONATEURS!$B$56:$B$205,MATCH($A116,DONATEURS!$A$56:$A$205,0)),""))</f>
        <v/>
      </c>
      <c r="C116" s="123" t="str">
        <f t="shared" si="20"/>
        <v/>
      </c>
      <c r="D116" s="112" t="str">
        <f t="shared" si="21"/>
        <v/>
      </c>
      <c r="E116" s="112" t="str">
        <f t="shared" si="22"/>
        <v/>
      </c>
    </row>
    <row r="117" spans="1:5" ht="15" customHeight="1">
      <c r="A117" s="110" t="str">
        <f>IF(DONATEURS!$A$81="","",DONATEURS!$A$81)</f>
        <v/>
      </c>
      <c r="B117" s="122" t="str">
        <f>IF($A117="","",IFERROR(INDEX(DONATEURS!$B$56:$B$205,MATCH($A117,DONATEURS!$A$56:$A$205,0)),""))</f>
        <v/>
      </c>
      <c r="C117" s="123" t="str">
        <f t="shared" si="20"/>
        <v/>
      </c>
      <c r="D117" s="112" t="str">
        <f t="shared" si="21"/>
        <v/>
      </c>
      <c r="E117" s="112" t="str">
        <f t="shared" si="22"/>
        <v/>
      </c>
    </row>
    <row r="118" spans="1:5" ht="15" customHeight="1">
      <c r="A118" s="110" t="str">
        <f>IF(DONATEURS!$A$82="","",DONATEURS!$A$82)</f>
        <v/>
      </c>
      <c r="B118" s="122" t="str">
        <f>IF($A118="","",IFERROR(INDEX(DONATEURS!$B$56:$B$205,MATCH($A118,DONATEURS!$A$56:$A$205,0)),""))</f>
        <v/>
      </c>
      <c r="C118" s="123" t="str">
        <f t="shared" si="20"/>
        <v/>
      </c>
      <c r="D118" s="112" t="str">
        <f t="shared" si="21"/>
        <v/>
      </c>
      <c r="E118" s="112" t="str">
        <f t="shared" si="22"/>
        <v/>
      </c>
    </row>
    <row r="119" spans="1:5" ht="15" customHeight="1">
      <c r="A119" s="110" t="str">
        <f>IF(DONATEURS!$A$83="","",DONATEURS!$A$83)</f>
        <v/>
      </c>
      <c r="B119" s="122" t="str">
        <f>IF($A119="","",IFERROR(INDEX(DONATEURS!$B$56:$B$205,MATCH($A119,DONATEURS!$A$56:$A$205,0)),""))</f>
        <v/>
      </c>
      <c r="C119" s="123" t="str">
        <f t="shared" si="20"/>
        <v/>
      </c>
      <c r="D119" s="112" t="str">
        <f t="shared" si="21"/>
        <v/>
      </c>
      <c r="E119" s="112" t="str">
        <f t="shared" si="22"/>
        <v/>
      </c>
    </row>
    <row r="120" spans="1:5" ht="15" customHeight="1">
      <c r="A120" s="110" t="str">
        <f>IF(DONATEURS!$A$84="","",DONATEURS!$A$84)</f>
        <v/>
      </c>
      <c r="B120" s="122" t="str">
        <f>IF($A120="","",IFERROR(INDEX(DONATEURS!$B$56:$B$205,MATCH($A120,DONATEURS!$A$56:$A$205,0)),""))</f>
        <v/>
      </c>
      <c r="C120" s="123" t="str">
        <f t="shared" si="20"/>
        <v/>
      </c>
      <c r="D120" s="112" t="str">
        <f t="shared" si="21"/>
        <v/>
      </c>
      <c r="E120" s="112" t="str">
        <f t="shared" si="22"/>
        <v/>
      </c>
    </row>
    <row r="121" spans="1:5" ht="15" customHeight="1">
      <c r="A121" s="110" t="str">
        <f>IF(DONATEURS!$A$85="","",DONATEURS!$A$85)</f>
        <v/>
      </c>
      <c r="B121" s="122" t="str">
        <f>IF($A121="","",IFERROR(INDEX(DONATEURS!$B$56:$B$205,MATCH($A121,DONATEURS!$A$56:$A$205,0)),""))</f>
        <v/>
      </c>
      <c r="C121" s="123" t="str">
        <f t="shared" si="20"/>
        <v/>
      </c>
      <c r="D121" s="112" t="str">
        <f t="shared" si="21"/>
        <v/>
      </c>
      <c r="E121" s="112" t="str">
        <f t="shared" si="22"/>
        <v/>
      </c>
    </row>
    <row r="122" spans="1:5" ht="15" customHeight="1">
      <c r="A122" s="110" t="str">
        <f>IF(DONATEURS!$A$86="","",DONATEURS!$A$86)</f>
        <v/>
      </c>
      <c r="B122" s="122" t="str">
        <f>IF($A122="","",IFERROR(INDEX(DONATEURS!$B$56:$B$205,MATCH($A122,DONATEURS!$A$56:$A$205,0)),""))</f>
        <v/>
      </c>
      <c r="C122" s="123" t="str">
        <f t="shared" si="20"/>
        <v/>
      </c>
      <c r="D122" s="112" t="str">
        <f t="shared" si="21"/>
        <v/>
      </c>
      <c r="E122" s="112" t="str">
        <f t="shared" si="22"/>
        <v/>
      </c>
    </row>
    <row r="123" spans="1:5" ht="15" customHeight="1">
      <c r="A123" s="110" t="str">
        <f>IF(DONATEURS!$A$87="","",DONATEURS!$A$87)</f>
        <v/>
      </c>
      <c r="B123" s="122" t="str">
        <f>IF($A123="","",IFERROR(INDEX(DONATEURS!$B$56:$B$205,MATCH($A123,DONATEURS!$A$56:$A$205,0)),""))</f>
        <v/>
      </c>
      <c r="C123" s="123" t="str">
        <f t="shared" si="20"/>
        <v/>
      </c>
      <c r="D123" s="112" t="str">
        <f t="shared" si="21"/>
        <v/>
      </c>
      <c r="E123" s="112" t="str">
        <f t="shared" si="22"/>
        <v/>
      </c>
    </row>
    <row r="124" spans="1:5" ht="15" customHeight="1">
      <c r="A124" s="110" t="str">
        <f>IF(DONATEURS!$A$88="","",DONATEURS!$A$88)</f>
        <v/>
      </c>
      <c r="B124" s="122" t="str">
        <f>IF($A124="","",IFERROR(INDEX(DONATEURS!$B$56:$B$205,MATCH($A124,DONATEURS!$A$56:$A$205,0)),""))</f>
        <v/>
      </c>
      <c r="C124" s="123" t="str">
        <f t="shared" si="20"/>
        <v/>
      </c>
      <c r="D124" s="112" t="str">
        <f t="shared" si="21"/>
        <v/>
      </c>
      <c r="E124" s="112" t="str">
        <f t="shared" si="22"/>
        <v/>
      </c>
    </row>
    <row r="125" spans="1:5" ht="15" customHeight="1">
      <c r="A125" s="110" t="str">
        <f>IF(DONATEURS!$A$89="","",DONATEURS!$A$89)</f>
        <v/>
      </c>
      <c r="B125" s="122" t="str">
        <f>IF($A125="","",IFERROR(INDEX(DONATEURS!$B$56:$B$205,MATCH($A125,DONATEURS!$A$56:$A$205,0)),""))</f>
        <v/>
      </c>
      <c r="C125" s="123" t="str">
        <f t="shared" si="20"/>
        <v/>
      </c>
      <c r="D125" s="112" t="str">
        <f t="shared" si="21"/>
        <v/>
      </c>
      <c r="E125" s="112" t="str">
        <f t="shared" si="22"/>
        <v/>
      </c>
    </row>
    <row r="126" spans="1:5" ht="15" customHeight="1">
      <c r="A126" s="110" t="str">
        <f>IF(DONATEURS!$A$90="","",DONATEURS!$A$90)</f>
        <v/>
      </c>
      <c r="B126" s="122" t="str">
        <f>IF($A126="","",IFERROR(INDEX(DONATEURS!$B$56:$B$205,MATCH($A126,DONATEURS!$A$56:$A$205,0)),""))</f>
        <v/>
      </c>
      <c r="C126" s="123" t="str">
        <f t="shared" si="20"/>
        <v/>
      </c>
      <c r="D126" s="112" t="str">
        <f t="shared" si="21"/>
        <v/>
      </c>
      <c r="E126" s="112" t="str">
        <f t="shared" si="22"/>
        <v/>
      </c>
    </row>
    <row r="127" spans="1:5" ht="15" customHeight="1">
      <c r="A127" s="110" t="str">
        <f>IF(DONATEURS!$A$91="","",DONATEURS!$A$91)</f>
        <v/>
      </c>
      <c r="B127" s="122" t="str">
        <f>IF($A127="","",IFERROR(INDEX(DONATEURS!$B$56:$B$205,MATCH($A127,DONATEURS!$A$56:$A$205,0)),""))</f>
        <v/>
      </c>
      <c r="C127" s="123" t="str">
        <f t="shared" si="20"/>
        <v/>
      </c>
      <c r="D127" s="112" t="str">
        <f t="shared" si="21"/>
        <v/>
      </c>
      <c r="E127" s="112" t="str">
        <f t="shared" si="22"/>
        <v/>
      </c>
    </row>
    <row r="128" spans="1:5" ht="15" customHeight="1">
      <c r="A128" s="110" t="str">
        <f>IF(DONATEURS!$A$92="","",DONATEURS!$A$92)</f>
        <v/>
      </c>
      <c r="B128" s="122" t="str">
        <f>IF($A128="","",IFERROR(INDEX(DONATEURS!$B$56:$B$205,MATCH($A128,DONATEURS!$A$56:$A$205,0)),""))</f>
        <v/>
      </c>
      <c r="C128" s="123" t="str">
        <f t="shared" si="20"/>
        <v/>
      </c>
      <c r="D128" s="112" t="str">
        <f t="shared" si="21"/>
        <v/>
      </c>
      <c r="E128" s="112" t="str">
        <f t="shared" si="22"/>
        <v/>
      </c>
    </row>
    <row r="129" spans="1:5" ht="15" customHeight="1">
      <c r="A129" s="110" t="str">
        <f>IF(DONATEURS!$A$93="","",DONATEURS!$A$93)</f>
        <v/>
      </c>
      <c r="B129" s="122" t="str">
        <f>IF($A129="","",IFERROR(INDEX(DONATEURS!$B$56:$B$205,MATCH($A129,DONATEURS!$A$56:$A$205,0)),""))</f>
        <v/>
      </c>
      <c r="C129" s="123" t="str">
        <f t="shared" si="20"/>
        <v/>
      </c>
      <c r="D129" s="112" t="str">
        <f t="shared" si="21"/>
        <v/>
      </c>
      <c r="E129" s="112" t="str">
        <f t="shared" si="22"/>
        <v/>
      </c>
    </row>
    <row r="130" spans="1:5" ht="15" customHeight="1">
      <c r="A130" s="110" t="str">
        <f>IF(DONATEURS!$A$94="","",DONATEURS!$A$94)</f>
        <v/>
      </c>
      <c r="B130" s="122" t="str">
        <f>IF($A130="","",IFERROR(INDEX(DONATEURS!$B$56:$B$205,MATCH($A130,DONATEURS!$A$56:$A$205,0)),""))</f>
        <v/>
      </c>
      <c r="C130" s="123" t="str">
        <f t="shared" si="20"/>
        <v/>
      </c>
      <c r="D130" s="112" t="str">
        <f t="shared" si="21"/>
        <v/>
      </c>
      <c r="E130" s="112" t="str">
        <f t="shared" si="22"/>
        <v/>
      </c>
    </row>
    <row r="131" spans="1:5" ht="15" customHeight="1">
      <c r="A131" s="110" t="str">
        <f>IF(DONATEURS!$A$95="","",DONATEURS!$A$95)</f>
        <v/>
      </c>
      <c r="B131" s="122" t="str">
        <f>IF($A131="","",IFERROR(INDEX(DONATEURS!$B$56:$B$205,MATCH($A131,DONATEURS!$A$56:$A$205,0)),""))</f>
        <v/>
      </c>
      <c r="C131" s="123" t="str">
        <f t="shared" si="20"/>
        <v/>
      </c>
      <c r="D131" s="112" t="str">
        <f t="shared" si="21"/>
        <v/>
      </c>
      <c r="E131" s="112" t="str">
        <f t="shared" si="22"/>
        <v/>
      </c>
    </row>
    <row r="133" spans="1:5" ht="15" customHeight="1">
      <c r="A133" s="299" t="s">
        <v>2143</v>
      </c>
      <c r="B133" s="262"/>
      <c r="C133" s="262"/>
      <c r="D133" s="262"/>
    </row>
    <row r="134" spans="1:5" ht="32.25" customHeight="1">
      <c r="A134" s="108" t="s">
        <v>1648</v>
      </c>
      <c r="B134" s="108" t="s">
        <v>1586</v>
      </c>
      <c r="C134" s="108" t="s">
        <v>1674</v>
      </c>
      <c r="D134" s="108" t="s">
        <v>2182</v>
      </c>
    </row>
    <row r="135" spans="1:5" ht="42.75" customHeight="1">
      <c r="A135" s="110" t="str">
        <f>IF(PROJETS!$A$56="","",PROJETS!$A$56)</f>
        <v>PROJ0001</v>
      </c>
      <c r="B135" s="122" t="str">
        <f>IF($A135="","",IFERROR(INDEX(PROJETS!$C$56:$C$95,MATCH($A135,PROJETS!$A$56:$A$95,0)),""))</f>
        <v>Projet d'appui a l'insertion professionnelle des jeunes</v>
      </c>
      <c r="C135" s="112">
        <f t="shared" ref="C135:C174" si="23">IF($A135="","",SUMIFS($AB$39:$AB$88,$H$39:$H$88,$A135))</f>
        <v>0</v>
      </c>
      <c r="D135" s="112">
        <f t="shared" ref="D135:D174" si="24">IF($A135="","",SUMIFS($AD$39:$AD$88,$H$39:$H$88,$A135))</f>
        <v>0</v>
      </c>
    </row>
    <row r="136" spans="1:5" ht="15" customHeight="1">
      <c r="A136" s="110" t="str">
        <f>IF(PROJETS!$A$57="","",PROJETS!$A$57)</f>
        <v/>
      </c>
      <c r="B136" s="122" t="str">
        <f>IF($A136="","",IFERROR(INDEX(PROJETS!$C$56:$C$95,MATCH($A136,PROJETS!$A$56:$A$95,0)),""))</f>
        <v/>
      </c>
      <c r="C136" s="112" t="str">
        <f t="shared" si="23"/>
        <v/>
      </c>
      <c r="D136" s="112" t="str">
        <f t="shared" si="24"/>
        <v/>
      </c>
    </row>
    <row r="137" spans="1:5" ht="15" customHeight="1">
      <c r="A137" s="110" t="str">
        <f>IF(PROJETS!$A$58="","",PROJETS!$A$58)</f>
        <v/>
      </c>
      <c r="B137" s="122" t="str">
        <f>IF($A137="","",IFERROR(INDEX(PROJETS!$C$56:$C$95,MATCH($A137,PROJETS!$A$56:$A$95,0)),""))</f>
        <v/>
      </c>
      <c r="C137" s="112" t="str">
        <f t="shared" si="23"/>
        <v/>
      </c>
      <c r="D137" s="112" t="str">
        <f t="shared" si="24"/>
        <v/>
      </c>
    </row>
    <row r="138" spans="1:5" ht="15" customHeight="1">
      <c r="A138" s="110" t="str">
        <f>IF(PROJETS!$A$59="","",PROJETS!$A$59)</f>
        <v/>
      </c>
      <c r="B138" s="122" t="str">
        <f>IF($A138="","",IFERROR(INDEX(PROJETS!$C$56:$C$95,MATCH($A138,PROJETS!$A$56:$A$95,0)),""))</f>
        <v/>
      </c>
      <c r="C138" s="112" t="str">
        <f t="shared" si="23"/>
        <v/>
      </c>
      <c r="D138" s="112" t="str">
        <f t="shared" si="24"/>
        <v/>
      </c>
    </row>
    <row r="139" spans="1:5" ht="15" customHeight="1">
      <c r="A139" s="110" t="str">
        <f>IF(PROJETS!$A$60="","",PROJETS!$A$60)</f>
        <v/>
      </c>
      <c r="B139" s="122" t="str">
        <f>IF($A139="","",IFERROR(INDEX(PROJETS!$C$56:$C$95,MATCH($A139,PROJETS!$A$56:$A$95,0)),""))</f>
        <v/>
      </c>
      <c r="C139" s="112" t="str">
        <f t="shared" si="23"/>
        <v/>
      </c>
      <c r="D139" s="112" t="str">
        <f t="shared" si="24"/>
        <v/>
      </c>
    </row>
    <row r="140" spans="1:5" ht="15" customHeight="1">
      <c r="A140" s="110" t="str">
        <f>IF(PROJETS!$A$61="","",PROJETS!$A$61)</f>
        <v/>
      </c>
      <c r="B140" s="122" t="str">
        <f>IF($A140="","",IFERROR(INDEX(PROJETS!$C$56:$C$95,MATCH($A140,PROJETS!$A$56:$A$95,0)),""))</f>
        <v/>
      </c>
      <c r="C140" s="112" t="str">
        <f t="shared" si="23"/>
        <v/>
      </c>
      <c r="D140" s="112" t="str">
        <f t="shared" si="24"/>
        <v/>
      </c>
    </row>
    <row r="141" spans="1:5" ht="15" customHeight="1">
      <c r="A141" s="110" t="str">
        <f>IF(PROJETS!$A$62="","",PROJETS!$A$62)</f>
        <v/>
      </c>
      <c r="B141" s="122" t="str">
        <f>IF($A141="","",IFERROR(INDEX(PROJETS!$C$56:$C$95,MATCH($A141,PROJETS!$A$56:$A$95,0)),""))</f>
        <v/>
      </c>
      <c r="C141" s="112" t="str">
        <f t="shared" si="23"/>
        <v/>
      </c>
      <c r="D141" s="112" t="str">
        <f t="shared" si="24"/>
        <v/>
      </c>
    </row>
    <row r="142" spans="1:5" ht="15" customHeight="1">
      <c r="A142" s="110" t="str">
        <f>IF(PROJETS!$A$63="","",PROJETS!$A$63)</f>
        <v/>
      </c>
      <c r="B142" s="122" t="str">
        <f>IF($A142="","",IFERROR(INDEX(PROJETS!$C$56:$C$95,MATCH($A142,PROJETS!$A$56:$A$95,0)),""))</f>
        <v/>
      </c>
      <c r="C142" s="112" t="str">
        <f t="shared" si="23"/>
        <v/>
      </c>
      <c r="D142" s="112" t="str">
        <f t="shared" si="24"/>
        <v/>
      </c>
    </row>
    <row r="143" spans="1:5" ht="15" customHeight="1">
      <c r="A143" s="110" t="str">
        <f>IF(PROJETS!$A$64="","",PROJETS!$A$64)</f>
        <v/>
      </c>
      <c r="B143" s="122" t="str">
        <f>IF($A143="","",IFERROR(INDEX(PROJETS!$C$56:$C$95,MATCH($A143,PROJETS!$A$56:$A$95,0)),""))</f>
        <v/>
      </c>
      <c r="C143" s="112" t="str">
        <f t="shared" si="23"/>
        <v/>
      </c>
      <c r="D143" s="112" t="str">
        <f t="shared" si="24"/>
        <v/>
      </c>
    </row>
    <row r="144" spans="1:5" ht="15" customHeight="1">
      <c r="A144" s="110" t="str">
        <f>IF(PROJETS!$A$65="","",PROJETS!$A$65)</f>
        <v/>
      </c>
      <c r="B144" s="122" t="str">
        <f>IF($A144="","",IFERROR(INDEX(PROJETS!$C$56:$C$95,MATCH($A144,PROJETS!$A$56:$A$95,0)),""))</f>
        <v/>
      </c>
      <c r="C144" s="112" t="str">
        <f t="shared" si="23"/>
        <v/>
      </c>
      <c r="D144" s="112" t="str">
        <f t="shared" si="24"/>
        <v/>
      </c>
    </row>
    <row r="145" spans="1:4" ht="15" customHeight="1">
      <c r="A145" s="110" t="str">
        <f>IF(PROJETS!$A$66="","",PROJETS!$A$66)</f>
        <v/>
      </c>
      <c r="B145" s="122" t="str">
        <f>IF($A145="","",IFERROR(INDEX(PROJETS!$C$56:$C$95,MATCH($A145,PROJETS!$A$56:$A$95,0)),""))</f>
        <v/>
      </c>
      <c r="C145" s="112" t="str">
        <f t="shared" si="23"/>
        <v/>
      </c>
      <c r="D145" s="112" t="str">
        <f t="shared" si="24"/>
        <v/>
      </c>
    </row>
    <row r="146" spans="1:4" ht="15" customHeight="1">
      <c r="A146" s="110" t="str">
        <f>IF(PROJETS!$A$67="","",PROJETS!$A$67)</f>
        <v/>
      </c>
      <c r="B146" s="122" t="str">
        <f>IF($A146="","",IFERROR(INDEX(PROJETS!$C$56:$C$95,MATCH($A146,PROJETS!$A$56:$A$95,0)),""))</f>
        <v/>
      </c>
      <c r="C146" s="112" t="str">
        <f t="shared" si="23"/>
        <v/>
      </c>
      <c r="D146" s="112" t="str">
        <f t="shared" si="24"/>
        <v/>
      </c>
    </row>
    <row r="147" spans="1:4" ht="15" customHeight="1">
      <c r="A147" s="110" t="str">
        <f>IF(PROJETS!$A$68="","",PROJETS!$A$68)</f>
        <v/>
      </c>
      <c r="B147" s="122" t="str">
        <f>IF($A147="","",IFERROR(INDEX(PROJETS!$C$56:$C$95,MATCH($A147,PROJETS!$A$56:$A$95,0)),""))</f>
        <v/>
      </c>
      <c r="C147" s="112" t="str">
        <f t="shared" si="23"/>
        <v/>
      </c>
      <c r="D147" s="112" t="str">
        <f t="shared" si="24"/>
        <v/>
      </c>
    </row>
    <row r="148" spans="1:4" ht="15" customHeight="1">
      <c r="A148" s="110" t="str">
        <f>IF(PROJETS!$A$69="","",PROJETS!$A$69)</f>
        <v/>
      </c>
      <c r="B148" s="122" t="str">
        <f>IF($A148="","",IFERROR(INDEX(PROJETS!$C$56:$C$95,MATCH($A148,PROJETS!$A$56:$A$95,0)),""))</f>
        <v/>
      </c>
      <c r="C148" s="112" t="str">
        <f t="shared" si="23"/>
        <v/>
      </c>
      <c r="D148" s="112" t="str">
        <f t="shared" si="24"/>
        <v/>
      </c>
    </row>
    <row r="149" spans="1:4" ht="15" customHeight="1">
      <c r="A149" s="110" t="str">
        <f>IF(PROJETS!$A$70="","",PROJETS!$A$70)</f>
        <v/>
      </c>
      <c r="B149" s="122" t="str">
        <f>IF($A149="","",IFERROR(INDEX(PROJETS!$C$56:$C$95,MATCH($A149,PROJETS!$A$56:$A$95,0)),""))</f>
        <v/>
      </c>
      <c r="C149" s="112" t="str">
        <f t="shared" si="23"/>
        <v/>
      </c>
      <c r="D149" s="112" t="str">
        <f t="shared" si="24"/>
        <v/>
      </c>
    </row>
    <row r="150" spans="1:4" ht="15" customHeight="1">
      <c r="A150" s="110" t="str">
        <f>IF(PROJETS!$A$71="","",PROJETS!$A$71)</f>
        <v/>
      </c>
      <c r="B150" s="122" t="str">
        <f>IF($A150="","",IFERROR(INDEX(PROJETS!$C$56:$C$95,MATCH($A150,PROJETS!$A$56:$A$95,0)),""))</f>
        <v/>
      </c>
      <c r="C150" s="112" t="str">
        <f t="shared" si="23"/>
        <v/>
      </c>
      <c r="D150" s="112" t="str">
        <f t="shared" si="24"/>
        <v/>
      </c>
    </row>
    <row r="151" spans="1:4" ht="15" customHeight="1">
      <c r="A151" s="110" t="str">
        <f>IF(PROJETS!$A$72="","",PROJETS!$A$72)</f>
        <v/>
      </c>
      <c r="B151" s="122" t="str">
        <f>IF($A151="","",IFERROR(INDEX(PROJETS!$C$56:$C$95,MATCH($A151,PROJETS!$A$56:$A$95,0)),""))</f>
        <v/>
      </c>
      <c r="C151" s="112" t="str">
        <f t="shared" si="23"/>
        <v/>
      </c>
      <c r="D151" s="112" t="str">
        <f t="shared" si="24"/>
        <v/>
      </c>
    </row>
    <row r="152" spans="1:4" ht="15" customHeight="1">
      <c r="A152" s="110" t="str">
        <f>IF(PROJETS!$A$73="","",PROJETS!$A$73)</f>
        <v/>
      </c>
      <c r="B152" s="122" t="str">
        <f>IF($A152="","",IFERROR(INDEX(PROJETS!$C$56:$C$95,MATCH($A152,PROJETS!$A$56:$A$95,0)),""))</f>
        <v/>
      </c>
      <c r="C152" s="112" t="str">
        <f t="shared" si="23"/>
        <v/>
      </c>
      <c r="D152" s="112" t="str">
        <f t="shared" si="24"/>
        <v/>
      </c>
    </row>
    <row r="153" spans="1:4" ht="15" customHeight="1">
      <c r="A153" s="110" t="str">
        <f>IF(PROJETS!$A$74="","",PROJETS!$A$74)</f>
        <v/>
      </c>
      <c r="B153" s="122" t="str">
        <f>IF($A153="","",IFERROR(INDEX(PROJETS!$C$56:$C$95,MATCH($A153,PROJETS!$A$56:$A$95,0)),""))</f>
        <v/>
      </c>
      <c r="C153" s="112" t="str">
        <f t="shared" si="23"/>
        <v/>
      </c>
      <c r="D153" s="112" t="str">
        <f t="shared" si="24"/>
        <v/>
      </c>
    </row>
    <row r="154" spans="1:4" ht="15" customHeight="1">
      <c r="A154" s="110" t="str">
        <f>IF(PROJETS!$A$75="","",PROJETS!$A$75)</f>
        <v/>
      </c>
      <c r="B154" s="122" t="str">
        <f>IF($A154="","",IFERROR(INDEX(PROJETS!$C$56:$C$95,MATCH($A154,PROJETS!$A$56:$A$95,0)),""))</f>
        <v/>
      </c>
      <c r="C154" s="112" t="str">
        <f t="shared" si="23"/>
        <v/>
      </c>
      <c r="D154" s="112" t="str">
        <f t="shared" si="24"/>
        <v/>
      </c>
    </row>
    <row r="155" spans="1:4" ht="15" customHeight="1">
      <c r="A155" s="110" t="str">
        <f>IF(PROJETS!$A$76="","",PROJETS!$A$76)</f>
        <v/>
      </c>
      <c r="B155" s="122" t="str">
        <f>IF($A155="","",IFERROR(INDEX(PROJETS!$C$56:$C$95,MATCH($A155,PROJETS!$A$56:$A$95,0)),""))</f>
        <v/>
      </c>
      <c r="C155" s="112" t="str">
        <f t="shared" si="23"/>
        <v/>
      </c>
      <c r="D155" s="112" t="str">
        <f t="shared" si="24"/>
        <v/>
      </c>
    </row>
    <row r="156" spans="1:4" ht="15" customHeight="1">
      <c r="A156" s="110" t="str">
        <f>IF(PROJETS!$A$77="","",PROJETS!$A$77)</f>
        <v/>
      </c>
      <c r="B156" s="122" t="str">
        <f>IF($A156="","",IFERROR(INDEX(PROJETS!$C$56:$C$95,MATCH($A156,PROJETS!$A$56:$A$95,0)),""))</f>
        <v/>
      </c>
      <c r="C156" s="112" t="str">
        <f t="shared" si="23"/>
        <v/>
      </c>
      <c r="D156" s="112" t="str">
        <f t="shared" si="24"/>
        <v/>
      </c>
    </row>
    <row r="157" spans="1:4" ht="15" customHeight="1">
      <c r="A157" s="110" t="str">
        <f>IF(PROJETS!$A$78="","",PROJETS!$A$78)</f>
        <v/>
      </c>
      <c r="B157" s="122" t="str">
        <f>IF($A157="","",IFERROR(INDEX(PROJETS!$C$56:$C$95,MATCH($A157,PROJETS!$A$56:$A$95,0)),""))</f>
        <v/>
      </c>
      <c r="C157" s="112" t="str">
        <f t="shared" si="23"/>
        <v/>
      </c>
      <c r="D157" s="112" t="str">
        <f t="shared" si="24"/>
        <v/>
      </c>
    </row>
    <row r="158" spans="1:4" ht="15" customHeight="1">
      <c r="A158" s="110" t="str">
        <f>IF(PROJETS!$A$79="","",PROJETS!$A$79)</f>
        <v/>
      </c>
      <c r="B158" s="122" t="str">
        <f>IF($A158="","",IFERROR(INDEX(PROJETS!$C$56:$C$95,MATCH($A158,PROJETS!$A$56:$A$95,0)),""))</f>
        <v/>
      </c>
      <c r="C158" s="112" t="str">
        <f t="shared" si="23"/>
        <v/>
      </c>
      <c r="D158" s="112" t="str">
        <f t="shared" si="24"/>
        <v/>
      </c>
    </row>
    <row r="159" spans="1:4" ht="15" customHeight="1">
      <c r="A159" s="110" t="str">
        <f>IF(PROJETS!$A$80="","",PROJETS!$A$80)</f>
        <v/>
      </c>
      <c r="B159" s="122" t="str">
        <f>IF($A159="","",IFERROR(INDEX(PROJETS!$C$56:$C$95,MATCH($A159,PROJETS!$A$56:$A$95,0)),""))</f>
        <v/>
      </c>
      <c r="C159" s="112" t="str">
        <f t="shared" si="23"/>
        <v/>
      </c>
      <c r="D159" s="112" t="str">
        <f t="shared" si="24"/>
        <v/>
      </c>
    </row>
    <row r="160" spans="1:4" ht="15" customHeight="1">
      <c r="A160" s="110" t="str">
        <f>IF(PROJETS!$A$81="","",PROJETS!$A$81)</f>
        <v/>
      </c>
      <c r="B160" s="122" t="str">
        <f>IF($A160="","",IFERROR(INDEX(PROJETS!$C$56:$C$95,MATCH($A160,PROJETS!$A$56:$A$95,0)),""))</f>
        <v/>
      </c>
      <c r="C160" s="112" t="str">
        <f t="shared" si="23"/>
        <v/>
      </c>
      <c r="D160" s="112" t="str">
        <f t="shared" si="24"/>
        <v/>
      </c>
    </row>
    <row r="161" spans="1:4" ht="15" customHeight="1">
      <c r="A161" s="110" t="str">
        <f>IF(PROJETS!$A$82="","",PROJETS!$A$82)</f>
        <v/>
      </c>
      <c r="B161" s="122" t="str">
        <f>IF($A161="","",IFERROR(INDEX(PROJETS!$C$56:$C$95,MATCH($A161,PROJETS!$A$56:$A$95,0)),""))</f>
        <v/>
      </c>
      <c r="C161" s="112" t="str">
        <f t="shared" si="23"/>
        <v/>
      </c>
      <c r="D161" s="112" t="str">
        <f t="shared" si="24"/>
        <v/>
      </c>
    </row>
    <row r="162" spans="1:4" ht="15" customHeight="1">
      <c r="A162" s="110" t="str">
        <f>IF(PROJETS!$A$83="","",PROJETS!$A$83)</f>
        <v/>
      </c>
      <c r="B162" s="122" t="str">
        <f>IF($A162="","",IFERROR(INDEX(PROJETS!$C$56:$C$95,MATCH($A162,PROJETS!$A$56:$A$95,0)),""))</f>
        <v/>
      </c>
      <c r="C162" s="112" t="str">
        <f t="shared" si="23"/>
        <v/>
      </c>
      <c r="D162" s="112" t="str">
        <f t="shared" si="24"/>
        <v/>
      </c>
    </row>
    <row r="163" spans="1:4" ht="15" customHeight="1">
      <c r="A163" s="110" t="str">
        <f>IF(PROJETS!$A$84="","",PROJETS!$A$84)</f>
        <v/>
      </c>
      <c r="B163" s="122" t="str">
        <f>IF($A163="","",IFERROR(INDEX(PROJETS!$C$56:$C$95,MATCH($A163,PROJETS!$A$56:$A$95,0)),""))</f>
        <v/>
      </c>
      <c r="C163" s="112" t="str">
        <f t="shared" si="23"/>
        <v/>
      </c>
      <c r="D163" s="112" t="str">
        <f t="shared" si="24"/>
        <v/>
      </c>
    </row>
    <row r="164" spans="1:4" ht="15" customHeight="1">
      <c r="A164" s="110" t="str">
        <f>IF(PROJETS!$A$85="","",PROJETS!$A$85)</f>
        <v/>
      </c>
      <c r="B164" s="122" t="str">
        <f>IF($A164="","",IFERROR(INDEX(PROJETS!$C$56:$C$95,MATCH($A164,PROJETS!$A$56:$A$95,0)),""))</f>
        <v/>
      </c>
      <c r="C164" s="112" t="str">
        <f t="shared" si="23"/>
        <v/>
      </c>
      <c r="D164" s="112" t="str">
        <f t="shared" si="24"/>
        <v/>
      </c>
    </row>
    <row r="165" spans="1:4" ht="15" customHeight="1">
      <c r="A165" s="110" t="str">
        <f>IF(PROJETS!$A$86="","",PROJETS!$A$86)</f>
        <v/>
      </c>
      <c r="B165" s="122" t="str">
        <f>IF($A165="","",IFERROR(INDEX(PROJETS!$C$56:$C$95,MATCH($A165,PROJETS!$A$56:$A$95,0)),""))</f>
        <v/>
      </c>
      <c r="C165" s="112" t="str">
        <f t="shared" si="23"/>
        <v/>
      </c>
      <c r="D165" s="112" t="str">
        <f t="shared" si="24"/>
        <v/>
      </c>
    </row>
    <row r="166" spans="1:4" ht="15" customHeight="1">
      <c r="A166" s="110" t="str">
        <f>IF(PROJETS!$A$87="","",PROJETS!$A$87)</f>
        <v/>
      </c>
      <c r="B166" s="122" t="str">
        <f>IF($A166="","",IFERROR(INDEX(PROJETS!$C$56:$C$95,MATCH($A166,PROJETS!$A$56:$A$95,0)),""))</f>
        <v/>
      </c>
      <c r="C166" s="112" t="str">
        <f t="shared" si="23"/>
        <v/>
      </c>
      <c r="D166" s="112" t="str">
        <f t="shared" si="24"/>
        <v/>
      </c>
    </row>
    <row r="167" spans="1:4" ht="15" customHeight="1">
      <c r="A167" s="110" t="str">
        <f>IF(PROJETS!$A$88="","",PROJETS!$A$88)</f>
        <v/>
      </c>
      <c r="B167" s="122" t="str">
        <f>IF($A167="","",IFERROR(INDEX(PROJETS!$C$56:$C$95,MATCH($A167,PROJETS!$A$56:$A$95,0)),""))</f>
        <v/>
      </c>
      <c r="C167" s="112" t="str">
        <f t="shared" si="23"/>
        <v/>
      </c>
      <c r="D167" s="112" t="str">
        <f t="shared" si="24"/>
        <v/>
      </c>
    </row>
    <row r="168" spans="1:4" ht="15" customHeight="1">
      <c r="A168" s="110" t="str">
        <f>IF(PROJETS!$A$89="","",PROJETS!$A$89)</f>
        <v/>
      </c>
      <c r="B168" s="122" t="str">
        <f>IF($A168="","",IFERROR(INDEX(PROJETS!$C$56:$C$95,MATCH($A168,PROJETS!$A$56:$A$95,0)),""))</f>
        <v/>
      </c>
      <c r="C168" s="112" t="str">
        <f t="shared" si="23"/>
        <v/>
      </c>
      <c r="D168" s="112" t="str">
        <f t="shared" si="24"/>
        <v/>
      </c>
    </row>
    <row r="169" spans="1:4" ht="15" customHeight="1">
      <c r="A169" s="110" t="str">
        <f>IF(PROJETS!$A$90="","",PROJETS!$A$90)</f>
        <v/>
      </c>
      <c r="B169" s="122" t="str">
        <f>IF($A169="","",IFERROR(INDEX(PROJETS!$C$56:$C$95,MATCH($A169,PROJETS!$A$56:$A$95,0)),""))</f>
        <v/>
      </c>
      <c r="C169" s="112" t="str">
        <f t="shared" si="23"/>
        <v/>
      </c>
      <c r="D169" s="112" t="str">
        <f t="shared" si="24"/>
        <v/>
      </c>
    </row>
    <row r="170" spans="1:4" ht="15" customHeight="1">
      <c r="A170" s="110" t="str">
        <f>IF(PROJETS!$A$91="","",PROJETS!$A$91)</f>
        <v/>
      </c>
      <c r="B170" s="122" t="str">
        <f>IF($A170="","",IFERROR(INDEX(PROJETS!$C$56:$C$95,MATCH($A170,PROJETS!$A$56:$A$95,0)),""))</f>
        <v/>
      </c>
      <c r="C170" s="112" t="str">
        <f t="shared" si="23"/>
        <v/>
      </c>
      <c r="D170" s="112" t="str">
        <f t="shared" si="24"/>
        <v/>
      </c>
    </row>
    <row r="171" spans="1:4" ht="15" customHeight="1">
      <c r="A171" s="110" t="str">
        <f>IF(PROJETS!$A$92="","",PROJETS!$A$92)</f>
        <v/>
      </c>
      <c r="B171" s="122" t="str">
        <f>IF($A171="","",IFERROR(INDEX(PROJETS!$C$56:$C$95,MATCH($A171,PROJETS!$A$56:$A$95,0)),""))</f>
        <v/>
      </c>
      <c r="C171" s="112" t="str">
        <f t="shared" si="23"/>
        <v/>
      </c>
      <c r="D171" s="112" t="str">
        <f t="shared" si="24"/>
        <v/>
      </c>
    </row>
    <row r="172" spans="1:4" ht="15" customHeight="1">
      <c r="A172" s="110" t="str">
        <f>IF(PROJETS!$A$93="","",PROJETS!$A$93)</f>
        <v/>
      </c>
      <c r="B172" s="122" t="str">
        <f>IF($A172="","",IFERROR(INDEX(PROJETS!$C$56:$C$95,MATCH($A172,PROJETS!$A$56:$A$95,0)),""))</f>
        <v/>
      </c>
      <c r="C172" s="112" t="str">
        <f t="shared" si="23"/>
        <v/>
      </c>
      <c r="D172" s="112" t="str">
        <f t="shared" si="24"/>
        <v/>
      </c>
    </row>
    <row r="173" spans="1:4" ht="15" customHeight="1">
      <c r="A173" s="110" t="str">
        <f>IF(PROJETS!$A$94="","",PROJETS!$A$94)</f>
        <v/>
      </c>
      <c r="B173" s="122" t="str">
        <f>IF($A173="","",IFERROR(INDEX(PROJETS!$C$56:$C$95,MATCH($A173,PROJETS!$A$56:$A$95,0)),""))</f>
        <v/>
      </c>
      <c r="C173" s="112" t="str">
        <f t="shared" si="23"/>
        <v/>
      </c>
      <c r="D173" s="112" t="str">
        <f t="shared" si="24"/>
        <v/>
      </c>
    </row>
    <row r="174" spans="1:4" ht="15" customHeight="1">
      <c r="A174" s="110" t="str">
        <f>IF(PROJETS!$A$95="","",PROJETS!$A$95)</f>
        <v/>
      </c>
      <c r="B174" s="122" t="str">
        <f>IF($A174="","",IFERROR(INDEX(PROJETS!$C$56:$C$95,MATCH($A174,PROJETS!$A$56:$A$95,0)),""))</f>
        <v/>
      </c>
      <c r="C174" s="112" t="str">
        <f t="shared" si="23"/>
        <v/>
      </c>
      <c r="D174" s="112" t="str">
        <f t="shared" si="24"/>
        <v/>
      </c>
    </row>
    <row r="176" spans="1:4" ht="15" customHeight="1">
      <c r="A176" s="299" t="s">
        <v>2229</v>
      </c>
      <c r="B176" s="262"/>
      <c r="C176" s="262"/>
      <c r="D176" s="262"/>
    </row>
    <row r="177" spans="1:3" ht="15" customHeight="1">
      <c r="A177" s="108" t="s">
        <v>2230</v>
      </c>
      <c r="B177" s="108" t="s">
        <v>2231</v>
      </c>
      <c r="C177" s="108" t="s">
        <v>2184</v>
      </c>
    </row>
    <row r="178" spans="1:3" ht="42.75" customHeight="1">
      <c r="A178" s="68" t="s">
        <v>2191</v>
      </c>
      <c r="B178" s="68" t="s">
        <v>2232</v>
      </c>
      <c r="C178" s="123">
        <f ca="1">COUNTIFS($BE$39:$BE$88,$A178)</f>
        <v>0</v>
      </c>
    </row>
    <row r="179" spans="1:3" ht="21.75" customHeight="1">
      <c r="A179" s="68" t="s">
        <v>2192</v>
      </c>
      <c r="B179" s="68" t="s">
        <v>2233</v>
      </c>
      <c r="C179" s="123">
        <f ca="1">COUNTIFS($BE$39:$BE$88,$A179)</f>
        <v>0</v>
      </c>
    </row>
    <row r="180" spans="1:3" ht="32.25" customHeight="1">
      <c r="A180" s="68" t="s">
        <v>2087</v>
      </c>
      <c r="B180" s="68" t="s">
        <v>2234</v>
      </c>
      <c r="C180" s="123">
        <f ca="1">COUNTIFS($BE$39:$BE$88,$A180)</f>
        <v>0</v>
      </c>
    </row>
    <row r="181" spans="1:3" ht="21.75" customHeight="1">
      <c r="A181" s="68" t="s">
        <v>2193</v>
      </c>
      <c r="B181" s="68" t="s">
        <v>2235</v>
      </c>
      <c r="C181" s="123">
        <f ca="1">COUNTIFS($BE$39:$BE$88,$A181)</f>
        <v>0</v>
      </c>
    </row>
    <row r="182" spans="1:3" ht="32.25" customHeight="1">
      <c r="A182" s="68" t="s">
        <v>2086</v>
      </c>
      <c r="B182" s="68" t="s">
        <v>2236</v>
      </c>
      <c r="C182" s="123">
        <f ca="1">COUNTIFS($BE$39:$BE$88,$A182)</f>
        <v>0</v>
      </c>
    </row>
  </sheetData>
  <mergeCells count="10">
    <mergeCell ref="A176:D176"/>
    <mergeCell ref="A2:U2"/>
    <mergeCell ref="A1:P1"/>
    <mergeCell ref="A90:E90"/>
    <mergeCell ref="A37:BH37"/>
    <mergeCell ref="A6:I6"/>
    <mergeCell ref="A133:D133"/>
    <mergeCell ref="A10:P10"/>
    <mergeCell ref="A4:U4"/>
    <mergeCell ref="A23:D23"/>
  </mergeCells>
  <conditionalFormatting sqref="AD39:AD88">
    <cfRule type="cellIs" dxfId="51" priority="7" operator="greaterThan">
      <formula>0</formula>
    </cfRule>
  </conditionalFormatting>
  <conditionalFormatting sqref="BE39:BE88">
    <cfRule type="cellIs" dxfId="50" priority="2" operator="equal">
      <formula>"Recu integralement"</formula>
    </cfRule>
    <cfRule type="cellIs" dxfId="49" priority="3" operator="equal">
      <formula>"Normal"</formula>
    </cfRule>
    <cfRule type="cellIs" dxfId="48" priority="4" operator="equal">
      <formula>"Vigilance"</formula>
    </cfRule>
    <cfRule type="cellIs" dxfId="47" priority="5" operator="equal">
      <formula>"Retard"</formula>
    </cfRule>
    <cfRule type="cellIs" dxfId="46" priority="6" operator="equal">
      <formula>"Relance necessaire"</formula>
    </cfRule>
  </conditionalFormatting>
  <dataValidations count="14">
    <dataValidation type="decimal" operator="greaterThanOrEqual" allowBlank="1" sqref="Z39:AA88 AC39:AC88 AV39:AV88">
      <formula1>0</formula1>
      <formula2>0</formula2>
    </dataValidation>
    <dataValidation type="list" sqref="I8">
      <formula1>"2024,2025,2026,2027,2028,2029,2030,2031,2032,2033,Total"</formula1>
      <formula2>0</formula2>
    </dataValidation>
    <dataValidation type="list" allowBlank="1" sqref="O39:O88">
      <formula1>Liste_TypesRecettes</formula1>
      <formula2>0</formula2>
    </dataValidation>
    <dataValidation type="list" allowBlank="1" sqref="P39:P88">
      <formula1>Liste_SourcesFinancement</formula1>
      <formula2>0</formula2>
    </dataValidation>
    <dataValidation type="list" allowBlank="1" sqref="Q39:Q88">
      <formula1>Liste_TypesFinancement</formula1>
      <formula2>0</formula2>
    </dataValidation>
    <dataValidation type="list" allowBlank="1" sqref="D39:D88">
      <formula1>Liste_DonateursID</formula1>
      <formula2>0</formula2>
    </dataValidation>
    <dataValidation type="list" allowBlank="1" sqref="H39:H88">
      <formula1>Liste_ActivitesIDProjets</formula1>
      <formula2>0</formula2>
    </dataValidation>
    <dataValidation type="list" allowBlank="1" sqref="L39:L88">
      <formula1>Liste_ActivitesID</formula1>
      <formula2>0</formula2>
    </dataValidation>
    <dataValidation type="list" allowBlank="1" sqref="AE39:AE88">
      <formula1>Liste_StatutsRecettes</formula1>
      <formula2>0</formula2>
    </dataValidation>
    <dataValidation type="list" allowBlank="1" sqref="AF39:AF88">
      <formula1>Liste_ModesPaiement</formula1>
      <formula2>0</formula2>
    </dataValidation>
    <dataValidation type="list" allowBlank="1" sqref="AP39:AP88">
      <formula1>Liste_StatutsDocuments</formula1>
      <formula2>0</formula2>
    </dataValidation>
    <dataValidation type="list" allowBlank="1" sqref="R39:S88 AZ39:BB88">
      <formula1>"Oui,Non"</formula1>
      <formula2>0</formula2>
    </dataValidation>
    <dataValidation type="list" allowBlank="1" sqref="Y39:Y88">
      <formula1>"FCFA,EUR,USD,GBP,Autre"</formula1>
      <formula2>0</formula2>
    </dataValidation>
    <dataValidation type="list" allowBlank="1" sqref="AM39:AM88">
      <formula1>"Recu,Avis de credit,Convention,Contrat,Facture,Bordereau,Notification,Autre"</formula1>
      <formula2>0</formula2>
    </dataValidation>
  </dataValidations>
  <pageMargins left="0.75" right="0.75" top="1" bottom="1" header="0.511811023622047" footer="0.511811023622047"/>
  <pageSetup paperSize="9" orientation="portrait" horizontalDpi="300" verticalDpi="300"/>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V168"/>
  <sheetViews>
    <sheetView showGridLines="0" topLeftCell="A4" zoomScaleNormal="100" workbookViewId="0">
      <selection activeCell="A119" sqref="A119"/>
    </sheetView>
  </sheetViews>
  <sheetFormatPr baseColWidth="10" defaultColWidth="8.7109375" defaultRowHeight="15" customHeight="1"/>
  <cols>
    <col min="1" max="1" width="13" customWidth="1"/>
    <col min="2" max="2" width="16" customWidth="1"/>
    <col min="3" max="3" width="15" customWidth="1"/>
    <col min="4" max="4" width="16" customWidth="1"/>
    <col min="5" max="5" width="15" customWidth="1"/>
    <col min="6" max="6" width="22" customWidth="1"/>
    <col min="7" max="7" width="16" customWidth="1"/>
    <col min="8" max="8" width="18" customWidth="1"/>
    <col min="9" max="9" width="15" customWidth="1"/>
    <col min="10" max="10" width="20" customWidth="1"/>
    <col min="11" max="11" width="15" customWidth="1"/>
    <col min="12" max="12" width="20" customWidth="1"/>
    <col min="13" max="13" width="14" customWidth="1"/>
    <col min="14" max="14" width="16" customWidth="1"/>
    <col min="15" max="17" width="15" customWidth="1"/>
    <col min="18" max="18" width="22" customWidth="1"/>
    <col min="19" max="19" width="16" customWidth="1"/>
    <col min="20" max="20" width="15" customWidth="1"/>
    <col min="21" max="21" width="20" customWidth="1"/>
    <col min="22" max="22" width="28" customWidth="1"/>
    <col min="23" max="23" width="30" customWidth="1"/>
    <col min="24" max="56" width="15" customWidth="1"/>
    <col min="57" max="57" width="22" customWidth="1"/>
    <col min="58" max="71" width="15" customWidth="1"/>
    <col min="72" max="72" width="24" customWidth="1"/>
    <col min="73" max="74" width="15" customWidth="1"/>
  </cols>
  <sheetData>
    <row r="1" spans="1:22" ht="25.5" customHeight="1">
      <c r="A1" s="292" t="s">
        <v>2237</v>
      </c>
      <c r="B1" s="262"/>
      <c r="C1" s="262"/>
      <c r="D1" s="262"/>
      <c r="E1" s="262"/>
      <c r="F1" s="262"/>
      <c r="G1" s="262"/>
      <c r="H1" s="262"/>
      <c r="I1" s="262"/>
      <c r="J1" s="262"/>
      <c r="K1" s="262"/>
      <c r="L1" s="262"/>
      <c r="M1" s="262"/>
      <c r="N1" s="262"/>
      <c r="O1" s="262"/>
      <c r="P1" s="262"/>
      <c r="Q1" s="124" t="s">
        <v>2177</v>
      </c>
      <c r="R1" s="124" t="s">
        <v>1761</v>
      </c>
      <c r="S1" s="124" t="s">
        <v>1855</v>
      </c>
      <c r="T1" s="124" t="s">
        <v>2071</v>
      </c>
      <c r="U1" s="124" t="s">
        <v>2238</v>
      </c>
      <c r="V1" s="124" t="s">
        <v>1526</v>
      </c>
    </row>
    <row r="2" spans="1:22" ht="19.5" customHeight="1">
      <c r="A2" s="294" t="s">
        <v>2239</v>
      </c>
      <c r="B2" s="262"/>
      <c r="C2" s="262"/>
      <c r="D2" s="262"/>
      <c r="E2" s="262"/>
      <c r="F2" s="262"/>
      <c r="G2" s="262"/>
      <c r="H2" s="262"/>
      <c r="I2" s="262"/>
      <c r="J2" s="262"/>
      <c r="K2" s="262"/>
      <c r="L2" s="262"/>
      <c r="M2" s="262"/>
      <c r="N2" s="262"/>
      <c r="O2" s="262"/>
      <c r="P2" s="262"/>
      <c r="Q2" s="262"/>
      <c r="R2" s="262"/>
      <c r="S2" s="262"/>
      <c r="T2" s="262"/>
      <c r="U2" s="262"/>
    </row>
    <row r="3" spans="1:22" ht="21.75" customHeight="1">
      <c r="A3" s="124" t="s">
        <v>1524</v>
      </c>
      <c r="C3" s="125">
        <f ca="1">TODAY()</f>
        <v>46305</v>
      </c>
    </row>
    <row r="4" spans="1:22" ht="15" customHeight="1">
      <c r="A4" s="297" t="s">
        <v>1857</v>
      </c>
      <c r="B4" s="262"/>
      <c r="C4" s="262"/>
      <c r="D4" s="262"/>
      <c r="E4" s="262"/>
      <c r="F4" s="262"/>
      <c r="G4" s="262"/>
      <c r="H4" s="262"/>
      <c r="I4" s="262"/>
      <c r="J4" s="262"/>
      <c r="K4" s="262"/>
      <c r="L4" s="262"/>
      <c r="M4" s="262"/>
      <c r="N4" s="262"/>
      <c r="O4" s="262"/>
      <c r="P4" s="262"/>
      <c r="Q4" s="262"/>
      <c r="R4" s="262"/>
      <c r="S4" s="262"/>
      <c r="T4" s="262"/>
      <c r="U4" s="262"/>
    </row>
    <row r="6" spans="1:22" ht="15" customHeight="1">
      <c r="A6" s="296" t="s">
        <v>2240</v>
      </c>
      <c r="B6" s="262"/>
      <c r="C6" s="262"/>
      <c r="D6" s="262"/>
      <c r="E6" s="262"/>
      <c r="F6" s="262"/>
      <c r="G6" s="262"/>
      <c r="H6" s="262"/>
      <c r="I6" s="262"/>
    </row>
    <row r="7" spans="1:22" ht="34.5" customHeight="1">
      <c r="A7" s="89" t="s">
        <v>2241</v>
      </c>
      <c r="B7" s="89" t="s">
        <v>2242</v>
      </c>
      <c r="C7" s="89" t="s">
        <v>2243</v>
      </c>
      <c r="D7" s="89" t="s">
        <v>2244</v>
      </c>
      <c r="E7" s="89" t="s">
        <v>2245</v>
      </c>
      <c r="F7" s="89" t="s">
        <v>2246</v>
      </c>
      <c r="G7" s="89" t="s">
        <v>2184</v>
      </c>
      <c r="H7" s="89" t="s">
        <v>2247</v>
      </c>
      <c r="I7" s="89" t="s">
        <v>2081</v>
      </c>
    </row>
    <row r="8" spans="1:22" ht="15" customHeight="1">
      <c r="A8" s="126">
        <f>IF($I$8="Total",SUM($AG$119:$AG$168),SUMIFS($AG$119:$AG$168,$BM$119:$BM$168,VALUE($I$8)))</f>
        <v>0</v>
      </c>
      <c r="B8" s="127">
        <f ca="1">IF($I$8="Total",SUMIFS($AG$119:$AG$168,$BO$119:$BO$168,INDEX(PARAMETRES!$B$53:$B$65,MONTH(TODAY()))),SUMIFS($AG$119:$AG$168,$BM$119:$BM$168,VALUE($I$8),$BO$119:$BO$168,INDEX(PARAMETRES!$B$53:$B$65,MONTH(TODAY()))))</f>
        <v>0</v>
      </c>
      <c r="C8" s="126">
        <f>IF($I$8="Total",SUM($AG$119:$AG$168),SUMIFS($AG$119:$AG$168,$BM$119:$BM$168,VALUE($I$8)))</f>
        <v>0</v>
      </c>
      <c r="D8" s="126">
        <f>IF($I$8="Total",SUMIFS($AU$119:$AU$168,$AS$119:$AS$168,"Oui"),SUMIFS($AU$119:$AU$168,$AS$119:$AS$168,"Oui",$BM$119:$BM$168,VALUE($I$8)))</f>
        <v>0</v>
      </c>
      <c r="E8" s="126">
        <f>IF($I$8="Total",SUMIFS($AY$119:$AY$168,$AW$119:$AW$168,"Oui"),SUMIFS($AY$119:$AY$168,$AW$119:$AW$168,"Oui",$BM$119:$BM$168,VALUE($I$8)))</f>
        <v>0</v>
      </c>
      <c r="F8" s="126">
        <f>IF($I$8="Total",SUMIFS($AZ$119:$AZ$168,$AZ$119:$AZ$168,"&gt;0"),SUMIFS($AZ$119:$AZ$168,$AZ$119:$AZ$168,"&gt;0",$BM$119:$BM$168,VALUE($I$8)))</f>
        <v>0</v>
      </c>
      <c r="G8" s="126">
        <f>IF($I$8="Total",COUNTIF($A$119:$A$168,"DEP*"),COUNTIFS($A$119:$A$168,"DEP*",$BM$119:$BM$168,VALUE($I$8)))</f>
        <v>0</v>
      </c>
      <c r="H8" s="128">
        <f>IF($I$8="Total",IF(BUDGET!$B$8=0,0,$A$8/BUDGET!$B$8),IFERROR($A$8/SUMIFS(BUDGET!$AK$28:$AK$67,BUDGET!$B$28:$B$67,VALUE($I$8)),0))</f>
        <v>0</v>
      </c>
      <c r="I8" s="89">
        <v>2026</v>
      </c>
    </row>
    <row r="10" spans="1:22" ht="15" customHeight="1">
      <c r="A10" s="296" t="s">
        <v>1644</v>
      </c>
      <c r="B10" s="262"/>
      <c r="C10" s="262"/>
      <c r="D10" s="262"/>
      <c r="E10" s="262"/>
      <c r="F10" s="262"/>
      <c r="G10" s="262"/>
      <c r="H10" s="262"/>
      <c r="I10" s="262"/>
      <c r="J10" s="262"/>
      <c r="K10" s="262"/>
      <c r="L10" s="262"/>
      <c r="M10" s="262"/>
      <c r="N10" s="262"/>
      <c r="O10" s="262"/>
      <c r="P10" s="262"/>
    </row>
    <row r="11" spans="1:22" ht="21.75" customHeight="1">
      <c r="A11" s="108" t="s">
        <v>2248</v>
      </c>
      <c r="B11" s="108" t="s">
        <v>2189</v>
      </c>
      <c r="D11" s="108" t="s">
        <v>2249</v>
      </c>
      <c r="E11" s="108" t="s">
        <v>2189</v>
      </c>
      <c r="G11" s="108" t="s">
        <v>2250</v>
      </c>
      <c r="H11" s="108" t="s">
        <v>2189</v>
      </c>
      <c r="J11" s="108" t="s">
        <v>2122</v>
      </c>
      <c r="K11" s="108" t="s">
        <v>2189</v>
      </c>
    </row>
    <row r="12" spans="1:22" ht="15" customHeight="1">
      <c r="A12" s="129" t="s">
        <v>924</v>
      </c>
      <c r="B12" s="130">
        <f t="shared" ref="B12:B21" si="0">COUNTIFS($AK$119:$AK$168,A12)</f>
        <v>0</v>
      </c>
      <c r="D12" s="129" t="s">
        <v>625</v>
      </c>
      <c r="E12" s="130">
        <f t="shared" ref="E12:E41" si="1">COUNTIFS($P$119:$P$168,D12)</f>
        <v>0</v>
      </c>
      <c r="G12" s="129" t="s">
        <v>661</v>
      </c>
      <c r="H12" s="130">
        <f t="shared" ref="H12:H18" si="2">COUNTIFS($Q$119:$Q$168,G12)</f>
        <v>0</v>
      </c>
      <c r="J12" s="129" t="s">
        <v>2251</v>
      </c>
      <c r="K12" s="130">
        <f t="shared" ref="K12:K20" si="3">COUNTIFS($BS$119:$BS$168,J12)</f>
        <v>0</v>
      </c>
    </row>
    <row r="13" spans="1:22" ht="15" customHeight="1">
      <c r="A13" s="129" t="s">
        <v>2252</v>
      </c>
      <c r="B13" s="130">
        <f t="shared" si="0"/>
        <v>0</v>
      </c>
      <c r="D13" s="129" t="s">
        <v>627</v>
      </c>
      <c r="E13" s="130">
        <f t="shared" si="1"/>
        <v>0</v>
      </c>
      <c r="G13" s="129" t="s">
        <v>872</v>
      </c>
      <c r="H13" s="130">
        <f t="shared" si="2"/>
        <v>0</v>
      </c>
      <c r="J13" s="129" t="s">
        <v>2253</v>
      </c>
      <c r="K13" s="130">
        <f t="shared" si="3"/>
        <v>0</v>
      </c>
    </row>
    <row r="14" spans="1:22" ht="15" customHeight="1">
      <c r="A14" s="129" t="s">
        <v>2254</v>
      </c>
      <c r="B14" s="130">
        <f t="shared" si="0"/>
        <v>0</v>
      </c>
      <c r="D14" s="129" t="s">
        <v>629</v>
      </c>
      <c r="E14" s="130">
        <f t="shared" si="1"/>
        <v>0</v>
      </c>
      <c r="G14" s="129" t="s">
        <v>2255</v>
      </c>
      <c r="H14" s="130">
        <f t="shared" si="2"/>
        <v>1</v>
      </c>
      <c r="J14" s="129" t="s">
        <v>2256</v>
      </c>
      <c r="K14" s="130">
        <f t="shared" si="3"/>
        <v>0</v>
      </c>
    </row>
    <row r="15" spans="1:22" ht="15" customHeight="1">
      <c r="A15" s="129" t="s">
        <v>240</v>
      </c>
      <c r="B15" s="130">
        <f t="shared" si="0"/>
        <v>0</v>
      </c>
      <c r="D15" s="129" t="s">
        <v>631</v>
      </c>
      <c r="E15" s="130">
        <f t="shared" si="1"/>
        <v>0</v>
      </c>
      <c r="G15" s="129" t="s">
        <v>1622</v>
      </c>
      <c r="H15" s="130">
        <f t="shared" si="2"/>
        <v>0</v>
      </c>
      <c r="J15" s="129" t="s">
        <v>2257</v>
      </c>
      <c r="K15" s="130">
        <f t="shared" si="3"/>
        <v>0</v>
      </c>
    </row>
    <row r="16" spans="1:22" ht="15" customHeight="1">
      <c r="A16" s="129" t="s">
        <v>1152</v>
      </c>
      <c r="B16" s="130">
        <f t="shared" si="0"/>
        <v>0</v>
      </c>
      <c r="D16" s="129" t="s">
        <v>633</v>
      </c>
      <c r="E16" s="130">
        <f t="shared" si="1"/>
        <v>0</v>
      </c>
      <c r="G16" s="129" t="s">
        <v>2258</v>
      </c>
      <c r="H16" s="130">
        <f t="shared" si="2"/>
        <v>0</v>
      </c>
      <c r="J16" s="129" t="s">
        <v>2259</v>
      </c>
      <c r="K16" s="130">
        <f t="shared" si="3"/>
        <v>0</v>
      </c>
    </row>
    <row r="17" spans="1:11" ht="15" customHeight="1">
      <c r="A17" s="129" t="s">
        <v>2260</v>
      </c>
      <c r="B17" s="130">
        <f t="shared" si="0"/>
        <v>0</v>
      </c>
      <c r="D17" s="129" t="s">
        <v>635</v>
      </c>
      <c r="E17" s="130">
        <f t="shared" si="1"/>
        <v>0</v>
      </c>
      <c r="G17" s="129" t="s">
        <v>2261</v>
      </c>
      <c r="H17" s="130">
        <f t="shared" si="2"/>
        <v>0</v>
      </c>
      <c r="J17" s="129" t="s">
        <v>2262</v>
      </c>
      <c r="K17" s="130">
        <f t="shared" si="3"/>
        <v>0</v>
      </c>
    </row>
    <row r="18" spans="1:11" ht="15" customHeight="1">
      <c r="A18" s="129" t="s">
        <v>2263</v>
      </c>
      <c r="B18" s="130">
        <f t="shared" si="0"/>
        <v>0</v>
      </c>
      <c r="D18" s="129" t="s">
        <v>637</v>
      </c>
      <c r="E18" s="130">
        <f t="shared" si="1"/>
        <v>0</v>
      </c>
      <c r="G18" s="129" t="s">
        <v>383</v>
      </c>
      <c r="H18" s="130">
        <f t="shared" si="2"/>
        <v>0</v>
      </c>
      <c r="J18" s="129" t="s">
        <v>2264</v>
      </c>
      <c r="K18" s="130">
        <f t="shared" si="3"/>
        <v>0</v>
      </c>
    </row>
    <row r="19" spans="1:11" ht="15" customHeight="1">
      <c r="A19" s="129" t="s">
        <v>2265</v>
      </c>
      <c r="B19" s="130">
        <f t="shared" si="0"/>
        <v>0</v>
      </c>
      <c r="D19" s="129" t="s">
        <v>385</v>
      </c>
      <c r="E19" s="130">
        <f t="shared" si="1"/>
        <v>0</v>
      </c>
      <c r="J19" s="129" t="s">
        <v>2266</v>
      </c>
      <c r="K19" s="130">
        <f t="shared" si="3"/>
        <v>0</v>
      </c>
    </row>
    <row r="20" spans="1:11" ht="15" customHeight="1">
      <c r="A20" s="129" t="s">
        <v>251</v>
      </c>
      <c r="B20" s="130">
        <f t="shared" si="0"/>
        <v>0</v>
      </c>
      <c r="D20" s="129" t="s">
        <v>439</v>
      </c>
      <c r="E20" s="130">
        <f t="shared" si="1"/>
        <v>0</v>
      </c>
      <c r="J20" s="129" t="s">
        <v>2086</v>
      </c>
      <c r="K20" s="130">
        <f t="shared" si="3"/>
        <v>0</v>
      </c>
    </row>
    <row r="21" spans="1:11" ht="15" customHeight="1">
      <c r="A21" s="129" t="s">
        <v>2267</v>
      </c>
      <c r="B21" s="130">
        <f t="shared" si="0"/>
        <v>0</v>
      </c>
      <c r="D21" s="129" t="s">
        <v>641</v>
      </c>
      <c r="E21" s="130">
        <f t="shared" si="1"/>
        <v>0</v>
      </c>
    </row>
    <row r="22" spans="1:11" ht="15" customHeight="1">
      <c r="D22" s="129" t="s">
        <v>643</v>
      </c>
      <c r="E22" s="130">
        <f t="shared" si="1"/>
        <v>0</v>
      </c>
    </row>
    <row r="23" spans="1:11" ht="15" customHeight="1">
      <c r="D23" s="129" t="s">
        <v>645</v>
      </c>
      <c r="E23" s="130">
        <f t="shared" si="1"/>
        <v>0</v>
      </c>
    </row>
    <row r="24" spans="1:11" ht="15" customHeight="1">
      <c r="D24" s="129" t="s">
        <v>647</v>
      </c>
      <c r="E24" s="130">
        <f t="shared" si="1"/>
        <v>0</v>
      </c>
    </row>
    <row r="25" spans="1:11" ht="15" customHeight="1">
      <c r="D25" s="129" t="s">
        <v>427</v>
      </c>
      <c r="E25" s="130">
        <f t="shared" si="1"/>
        <v>0</v>
      </c>
    </row>
    <row r="26" spans="1:11" ht="15" customHeight="1">
      <c r="D26" s="129" t="s">
        <v>429</v>
      </c>
      <c r="E26" s="130">
        <f t="shared" si="1"/>
        <v>0</v>
      </c>
    </row>
    <row r="27" spans="1:11" ht="15" customHeight="1">
      <c r="D27" s="129" t="s">
        <v>651</v>
      </c>
      <c r="E27" s="130">
        <f t="shared" si="1"/>
        <v>0</v>
      </c>
    </row>
    <row r="28" spans="1:11" ht="15" customHeight="1">
      <c r="D28" s="129" t="s">
        <v>653</v>
      </c>
      <c r="E28" s="130">
        <f t="shared" si="1"/>
        <v>0</v>
      </c>
    </row>
    <row r="29" spans="1:11" ht="15" customHeight="1">
      <c r="D29" s="129" t="s">
        <v>655</v>
      </c>
      <c r="E29" s="130">
        <f t="shared" si="1"/>
        <v>0</v>
      </c>
    </row>
    <row r="30" spans="1:11" ht="15" customHeight="1">
      <c r="D30" s="129" t="s">
        <v>657</v>
      </c>
      <c r="E30" s="130">
        <f t="shared" si="1"/>
        <v>0</v>
      </c>
    </row>
    <row r="31" spans="1:11" ht="15" customHeight="1">
      <c r="D31" s="129" t="s">
        <v>659</v>
      </c>
      <c r="E31" s="130">
        <f t="shared" si="1"/>
        <v>0</v>
      </c>
    </row>
    <row r="32" spans="1:11" ht="15" customHeight="1">
      <c r="D32" s="129" t="s">
        <v>661</v>
      </c>
      <c r="E32" s="130">
        <f t="shared" si="1"/>
        <v>0</v>
      </c>
    </row>
    <row r="33" spans="1:5" ht="15" customHeight="1">
      <c r="D33" s="129" t="s">
        <v>663</v>
      </c>
      <c r="E33" s="130">
        <f t="shared" si="1"/>
        <v>0</v>
      </c>
    </row>
    <row r="34" spans="1:5" ht="15" customHeight="1">
      <c r="D34" s="129" t="s">
        <v>665</v>
      </c>
      <c r="E34" s="130">
        <f t="shared" si="1"/>
        <v>0</v>
      </c>
    </row>
    <row r="35" spans="1:5" ht="15" customHeight="1">
      <c r="D35" s="129" t="s">
        <v>667</v>
      </c>
      <c r="E35" s="130">
        <f t="shared" si="1"/>
        <v>0</v>
      </c>
    </row>
    <row r="36" spans="1:5" ht="15" customHeight="1">
      <c r="D36" s="129" t="s">
        <v>437</v>
      </c>
      <c r="E36" s="130">
        <f t="shared" si="1"/>
        <v>0</v>
      </c>
    </row>
    <row r="37" spans="1:5" ht="15" customHeight="1">
      <c r="D37" s="129" t="s">
        <v>670</v>
      </c>
      <c r="E37" s="130">
        <f t="shared" si="1"/>
        <v>0</v>
      </c>
    </row>
    <row r="38" spans="1:5" ht="15" customHeight="1">
      <c r="D38" s="129" t="s">
        <v>672</v>
      </c>
      <c r="E38" s="130">
        <f t="shared" si="1"/>
        <v>0</v>
      </c>
    </row>
    <row r="39" spans="1:5" ht="15" customHeight="1">
      <c r="D39" s="129" t="s">
        <v>674</v>
      </c>
      <c r="E39" s="130">
        <f t="shared" si="1"/>
        <v>0</v>
      </c>
    </row>
    <row r="40" spans="1:5" ht="15" customHeight="1">
      <c r="D40" s="129" t="s">
        <v>676</v>
      </c>
      <c r="E40" s="130">
        <f t="shared" si="1"/>
        <v>0</v>
      </c>
    </row>
    <row r="41" spans="1:5" ht="15" customHeight="1">
      <c r="D41" s="129" t="s">
        <v>678</v>
      </c>
      <c r="E41" s="130">
        <f t="shared" si="1"/>
        <v>0</v>
      </c>
    </row>
    <row r="43" spans="1:5" ht="15" customHeight="1">
      <c r="A43" s="296" t="s">
        <v>2194</v>
      </c>
      <c r="B43" s="262"/>
      <c r="C43" s="262"/>
    </row>
    <row r="44" spans="1:5" ht="21.75" customHeight="1">
      <c r="A44" s="108" t="s">
        <v>174</v>
      </c>
      <c r="B44" s="108" t="s">
        <v>2268</v>
      </c>
      <c r="C44" s="108" t="s">
        <v>2184</v>
      </c>
    </row>
    <row r="45" spans="1:5" ht="15" customHeight="1">
      <c r="A45" s="131">
        <v>2024</v>
      </c>
      <c r="B45" s="132">
        <f t="shared" ref="B45:B54" si="4">SUMIFS($AG$119:$AG$168,$BM$119:$BM$168,$A45)</f>
        <v>0</v>
      </c>
      <c r="C45" s="130">
        <f t="shared" ref="C45:C54" si="5">COUNTIFS($BM$119:$BM$168,$A45)</f>
        <v>0</v>
      </c>
    </row>
    <row r="46" spans="1:5" ht="15" customHeight="1">
      <c r="A46" s="131">
        <v>2025</v>
      </c>
      <c r="B46" s="132">
        <f t="shared" si="4"/>
        <v>0</v>
      </c>
      <c r="C46" s="130">
        <f t="shared" si="5"/>
        <v>0</v>
      </c>
    </row>
    <row r="47" spans="1:5" ht="15" customHeight="1">
      <c r="A47" s="131">
        <v>2026</v>
      </c>
      <c r="B47" s="132">
        <f t="shared" si="4"/>
        <v>0</v>
      </c>
      <c r="C47" s="130">
        <f t="shared" si="5"/>
        <v>0</v>
      </c>
    </row>
    <row r="48" spans="1:5" ht="15" customHeight="1">
      <c r="A48" s="131">
        <v>2027</v>
      </c>
      <c r="B48" s="132">
        <f t="shared" si="4"/>
        <v>0</v>
      </c>
      <c r="C48" s="130">
        <f t="shared" si="5"/>
        <v>0</v>
      </c>
    </row>
    <row r="49" spans="1:6" ht="15" customHeight="1">
      <c r="A49" s="131">
        <v>2028</v>
      </c>
      <c r="B49" s="132">
        <f t="shared" si="4"/>
        <v>0</v>
      </c>
      <c r="C49" s="130">
        <f t="shared" si="5"/>
        <v>0</v>
      </c>
    </row>
    <row r="50" spans="1:6" ht="15" customHeight="1">
      <c r="A50" s="131">
        <v>2029</v>
      </c>
      <c r="B50" s="132">
        <f t="shared" si="4"/>
        <v>0</v>
      </c>
      <c r="C50" s="130">
        <f t="shared" si="5"/>
        <v>0</v>
      </c>
    </row>
    <row r="51" spans="1:6" ht="15" customHeight="1">
      <c r="A51" s="131">
        <v>2030</v>
      </c>
      <c r="B51" s="132">
        <f t="shared" si="4"/>
        <v>0</v>
      </c>
      <c r="C51" s="130">
        <f t="shared" si="5"/>
        <v>0</v>
      </c>
    </row>
    <row r="52" spans="1:6" ht="15" customHeight="1">
      <c r="A52" s="131">
        <v>2031</v>
      </c>
      <c r="B52" s="132">
        <f t="shared" si="4"/>
        <v>0</v>
      </c>
      <c r="C52" s="130">
        <f t="shared" si="5"/>
        <v>0</v>
      </c>
    </row>
    <row r="53" spans="1:6" ht="15" customHeight="1">
      <c r="A53" s="131">
        <v>2032</v>
      </c>
      <c r="B53" s="132">
        <f t="shared" si="4"/>
        <v>0</v>
      </c>
      <c r="C53" s="130">
        <f t="shared" si="5"/>
        <v>0</v>
      </c>
    </row>
    <row r="54" spans="1:6" ht="15" customHeight="1">
      <c r="A54" s="131">
        <v>2033</v>
      </c>
      <c r="B54" s="132">
        <f t="shared" si="4"/>
        <v>0</v>
      </c>
      <c r="C54" s="130">
        <f t="shared" si="5"/>
        <v>0</v>
      </c>
    </row>
    <row r="56" spans="1:6" ht="15" customHeight="1">
      <c r="A56" s="296" t="s">
        <v>2269</v>
      </c>
      <c r="B56" s="262"/>
      <c r="C56" s="262"/>
      <c r="D56" s="262"/>
      <c r="E56" s="262"/>
      <c r="F56" s="262"/>
    </row>
    <row r="57" spans="1:6" ht="21.75" customHeight="1">
      <c r="A57" s="108" t="s">
        <v>872</v>
      </c>
      <c r="B57" s="108" t="s">
        <v>2270</v>
      </c>
      <c r="C57" s="108" t="s">
        <v>2271</v>
      </c>
      <c r="D57" s="108" t="s">
        <v>2272</v>
      </c>
      <c r="E57" s="108" t="s">
        <v>1677</v>
      </c>
      <c r="F57" s="108" t="s">
        <v>2078</v>
      </c>
    </row>
    <row r="58" spans="1:6" ht="15" customHeight="1">
      <c r="A58" s="133" t="str">
        <f>IF(PROJETS!A56="","",PROJETS!A56)</f>
        <v>PROJ0001</v>
      </c>
      <c r="B58" s="132">
        <f>IF($A58="","",SUMIFS(BUDGET!$AK$28:$AK$67,BUDGET!$H$28:$H$67,$A58))</f>
        <v>0</v>
      </c>
      <c r="C58" s="132">
        <f t="shared" ref="C58:C77" si="6">IF($A58="","",SUMIFS($AU$119:$AU$168,$E$119:$E$168,$A58,$AS$119:$AS$168,"Oui"))</f>
        <v>0</v>
      </c>
      <c r="D58" s="132">
        <f t="shared" ref="D58:D77" si="7">IF($A58="","",SUMIFS($AG$119:$AG$168,$E$119:$E$168,$A58))</f>
        <v>29999</v>
      </c>
      <c r="E58" s="132">
        <f t="shared" ref="E58:E77" si="8">IF($A58="","",$B58-$D58)</f>
        <v>-29999</v>
      </c>
      <c r="F58" s="134">
        <f t="shared" ref="F58:F77" si="9">IF(OR($A58="",$B58=0),0,$D58/$B58)</f>
        <v>0</v>
      </c>
    </row>
    <row r="59" spans="1:6" ht="15" customHeight="1">
      <c r="A59" s="133" t="str">
        <f>IF(PROJETS!A57="","",PROJETS!A57)</f>
        <v/>
      </c>
      <c r="B59" s="132" t="str">
        <f>IF($A59="","",SUMIFS(BUDGET!$AK$28:$AK$67,BUDGET!$H$28:$H$67,$A59))</f>
        <v/>
      </c>
      <c r="C59" s="132" t="str">
        <f t="shared" si="6"/>
        <v/>
      </c>
      <c r="D59" s="132" t="str">
        <f t="shared" si="7"/>
        <v/>
      </c>
      <c r="E59" s="132" t="str">
        <f t="shared" si="8"/>
        <v/>
      </c>
      <c r="F59" s="134">
        <f t="shared" si="9"/>
        <v>0</v>
      </c>
    </row>
    <row r="60" spans="1:6" ht="15" customHeight="1">
      <c r="A60" s="133" t="str">
        <f>IF(PROJETS!A58="","",PROJETS!A58)</f>
        <v/>
      </c>
      <c r="B60" s="132" t="str">
        <f>IF($A60="","",SUMIFS(BUDGET!$AK$28:$AK$67,BUDGET!$H$28:$H$67,$A60))</f>
        <v/>
      </c>
      <c r="C60" s="132" t="str">
        <f t="shared" si="6"/>
        <v/>
      </c>
      <c r="D60" s="132" t="str">
        <f t="shared" si="7"/>
        <v/>
      </c>
      <c r="E60" s="132" t="str">
        <f t="shared" si="8"/>
        <v/>
      </c>
      <c r="F60" s="134">
        <f t="shared" si="9"/>
        <v>0</v>
      </c>
    </row>
    <row r="61" spans="1:6" ht="15" customHeight="1">
      <c r="A61" s="133" t="str">
        <f>IF(PROJETS!A59="","",PROJETS!A59)</f>
        <v/>
      </c>
      <c r="B61" s="132" t="str">
        <f>IF($A61="","",SUMIFS(BUDGET!$AK$28:$AK$67,BUDGET!$H$28:$H$67,$A61))</f>
        <v/>
      </c>
      <c r="C61" s="132" t="str">
        <f t="shared" si="6"/>
        <v/>
      </c>
      <c r="D61" s="132" t="str">
        <f t="shared" si="7"/>
        <v/>
      </c>
      <c r="E61" s="132" t="str">
        <f t="shared" si="8"/>
        <v/>
      </c>
      <c r="F61" s="134">
        <f t="shared" si="9"/>
        <v>0</v>
      </c>
    </row>
    <row r="62" spans="1:6" ht="15" customHeight="1">
      <c r="A62" s="133" t="str">
        <f>IF(PROJETS!A60="","",PROJETS!A60)</f>
        <v/>
      </c>
      <c r="B62" s="132" t="str">
        <f>IF($A62="","",SUMIFS(BUDGET!$AK$28:$AK$67,BUDGET!$H$28:$H$67,$A62))</f>
        <v/>
      </c>
      <c r="C62" s="132" t="str">
        <f t="shared" si="6"/>
        <v/>
      </c>
      <c r="D62" s="132" t="str">
        <f t="shared" si="7"/>
        <v/>
      </c>
      <c r="E62" s="132" t="str">
        <f t="shared" si="8"/>
        <v/>
      </c>
      <c r="F62" s="134">
        <f t="shared" si="9"/>
        <v>0</v>
      </c>
    </row>
    <row r="63" spans="1:6" ht="15" customHeight="1">
      <c r="A63" s="133" t="str">
        <f>IF(PROJETS!A61="","",PROJETS!A61)</f>
        <v/>
      </c>
      <c r="B63" s="132" t="str">
        <f>IF($A63="","",SUMIFS(BUDGET!$AK$28:$AK$67,BUDGET!$H$28:$H$67,$A63))</f>
        <v/>
      </c>
      <c r="C63" s="132" t="str">
        <f t="shared" si="6"/>
        <v/>
      </c>
      <c r="D63" s="132" t="str">
        <f t="shared" si="7"/>
        <v/>
      </c>
      <c r="E63" s="132" t="str">
        <f t="shared" si="8"/>
        <v/>
      </c>
      <c r="F63" s="134">
        <f t="shared" si="9"/>
        <v>0</v>
      </c>
    </row>
    <row r="64" spans="1:6" ht="15" customHeight="1">
      <c r="A64" s="133" t="str">
        <f>IF(PROJETS!A62="","",PROJETS!A62)</f>
        <v/>
      </c>
      <c r="B64" s="132" t="str">
        <f>IF($A64="","",SUMIFS(BUDGET!$AK$28:$AK$67,BUDGET!$H$28:$H$67,$A64))</f>
        <v/>
      </c>
      <c r="C64" s="132" t="str">
        <f t="shared" si="6"/>
        <v/>
      </c>
      <c r="D64" s="132" t="str">
        <f t="shared" si="7"/>
        <v/>
      </c>
      <c r="E64" s="132" t="str">
        <f t="shared" si="8"/>
        <v/>
      </c>
      <c r="F64" s="134">
        <f t="shared" si="9"/>
        <v>0</v>
      </c>
    </row>
    <row r="65" spans="1:6" ht="15" customHeight="1">
      <c r="A65" s="133" t="str">
        <f>IF(PROJETS!A63="","",PROJETS!A63)</f>
        <v/>
      </c>
      <c r="B65" s="132" t="str">
        <f>IF($A65="","",SUMIFS(BUDGET!$AK$28:$AK$67,BUDGET!$H$28:$H$67,$A65))</f>
        <v/>
      </c>
      <c r="C65" s="132" t="str">
        <f t="shared" si="6"/>
        <v/>
      </c>
      <c r="D65" s="132" t="str">
        <f t="shared" si="7"/>
        <v/>
      </c>
      <c r="E65" s="132" t="str">
        <f t="shared" si="8"/>
        <v/>
      </c>
      <c r="F65" s="134">
        <f t="shared" si="9"/>
        <v>0</v>
      </c>
    </row>
    <row r="66" spans="1:6" ht="15" customHeight="1">
      <c r="A66" s="133" t="str">
        <f>IF(PROJETS!A64="","",PROJETS!A64)</f>
        <v/>
      </c>
      <c r="B66" s="132" t="str">
        <f>IF($A66="","",SUMIFS(BUDGET!$AK$28:$AK$67,BUDGET!$H$28:$H$67,$A66))</f>
        <v/>
      </c>
      <c r="C66" s="132" t="str">
        <f t="shared" si="6"/>
        <v/>
      </c>
      <c r="D66" s="132" t="str">
        <f t="shared" si="7"/>
        <v/>
      </c>
      <c r="E66" s="132" t="str">
        <f t="shared" si="8"/>
        <v/>
      </c>
      <c r="F66" s="134">
        <f t="shared" si="9"/>
        <v>0</v>
      </c>
    </row>
    <row r="67" spans="1:6" ht="15" customHeight="1">
      <c r="A67" s="133" t="str">
        <f>IF(PROJETS!A65="","",PROJETS!A65)</f>
        <v/>
      </c>
      <c r="B67" s="132" t="str">
        <f>IF($A67="","",SUMIFS(BUDGET!$AK$28:$AK$67,BUDGET!$H$28:$H$67,$A67))</f>
        <v/>
      </c>
      <c r="C67" s="132" t="str">
        <f t="shared" si="6"/>
        <v/>
      </c>
      <c r="D67" s="132" t="str">
        <f t="shared" si="7"/>
        <v/>
      </c>
      <c r="E67" s="132" t="str">
        <f t="shared" si="8"/>
        <v/>
      </c>
      <c r="F67" s="134">
        <f t="shared" si="9"/>
        <v>0</v>
      </c>
    </row>
    <row r="68" spans="1:6" ht="15" customHeight="1">
      <c r="A68" s="133" t="str">
        <f>IF(PROJETS!A66="","",PROJETS!A66)</f>
        <v/>
      </c>
      <c r="B68" s="132" t="str">
        <f>IF($A68="","",SUMIFS(BUDGET!$AK$28:$AK$67,BUDGET!$H$28:$H$67,$A68))</f>
        <v/>
      </c>
      <c r="C68" s="132" t="str">
        <f t="shared" si="6"/>
        <v/>
      </c>
      <c r="D68" s="132" t="str">
        <f t="shared" si="7"/>
        <v/>
      </c>
      <c r="E68" s="132" t="str">
        <f t="shared" si="8"/>
        <v/>
      </c>
      <c r="F68" s="134">
        <f t="shared" si="9"/>
        <v>0</v>
      </c>
    </row>
    <row r="69" spans="1:6" ht="15" customHeight="1">
      <c r="A69" s="133" t="str">
        <f>IF(PROJETS!A67="","",PROJETS!A67)</f>
        <v/>
      </c>
      <c r="B69" s="132" t="str">
        <f>IF($A69="","",SUMIFS(BUDGET!$AK$28:$AK$67,BUDGET!$H$28:$H$67,$A69))</f>
        <v/>
      </c>
      <c r="C69" s="132" t="str">
        <f t="shared" si="6"/>
        <v/>
      </c>
      <c r="D69" s="132" t="str">
        <f t="shared" si="7"/>
        <v/>
      </c>
      <c r="E69" s="132" t="str">
        <f t="shared" si="8"/>
        <v/>
      </c>
      <c r="F69" s="134">
        <f t="shared" si="9"/>
        <v>0</v>
      </c>
    </row>
    <row r="70" spans="1:6" ht="15" customHeight="1">
      <c r="A70" s="133" t="str">
        <f>IF(PROJETS!A68="","",PROJETS!A68)</f>
        <v/>
      </c>
      <c r="B70" s="132" t="str">
        <f>IF($A70="","",SUMIFS(BUDGET!$AK$28:$AK$67,BUDGET!$H$28:$H$67,$A70))</f>
        <v/>
      </c>
      <c r="C70" s="132" t="str">
        <f t="shared" si="6"/>
        <v/>
      </c>
      <c r="D70" s="132" t="str">
        <f t="shared" si="7"/>
        <v/>
      </c>
      <c r="E70" s="132" t="str">
        <f t="shared" si="8"/>
        <v/>
      </c>
      <c r="F70" s="134">
        <f t="shared" si="9"/>
        <v>0</v>
      </c>
    </row>
    <row r="71" spans="1:6" ht="15" customHeight="1">
      <c r="A71" s="133" t="str">
        <f>IF(PROJETS!A69="","",PROJETS!A69)</f>
        <v/>
      </c>
      <c r="B71" s="132" t="str">
        <f>IF($A71="","",SUMIFS(BUDGET!$AK$28:$AK$67,BUDGET!$H$28:$H$67,$A71))</f>
        <v/>
      </c>
      <c r="C71" s="132" t="str">
        <f t="shared" si="6"/>
        <v/>
      </c>
      <c r="D71" s="132" t="str">
        <f t="shared" si="7"/>
        <v/>
      </c>
      <c r="E71" s="132" t="str">
        <f t="shared" si="8"/>
        <v/>
      </c>
      <c r="F71" s="134">
        <f t="shared" si="9"/>
        <v>0</v>
      </c>
    </row>
    <row r="72" spans="1:6" ht="15" customHeight="1">
      <c r="A72" s="133" t="str">
        <f>IF(PROJETS!A70="","",PROJETS!A70)</f>
        <v/>
      </c>
      <c r="B72" s="132" t="str">
        <f>IF($A72="","",SUMIFS(BUDGET!$AK$28:$AK$67,BUDGET!$H$28:$H$67,$A72))</f>
        <v/>
      </c>
      <c r="C72" s="132" t="str">
        <f t="shared" si="6"/>
        <v/>
      </c>
      <c r="D72" s="132" t="str">
        <f t="shared" si="7"/>
        <v/>
      </c>
      <c r="E72" s="132" t="str">
        <f t="shared" si="8"/>
        <v/>
      </c>
      <c r="F72" s="134">
        <f t="shared" si="9"/>
        <v>0</v>
      </c>
    </row>
    <row r="73" spans="1:6" ht="15" customHeight="1">
      <c r="A73" s="133" t="str">
        <f>IF(PROJETS!A71="","",PROJETS!A71)</f>
        <v/>
      </c>
      <c r="B73" s="132" t="str">
        <f>IF($A73="","",SUMIFS(BUDGET!$AK$28:$AK$67,BUDGET!$H$28:$H$67,$A73))</f>
        <v/>
      </c>
      <c r="C73" s="132" t="str">
        <f t="shared" si="6"/>
        <v/>
      </c>
      <c r="D73" s="132" t="str">
        <f t="shared" si="7"/>
        <v/>
      </c>
      <c r="E73" s="132" t="str">
        <f t="shared" si="8"/>
        <v/>
      </c>
      <c r="F73" s="134">
        <f t="shared" si="9"/>
        <v>0</v>
      </c>
    </row>
    <row r="74" spans="1:6" ht="15" customHeight="1">
      <c r="A74" s="133" t="str">
        <f>IF(PROJETS!A72="","",PROJETS!A72)</f>
        <v/>
      </c>
      <c r="B74" s="132" t="str">
        <f>IF($A74="","",SUMIFS(BUDGET!$AK$28:$AK$67,BUDGET!$H$28:$H$67,$A74))</f>
        <v/>
      </c>
      <c r="C74" s="132" t="str">
        <f t="shared" si="6"/>
        <v/>
      </c>
      <c r="D74" s="132" t="str">
        <f t="shared" si="7"/>
        <v/>
      </c>
      <c r="E74" s="132" t="str">
        <f t="shared" si="8"/>
        <v/>
      </c>
      <c r="F74" s="134">
        <f t="shared" si="9"/>
        <v>0</v>
      </c>
    </row>
    <row r="75" spans="1:6" ht="15" customHeight="1">
      <c r="A75" s="133" t="str">
        <f>IF(PROJETS!A73="","",PROJETS!A73)</f>
        <v/>
      </c>
      <c r="B75" s="132" t="str">
        <f>IF($A75="","",SUMIFS(BUDGET!$AK$28:$AK$67,BUDGET!$H$28:$H$67,$A75))</f>
        <v/>
      </c>
      <c r="C75" s="132" t="str">
        <f t="shared" si="6"/>
        <v/>
      </c>
      <c r="D75" s="132" t="str">
        <f t="shared" si="7"/>
        <v/>
      </c>
      <c r="E75" s="132" t="str">
        <f t="shared" si="8"/>
        <v/>
      </c>
      <c r="F75" s="134">
        <f t="shared" si="9"/>
        <v>0</v>
      </c>
    </row>
    <row r="76" spans="1:6" ht="15" customHeight="1">
      <c r="A76" s="133" t="str">
        <f>IF(PROJETS!A74="","",PROJETS!A74)</f>
        <v/>
      </c>
      <c r="B76" s="132" t="str">
        <f>IF($A76="","",SUMIFS(BUDGET!$AK$28:$AK$67,BUDGET!$H$28:$H$67,$A76))</f>
        <v/>
      </c>
      <c r="C76" s="132" t="str">
        <f t="shared" si="6"/>
        <v/>
      </c>
      <c r="D76" s="132" t="str">
        <f t="shared" si="7"/>
        <v/>
      </c>
      <c r="E76" s="132" t="str">
        <f t="shared" si="8"/>
        <v/>
      </c>
      <c r="F76" s="134">
        <f t="shared" si="9"/>
        <v>0</v>
      </c>
    </row>
    <row r="77" spans="1:6" ht="15" customHeight="1">
      <c r="A77" s="133" t="str">
        <f>IF(PROJETS!A75="","",PROJETS!A75)</f>
        <v/>
      </c>
      <c r="B77" s="132" t="str">
        <f>IF($A77="","",SUMIFS(BUDGET!$AK$28:$AK$67,BUDGET!$H$28:$H$67,$A77))</f>
        <v/>
      </c>
      <c r="C77" s="132" t="str">
        <f t="shared" si="6"/>
        <v/>
      </c>
      <c r="D77" s="132" t="str">
        <f t="shared" si="7"/>
        <v/>
      </c>
      <c r="E77" s="132" t="str">
        <f t="shared" si="8"/>
        <v/>
      </c>
      <c r="F77" s="134">
        <f t="shared" si="9"/>
        <v>0</v>
      </c>
    </row>
    <row r="79" spans="1:6" ht="15" customHeight="1">
      <c r="A79" s="296" t="s">
        <v>2273</v>
      </c>
      <c r="B79" s="262"/>
      <c r="C79" s="262"/>
      <c r="D79" s="262"/>
      <c r="E79" s="262"/>
    </row>
    <row r="80" spans="1:6" ht="21.75" customHeight="1">
      <c r="A80" s="108" t="s">
        <v>2104</v>
      </c>
      <c r="B80" s="108" t="s">
        <v>1674</v>
      </c>
      <c r="C80" s="108" t="s">
        <v>2268</v>
      </c>
      <c r="D80" s="108" t="s">
        <v>1677</v>
      </c>
      <c r="E80" s="108" t="s">
        <v>2184</v>
      </c>
    </row>
    <row r="81" spans="1:5" ht="15" customHeight="1">
      <c r="A81" s="133" t="str">
        <f>IF(DONATEURS!A56="","",DONATEURS!A56)</f>
        <v>DON00001</v>
      </c>
      <c r="B81" s="132">
        <f>IF($A81="","",SUMIFS(RECETTES!$AB$39:$AB$88,RECETTES!$D$39:$D$88,$A81))</f>
        <v>0</v>
      </c>
      <c r="C81" s="132">
        <f t="shared" ref="C81:C100" si="10">IF($A81="","",SUMIFS($AG$119:$AG$168,$K$119:$K$168,$A81))</f>
        <v>0</v>
      </c>
      <c r="D81" s="132">
        <f t="shared" ref="D81:D100" si="11">IF($A81="","",$B81-$C81)</f>
        <v>0</v>
      </c>
      <c r="E81" s="130">
        <f t="shared" ref="E81:E100" si="12">IF($A81="","",COUNTIFS($K$119:$K$168,$A81))</f>
        <v>0</v>
      </c>
    </row>
    <row r="82" spans="1:5" ht="15" customHeight="1">
      <c r="A82" s="133" t="str">
        <f>IF(DONATEURS!A57="","",DONATEURS!A57)</f>
        <v/>
      </c>
      <c r="B82" s="132" t="str">
        <f>IF($A82="","",SUMIFS(RECETTES!$AB$39:$AB$88,RECETTES!$D$39:$D$88,$A82))</f>
        <v/>
      </c>
      <c r="C82" s="132" t="str">
        <f t="shared" si="10"/>
        <v/>
      </c>
      <c r="D82" s="132" t="str">
        <f t="shared" si="11"/>
        <v/>
      </c>
      <c r="E82" s="130" t="str">
        <f t="shared" si="12"/>
        <v/>
      </c>
    </row>
    <row r="83" spans="1:5" ht="15" customHeight="1">
      <c r="A83" s="133" t="str">
        <f>IF(DONATEURS!A58="","",DONATEURS!A58)</f>
        <v/>
      </c>
      <c r="B83" s="132" t="str">
        <f>IF($A83="","",SUMIFS(RECETTES!$AB$39:$AB$88,RECETTES!$D$39:$D$88,$A83))</f>
        <v/>
      </c>
      <c r="C83" s="132" t="str">
        <f t="shared" si="10"/>
        <v/>
      </c>
      <c r="D83" s="132" t="str">
        <f t="shared" si="11"/>
        <v/>
      </c>
      <c r="E83" s="130" t="str">
        <f t="shared" si="12"/>
        <v/>
      </c>
    </row>
    <row r="84" spans="1:5" ht="15" customHeight="1">
      <c r="A84" s="133" t="str">
        <f>IF(DONATEURS!A59="","",DONATEURS!A59)</f>
        <v/>
      </c>
      <c r="B84" s="132" t="str">
        <f>IF($A84="","",SUMIFS(RECETTES!$AB$39:$AB$88,RECETTES!$D$39:$D$88,$A84))</f>
        <v/>
      </c>
      <c r="C84" s="132" t="str">
        <f t="shared" si="10"/>
        <v/>
      </c>
      <c r="D84" s="132" t="str">
        <f t="shared" si="11"/>
        <v/>
      </c>
      <c r="E84" s="130" t="str">
        <f t="shared" si="12"/>
        <v/>
      </c>
    </row>
    <row r="85" spans="1:5" ht="15" customHeight="1">
      <c r="A85" s="133" t="str">
        <f>IF(DONATEURS!A60="","",DONATEURS!A60)</f>
        <v/>
      </c>
      <c r="B85" s="132" t="str">
        <f>IF($A85="","",SUMIFS(RECETTES!$AB$39:$AB$88,RECETTES!$D$39:$D$88,$A85))</f>
        <v/>
      </c>
      <c r="C85" s="132" t="str">
        <f t="shared" si="10"/>
        <v/>
      </c>
      <c r="D85" s="132" t="str">
        <f t="shared" si="11"/>
        <v/>
      </c>
      <c r="E85" s="130" t="str">
        <f t="shared" si="12"/>
        <v/>
      </c>
    </row>
    <row r="86" spans="1:5" ht="15" customHeight="1">
      <c r="A86" s="133" t="str">
        <f>IF(DONATEURS!A61="","",DONATEURS!A61)</f>
        <v/>
      </c>
      <c r="B86" s="132" t="str">
        <f>IF($A86="","",SUMIFS(RECETTES!$AB$39:$AB$88,RECETTES!$D$39:$D$88,$A86))</f>
        <v/>
      </c>
      <c r="C86" s="132" t="str">
        <f t="shared" si="10"/>
        <v/>
      </c>
      <c r="D86" s="132" t="str">
        <f t="shared" si="11"/>
        <v/>
      </c>
      <c r="E86" s="130" t="str">
        <f t="shared" si="12"/>
        <v/>
      </c>
    </row>
    <row r="87" spans="1:5" ht="15" customHeight="1">
      <c r="A87" s="133" t="str">
        <f>IF(DONATEURS!A62="","",DONATEURS!A62)</f>
        <v/>
      </c>
      <c r="B87" s="132" t="str">
        <f>IF($A87="","",SUMIFS(RECETTES!$AB$39:$AB$88,RECETTES!$D$39:$D$88,$A87))</f>
        <v/>
      </c>
      <c r="C87" s="132" t="str">
        <f t="shared" si="10"/>
        <v/>
      </c>
      <c r="D87" s="132" t="str">
        <f t="shared" si="11"/>
        <v/>
      </c>
      <c r="E87" s="130" t="str">
        <f t="shared" si="12"/>
        <v/>
      </c>
    </row>
    <row r="88" spans="1:5" ht="15" customHeight="1">
      <c r="A88" s="133" t="str">
        <f>IF(DONATEURS!A63="","",DONATEURS!A63)</f>
        <v/>
      </c>
      <c r="B88" s="132" t="str">
        <f>IF($A88="","",SUMIFS(RECETTES!$AB$39:$AB$88,RECETTES!$D$39:$D$88,$A88))</f>
        <v/>
      </c>
      <c r="C88" s="132" t="str">
        <f t="shared" si="10"/>
        <v/>
      </c>
      <c r="D88" s="132" t="str">
        <f t="shared" si="11"/>
        <v/>
      </c>
      <c r="E88" s="130" t="str">
        <f t="shared" si="12"/>
        <v/>
      </c>
    </row>
    <row r="89" spans="1:5" ht="15" customHeight="1">
      <c r="A89" s="133" t="str">
        <f>IF(DONATEURS!A64="","",DONATEURS!A64)</f>
        <v/>
      </c>
      <c r="B89" s="132" t="str">
        <f>IF($A89="","",SUMIFS(RECETTES!$AB$39:$AB$88,RECETTES!$D$39:$D$88,$A89))</f>
        <v/>
      </c>
      <c r="C89" s="132" t="str">
        <f t="shared" si="10"/>
        <v/>
      </c>
      <c r="D89" s="132" t="str">
        <f t="shared" si="11"/>
        <v/>
      </c>
      <c r="E89" s="130" t="str">
        <f t="shared" si="12"/>
        <v/>
      </c>
    </row>
    <row r="90" spans="1:5" ht="15" customHeight="1">
      <c r="A90" s="133" t="str">
        <f>IF(DONATEURS!A65="","",DONATEURS!A65)</f>
        <v/>
      </c>
      <c r="B90" s="132" t="str">
        <f>IF($A90="","",SUMIFS(RECETTES!$AB$39:$AB$88,RECETTES!$D$39:$D$88,$A90))</f>
        <v/>
      </c>
      <c r="C90" s="132" t="str">
        <f t="shared" si="10"/>
        <v/>
      </c>
      <c r="D90" s="132" t="str">
        <f t="shared" si="11"/>
        <v/>
      </c>
      <c r="E90" s="130" t="str">
        <f t="shared" si="12"/>
        <v/>
      </c>
    </row>
    <row r="91" spans="1:5" ht="15" customHeight="1">
      <c r="A91" s="133" t="str">
        <f>IF(DONATEURS!A66="","",DONATEURS!A66)</f>
        <v/>
      </c>
      <c r="B91" s="132" t="str">
        <f>IF($A91="","",SUMIFS(RECETTES!$AB$39:$AB$88,RECETTES!$D$39:$D$88,$A91))</f>
        <v/>
      </c>
      <c r="C91" s="132" t="str">
        <f t="shared" si="10"/>
        <v/>
      </c>
      <c r="D91" s="132" t="str">
        <f t="shared" si="11"/>
        <v/>
      </c>
      <c r="E91" s="130" t="str">
        <f t="shared" si="12"/>
        <v/>
      </c>
    </row>
    <row r="92" spans="1:5" ht="15" customHeight="1">
      <c r="A92" s="133" t="str">
        <f>IF(DONATEURS!A67="","",DONATEURS!A67)</f>
        <v/>
      </c>
      <c r="B92" s="132" t="str">
        <f>IF($A92="","",SUMIFS(RECETTES!$AB$39:$AB$88,RECETTES!$D$39:$D$88,$A92))</f>
        <v/>
      </c>
      <c r="C92" s="132" t="str">
        <f t="shared" si="10"/>
        <v/>
      </c>
      <c r="D92" s="132" t="str">
        <f t="shared" si="11"/>
        <v/>
      </c>
      <c r="E92" s="130" t="str">
        <f t="shared" si="12"/>
        <v/>
      </c>
    </row>
    <row r="93" spans="1:5" ht="15" customHeight="1">
      <c r="A93" s="133" t="str">
        <f>IF(DONATEURS!A68="","",DONATEURS!A68)</f>
        <v/>
      </c>
      <c r="B93" s="132" t="str">
        <f>IF($A93="","",SUMIFS(RECETTES!$AB$39:$AB$88,RECETTES!$D$39:$D$88,$A93))</f>
        <v/>
      </c>
      <c r="C93" s="132" t="str">
        <f t="shared" si="10"/>
        <v/>
      </c>
      <c r="D93" s="132" t="str">
        <f t="shared" si="11"/>
        <v/>
      </c>
      <c r="E93" s="130" t="str">
        <f t="shared" si="12"/>
        <v/>
      </c>
    </row>
    <row r="94" spans="1:5" ht="15" customHeight="1">
      <c r="A94" s="133" t="str">
        <f>IF(DONATEURS!A69="","",DONATEURS!A69)</f>
        <v/>
      </c>
      <c r="B94" s="132" t="str">
        <f>IF($A94="","",SUMIFS(RECETTES!$AB$39:$AB$88,RECETTES!$D$39:$D$88,$A94))</f>
        <v/>
      </c>
      <c r="C94" s="132" t="str">
        <f t="shared" si="10"/>
        <v/>
      </c>
      <c r="D94" s="132" t="str">
        <f t="shared" si="11"/>
        <v/>
      </c>
      <c r="E94" s="130" t="str">
        <f t="shared" si="12"/>
        <v/>
      </c>
    </row>
    <row r="95" spans="1:5" ht="15" customHeight="1">
      <c r="A95" s="133" t="str">
        <f>IF(DONATEURS!A70="","",DONATEURS!A70)</f>
        <v/>
      </c>
      <c r="B95" s="132" t="str">
        <f>IF($A95="","",SUMIFS(RECETTES!$AB$39:$AB$88,RECETTES!$D$39:$D$88,$A95))</f>
        <v/>
      </c>
      <c r="C95" s="132" t="str">
        <f t="shared" si="10"/>
        <v/>
      </c>
      <c r="D95" s="132" t="str">
        <f t="shared" si="11"/>
        <v/>
      </c>
      <c r="E95" s="130" t="str">
        <f t="shared" si="12"/>
        <v/>
      </c>
    </row>
    <row r="96" spans="1:5" ht="15" customHeight="1">
      <c r="A96" s="133" t="str">
        <f>IF(DONATEURS!A71="","",DONATEURS!A71)</f>
        <v/>
      </c>
      <c r="B96" s="132" t="str">
        <f>IF($A96="","",SUMIFS(RECETTES!$AB$39:$AB$88,RECETTES!$D$39:$D$88,$A96))</f>
        <v/>
      </c>
      <c r="C96" s="132" t="str">
        <f t="shared" si="10"/>
        <v/>
      </c>
      <c r="D96" s="132" t="str">
        <f t="shared" si="11"/>
        <v/>
      </c>
      <c r="E96" s="130" t="str">
        <f t="shared" si="12"/>
        <v/>
      </c>
    </row>
    <row r="97" spans="1:5" ht="15" customHeight="1">
      <c r="A97" s="133" t="str">
        <f>IF(DONATEURS!A72="","",DONATEURS!A72)</f>
        <v/>
      </c>
      <c r="B97" s="132" t="str">
        <f>IF($A97="","",SUMIFS(RECETTES!$AB$39:$AB$88,RECETTES!$D$39:$D$88,$A97))</f>
        <v/>
      </c>
      <c r="C97" s="132" t="str">
        <f t="shared" si="10"/>
        <v/>
      </c>
      <c r="D97" s="132" t="str">
        <f t="shared" si="11"/>
        <v/>
      </c>
      <c r="E97" s="130" t="str">
        <f t="shared" si="12"/>
        <v/>
      </c>
    </row>
    <row r="98" spans="1:5" ht="15" customHeight="1">
      <c r="A98" s="133" t="str">
        <f>IF(DONATEURS!A73="","",DONATEURS!A73)</f>
        <v/>
      </c>
      <c r="B98" s="132" t="str">
        <f>IF($A98="","",SUMIFS(RECETTES!$AB$39:$AB$88,RECETTES!$D$39:$D$88,$A98))</f>
        <v/>
      </c>
      <c r="C98" s="132" t="str">
        <f t="shared" si="10"/>
        <v/>
      </c>
      <c r="D98" s="132" t="str">
        <f t="shared" si="11"/>
        <v/>
      </c>
      <c r="E98" s="130" t="str">
        <f t="shared" si="12"/>
        <v/>
      </c>
    </row>
    <row r="99" spans="1:5" ht="15" customHeight="1">
      <c r="A99" s="133" t="str">
        <f>IF(DONATEURS!A74="","",DONATEURS!A74)</f>
        <v/>
      </c>
      <c r="B99" s="132" t="str">
        <f>IF($A99="","",SUMIFS(RECETTES!$AB$39:$AB$88,RECETTES!$D$39:$D$88,$A99))</f>
        <v/>
      </c>
      <c r="C99" s="132" t="str">
        <f t="shared" si="10"/>
        <v/>
      </c>
      <c r="D99" s="132" t="str">
        <f t="shared" si="11"/>
        <v/>
      </c>
      <c r="E99" s="130" t="str">
        <f t="shared" si="12"/>
        <v/>
      </c>
    </row>
    <row r="100" spans="1:5" ht="15" customHeight="1">
      <c r="A100" s="133" t="str">
        <f>IF(DONATEURS!A75="","",DONATEURS!A75)</f>
        <v/>
      </c>
      <c r="B100" s="132" t="str">
        <f>IF($A100="","",SUMIFS(RECETTES!$AB$39:$AB$88,RECETTES!$D$39:$D$88,$A100))</f>
        <v/>
      </c>
      <c r="C100" s="132" t="str">
        <f t="shared" si="10"/>
        <v/>
      </c>
      <c r="D100" s="132" t="str">
        <f t="shared" si="11"/>
        <v/>
      </c>
      <c r="E100" s="130" t="str">
        <f t="shared" si="12"/>
        <v/>
      </c>
    </row>
    <row r="102" spans="1:5" ht="15" customHeight="1">
      <c r="A102" s="296" t="s">
        <v>2274</v>
      </c>
      <c r="B102" s="262"/>
      <c r="C102" s="262"/>
    </row>
    <row r="103" spans="1:5" ht="21.75" customHeight="1">
      <c r="A103" s="108" t="s">
        <v>8</v>
      </c>
      <c r="B103" s="108" t="s">
        <v>2268</v>
      </c>
      <c r="C103" s="108" t="s">
        <v>2184</v>
      </c>
    </row>
    <row r="104" spans="1:5" ht="15" customHeight="1">
      <c r="A104" s="129" t="s">
        <v>3</v>
      </c>
      <c r="B104" s="132">
        <f t="shared" ref="B104:B115" ca="1" si="13">SUMIFS($AG$119:$AG$168,$BO$119:$BO$168,$A104,$BM$119:$BM$168,IF($I$8="Total",YEAR(TODAY()),VALUE($I$8)))</f>
        <v>0</v>
      </c>
      <c r="C104" s="130">
        <f t="shared" ref="C104:C115" ca="1" si="14">COUNTIFS($BO$119:$BO$168,$A104,$BM$119:$BM$168,IF($I$8="Total",YEAR(TODAY()),VALUE($I$8)))</f>
        <v>0</v>
      </c>
    </row>
    <row r="105" spans="1:5" ht="15" customHeight="1">
      <c r="A105" s="129" t="s">
        <v>190</v>
      </c>
      <c r="B105" s="132">
        <f t="shared" ca="1" si="13"/>
        <v>0</v>
      </c>
      <c r="C105" s="130">
        <f t="shared" ca="1" si="14"/>
        <v>0</v>
      </c>
    </row>
    <row r="106" spans="1:5" ht="15" customHeight="1">
      <c r="A106" s="129" t="s">
        <v>16</v>
      </c>
      <c r="B106" s="132">
        <f t="shared" ca="1" si="13"/>
        <v>0</v>
      </c>
      <c r="C106" s="130">
        <f t="shared" ca="1" si="14"/>
        <v>0</v>
      </c>
    </row>
    <row r="107" spans="1:5" ht="15" customHeight="1">
      <c r="A107" s="129" t="s">
        <v>20</v>
      </c>
      <c r="B107" s="132">
        <f t="shared" ca="1" si="13"/>
        <v>0</v>
      </c>
      <c r="C107" s="130">
        <f t="shared" ca="1" si="14"/>
        <v>0</v>
      </c>
    </row>
    <row r="108" spans="1:5" ht="15" customHeight="1">
      <c r="A108" s="129" t="s">
        <v>25</v>
      </c>
      <c r="B108" s="132">
        <f t="shared" ca="1" si="13"/>
        <v>0</v>
      </c>
      <c r="C108" s="130">
        <f t="shared" ca="1" si="14"/>
        <v>0</v>
      </c>
    </row>
    <row r="109" spans="1:5" ht="15" customHeight="1">
      <c r="A109" s="129" t="s">
        <v>33</v>
      </c>
      <c r="B109" s="132">
        <f t="shared" ca="1" si="13"/>
        <v>0</v>
      </c>
      <c r="C109" s="130">
        <f t="shared" ca="1" si="14"/>
        <v>0</v>
      </c>
    </row>
    <row r="110" spans="1:5" ht="15" customHeight="1">
      <c r="A110" s="129" t="s">
        <v>35</v>
      </c>
      <c r="B110" s="132">
        <f t="shared" ca="1" si="13"/>
        <v>0</v>
      </c>
      <c r="C110" s="130">
        <f t="shared" ca="1" si="14"/>
        <v>0</v>
      </c>
    </row>
    <row r="111" spans="1:5" ht="15" customHeight="1">
      <c r="A111" s="129" t="s">
        <v>193</v>
      </c>
      <c r="B111" s="132">
        <f t="shared" ca="1" si="13"/>
        <v>0</v>
      </c>
      <c r="C111" s="130">
        <f t="shared" ca="1" si="14"/>
        <v>0</v>
      </c>
    </row>
    <row r="112" spans="1:5" ht="15" customHeight="1">
      <c r="A112" s="129" t="s">
        <v>39</v>
      </c>
      <c r="B112" s="132">
        <f t="shared" ca="1" si="13"/>
        <v>0</v>
      </c>
      <c r="C112" s="130">
        <f t="shared" ca="1" si="14"/>
        <v>0</v>
      </c>
    </row>
    <row r="113" spans="1:74" ht="15" customHeight="1">
      <c r="A113" s="129" t="s">
        <v>47</v>
      </c>
      <c r="B113" s="132">
        <f t="shared" ca="1" si="13"/>
        <v>0</v>
      </c>
      <c r="C113" s="130">
        <f t="shared" ca="1" si="14"/>
        <v>0</v>
      </c>
    </row>
    <row r="114" spans="1:74" ht="15" customHeight="1">
      <c r="A114" s="129" t="s">
        <v>49</v>
      </c>
      <c r="B114" s="132">
        <f t="shared" ca="1" si="13"/>
        <v>0</v>
      </c>
      <c r="C114" s="130">
        <f t="shared" ca="1" si="14"/>
        <v>0</v>
      </c>
    </row>
    <row r="115" spans="1:74" ht="15" customHeight="1">
      <c r="A115" s="129" t="s">
        <v>195</v>
      </c>
      <c r="B115" s="132">
        <f t="shared" ca="1" si="13"/>
        <v>0</v>
      </c>
      <c r="C115" s="130">
        <f t="shared" ca="1" si="14"/>
        <v>0</v>
      </c>
    </row>
    <row r="117" spans="1:74" ht="15" customHeight="1">
      <c r="A117" s="296" t="s">
        <v>2275</v>
      </c>
      <c r="B117" s="262"/>
      <c r="C117" s="262"/>
      <c r="D117" s="262"/>
      <c r="E117" s="262"/>
      <c r="F117" s="262"/>
      <c r="G117" s="262"/>
      <c r="H117" s="262"/>
      <c r="I117" s="262"/>
      <c r="J117" s="262"/>
      <c r="K117" s="262"/>
      <c r="L117" s="262"/>
      <c r="M117" s="262"/>
      <c r="N117" s="262"/>
      <c r="O117" s="262"/>
      <c r="P117" s="262"/>
      <c r="Q117" s="262"/>
      <c r="R117" s="262"/>
      <c r="S117" s="262"/>
      <c r="T117" s="262"/>
      <c r="U117" s="262"/>
      <c r="V117" s="262"/>
      <c r="W117" s="262"/>
      <c r="X117" s="262"/>
      <c r="Y117" s="262"/>
      <c r="Z117" s="262"/>
      <c r="AA117" s="262"/>
      <c r="AB117" s="262"/>
      <c r="AC117" s="262"/>
      <c r="AD117" s="262"/>
      <c r="AE117" s="262"/>
      <c r="AF117" s="262"/>
      <c r="AG117" s="262"/>
      <c r="AH117" s="262"/>
      <c r="AI117" s="262"/>
      <c r="AJ117" s="262"/>
      <c r="AK117" s="262"/>
      <c r="AL117" s="262"/>
      <c r="AM117" s="262"/>
      <c r="AN117" s="262"/>
      <c r="AO117" s="262"/>
      <c r="AP117" s="262"/>
      <c r="AQ117" s="262"/>
      <c r="AR117" s="262"/>
      <c r="AS117" s="262"/>
      <c r="AT117" s="262"/>
      <c r="AU117" s="262"/>
      <c r="AV117" s="262"/>
      <c r="AW117" s="262"/>
      <c r="AX117" s="262"/>
      <c r="AY117" s="262"/>
      <c r="AZ117" s="262"/>
      <c r="BA117" s="262"/>
      <c r="BB117" s="262"/>
      <c r="BC117" s="262"/>
      <c r="BD117" s="262"/>
      <c r="BE117" s="262"/>
      <c r="BF117" s="262"/>
      <c r="BG117" s="262"/>
      <c r="BH117" s="262"/>
      <c r="BI117" s="262"/>
      <c r="BJ117" s="262"/>
      <c r="BK117" s="262"/>
      <c r="BL117" s="262"/>
      <c r="BM117" s="262"/>
      <c r="BN117" s="262"/>
      <c r="BO117" s="262"/>
      <c r="BP117" s="262"/>
      <c r="BQ117" s="262"/>
      <c r="BR117" s="262"/>
      <c r="BS117" s="262"/>
      <c r="BT117" s="262"/>
      <c r="BU117" s="262"/>
      <c r="BV117" s="262"/>
    </row>
    <row r="118" spans="1:74" ht="33.75" customHeight="1">
      <c r="A118" s="108" t="s">
        <v>2276</v>
      </c>
      <c r="B118" s="108" t="s">
        <v>2200</v>
      </c>
      <c r="C118" s="108" t="s">
        <v>2277</v>
      </c>
      <c r="D118" s="108" t="s">
        <v>2106</v>
      </c>
      <c r="E118" s="108" t="s">
        <v>1648</v>
      </c>
      <c r="F118" s="108" t="s">
        <v>1586</v>
      </c>
      <c r="G118" s="108" t="s">
        <v>1400</v>
      </c>
      <c r="H118" s="108" t="s">
        <v>2199</v>
      </c>
      <c r="I118" s="108" t="s">
        <v>1774</v>
      </c>
      <c r="J118" s="108" t="s">
        <v>2103</v>
      </c>
      <c r="K118" s="108" t="s">
        <v>1987</v>
      </c>
      <c r="L118" s="108" t="s">
        <v>2104</v>
      </c>
      <c r="M118" s="108" t="s">
        <v>2105</v>
      </c>
      <c r="N118" s="108" t="s">
        <v>881</v>
      </c>
      <c r="O118" s="108" t="s">
        <v>1734</v>
      </c>
      <c r="P118" s="108" t="s">
        <v>2249</v>
      </c>
      <c r="Q118" s="108" t="s">
        <v>2250</v>
      </c>
      <c r="R118" s="108" t="s">
        <v>2278</v>
      </c>
      <c r="S118" s="108" t="s">
        <v>1547</v>
      </c>
      <c r="T118" s="108" t="s">
        <v>2279</v>
      </c>
      <c r="U118" s="108" t="s">
        <v>2280</v>
      </c>
      <c r="V118" s="108" t="s">
        <v>2281</v>
      </c>
      <c r="W118" s="108" t="s">
        <v>2282</v>
      </c>
      <c r="X118" s="108" t="s">
        <v>1630</v>
      </c>
      <c r="Y118" s="108" t="s">
        <v>842</v>
      </c>
      <c r="Z118" s="108" t="s">
        <v>2283</v>
      </c>
      <c r="AA118" s="108" t="s">
        <v>2284</v>
      </c>
      <c r="AB118" s="108" t="s">
        <v>2285</v>
      </c>
      <c r="AC118" s="108" t="s">
        <v>2286</v>
      </c>
      <c r="AD118" s="108" t="s">
        <v>2287</v>
      </c>
      <c r="AE118" s="108" t="s">
        <v>1439</v>
      </c>
      <c r="AF118" s="108" t="s">
        <v>2204</v>
      </c>
      <c r="AG118" s="108" t="s">
        <v>2288</v>
      </c>
      <c r="AH118" s="108" t="s">
        <v>2289</v>
      </c>
      <c r="AI118" s="108" t="s">
        <v>2290</v>
      </c>
      <c r="AJ118" s="108" t="s">
        <v>2291</v>
      </c>
      <c r="AK118" s="108" t="s">
        <v>2248</v>
      </c>
      <c r="AL118" s="108" t="s">
        <v>2292</v>
      </c>
      <c r="AM118" s="108" t="s">
        <v>2293</v>
      </c>
      <c r="AN118" s="108" t="s">
        <v>2294</v>
      </c>
      <c r="AO118" s="108" t="s">
        <v>2295</v>
      </c>
      <c r="AP118" s="108" t="s">
        <v>2296</v>
      </c>
      <c r="AQ118" s="108" t="s">
        <v>2297</v>
      </c>
      <c r="AR118" s="108" t="s">
        <v>2298</v>
      </c>
      <c r="AS118" s="108" t="s">
        <v>2299</v>
      </c>
      <c r="AT118" s="108" t="s">
        <v>2300</v>
      </c>
      <c r="AU118" s="108" t="s">
        <v>2076</v>
      </c>
      <c r="AV118" s="108" t="s">
        <v>2301</v>
      </c>
      <c r="AW118" s="108" t="s">
        <v>2302</v>
      </c>
      <c r="AX118" s="108" t="s">
        <v>2303</v>
      </c>
      <c r="AY118" s="108" t="s">
        <v>2304</v>
      </c>
      <c r="AZ118" s="108" t="s">
        <v>2305</v>
      </c>
      <c r="BA118" s="108" t="s">
        <v>2211</v>
      </c>
      <c r="BB118" s="108" t="s">
        <v>2212</v>
      </c>
      <c r="BC118" s="108" t="s">
        <v>2213</v>
      </c>
      <c r="BD118" s="108" t="s">
        <v>2306</v>
      </c>
      <c r="BE118" s="108" t="s">
        <v>2215</v>
      </c>
      <c r="BF118" s="108" t="s">
        <v>2307</v>
      </c>
      <c r="BG118" s="108" t="s">
        <v>2308</v>
      </c>
      <c r="BH118" s="108" t="s">
        <v>2226</v>
      </c>
      <c r="BI118" s="108" t="s">
        <v>2227</v>
      </c>
      <c r="BJ118" s="108" t="s">
        <v>2309</v>
      </c>
      <c r="BK118" s="108" t="s">
        <v>2310</v>
      </c>
      <c r="BL118" s="108" t="s">
        <v>2311</v>
      </c>
      <c r="BM118" s="108" t="s">
        <v>174</v>
      </c>
      <c r="BN118" s="108" t="s">
        <v>188</v>
      </c>
      <c r="BO118" s="108" t="s">
        <v>8</v>
      </c>
      <c r="BP118" s="108" t="s">
        <v>2312</v>
      </c>
      <c r="BQ118" s="108" t="s">
        <v>2313</v>
      </c>
      <c r="BR118" s="108" t="s">
        <v>2314</v>
      </c>
      <c r="BS118" s="108" t="s">
        <v>2122</v>
      </c>
      <c r="BT118" s="108" t="s">
        <v>1611</v>
      </c>
      <c r="BU118" s="108" t="s">
        <v>2125</v>
      </c>
      <c r="BV118" s="108" t="s">
        <v>2315</v>
      </c>
    </row>
    <row r="119" spans="1:74" ht="15" customHeight="1">
      <c r="A119" s="130" t="str">
        <f t="shared" ref="A119:A150" si="15">IF($V119="","","DEP"&amp;TEXT(ROW()-118,"00000"))</f>
        <v/>
      </c>
      <c r="B119" s="135" t="s">
        <v>2316</v>
      </c>
      <c r="C119" s="133">
        <f>IF($B119="","",IFERROR(INDEX(BUDGET!$T$28:$T$67,MATCH($B119,BUDGET!$A$28:$A$67,0)),""))</f>
        <v>0</v>
      </c>
      <c r="D119" s="133" t="str">
        <f>IF($B119="","",IFERROR(INDEX(BUDGET!$S$28:$S$67,MATCH($B119,BUDGET!$A$28:$A$67,0)),""))</f>
        <v>Maintenance</v>
      </c>
      <c r="E119" s="135" t="s">
        <v>1617</v>
      </c>
      <c r="F119" s="133" t="str">
        <f>IF($E119="","",IFERROR(INDEX(PROJETS!$C$56:$C$95,MATCH($E119,PROJETS!$A$56:$A$95,0)),""))</f>
        <v>Projet d'appui a l'insertion professionnelle des jeunes</v>
      </c>
      <c r="G119" s="133" t="str">
        <f>IF($E119="","",IFERROR(INDEX(PROJETS!$J$56:$J$95,MATCH($E119,PROJETS!$A$56:$A$95,0)),""))</f>
        <v>Education</v>
      </c>
      <c r="H119" s="133" t="str">
        <f>IF($E119="","",IFERROR(INDEX(PROJETS!$N$56:$N$95,MATCH($E119,PROJETS!$A$56:$A$95,0)),""))</f>
        <v>Jean MABIALA</v>
      </c>
      <c r="I119" s="135" t="s">
        <v>2127</v>
      </c>
      <c r="J119" s="133" t="str">
        <f>IF($I119="","",IFERROR(INDEX(ACTIVITES!$G$56:$G$105,MATCH($I119,ACTIVITES!$A$56:$A$105,0)),""))</f>
        <v>VBG</v>
      </c>
      <c r="K119" s="135"/>
      <c r="L119" s="133" t="str">
        <f>IF($K119="","",IFERROR(INDEX(DONATEURS!$B$56:$B$205,MATCH($K119,DONATEURS!$A$56:$A$205,0)),""))</f>
        <v/>
      </c>
      <c r="M119" s="136"/>
      <c r="N119" s="136"/>
      <c r="O119" s="135" t="s">
        <v>601</v>
      </c>
      <c r="P119" s="135"/>
      <c r="Q119" s="135" t="s">
        <v>2255</v>
      </c>
      <c r="R119" s="136"/>
      <c r="S119" s="135" t="s">
        <v>2317</v>
      </c>
      <c r="T119" s="135"/>
      <c r="U119" s="136"/>
      <c r="V119" s="136"/>
      <c r="W119" s="136"/>
      <c r="X119" s="137"/>
      <c r="Y119" s="135"/>
      <c r="Z119" s="137"/>
      <c r="AA119" s="132" t="str">
        <f t="shared" ref="AA119:AA150" si="16">IF(OR($X119="",$Z119=""),"",$X119*$Z119)</f>
        <v/>
      </c>
      <c r="AB119" s="137"/>
      <c r="AC119" s="137"/>
      <c r="AD119" s="132">
        <v>20000</v>
      </c>
      <c r="AE119" s="135" t="s">
        <v>1741</v>
      </c>
      <c r="AF119" s="138"/>
      <c r="AG119" s="132">
        <v>29999</v>
      </c>
      <c r="AH119" s="135" t="s">
        <v>680</v>
      </c>
      <c r="AI119" s="136"/>
      <c r="AJ119" s="136"/>
      <c r="AK119" s="135"/>
      <c r="AL119" s="136"/>
      <c r="AM119" s="136"/>
      <c r="AN119" s="139"/>
      <c r="AO119" s="136"/>
      <c r="AP119" s="136"/>
      <c r="AQ119" s="139"/>
      <c r="AR119" s="135"/>
      <c r="AS119" s="135"/>
      <c r="AT119" s="139"/>
      <c r="AU119" s="137"/>
      <c r="AV119" s="136"/>
      <c r="AW119" s="135"/>
      <c r="AX119" s="139"/>
      <c r="AY119" s="137"/>
      <c r="AZ119" s="132">
        <f t="shared" ref="AZ119:AZ150" si="17">IF($AG119="","",MAX($AG119-IF($AY119="",0,$AY119),0))</f>
        <v>29999</v>
      </c>
      <c r="BA119" s="135"/>
      <c r="BB119" s="136"/>
      <c r="BC119" s="139"/>
      <c r="BD119" s="135"/>
      <c r="BE119" s="136"/>
      <c r="BF119" s="130" t="str">
        <f t="shared" ref="BF119:BF150" si="18">IF($V119="","",IF($BD119="Oui","Oui","Non"))</f>
        <v/>
      </c>
      <c r="BG119" s="135"/>
      <c r="BH119" s="139"/>
      <c r="BI119" s="136"/>
      <c r="BJ119" s="136"/>
      <c r="BK119" s="136"/>
      <c r="BL119" s="139"/>
      <c r="BM119" s="130" t="str">
        <f t="shared" ref="BM119:BM150" si="19">IF($BL119="","",YEAR($BL119))</f>
        <v/>
      </c>
      <c r="BN119" s="140" t="str">
        <f>IF($BL119="","",INDEX(PARAMETRES!$C$53:$C$65,MONTH($BL119)))</f>
        <v/>
      </c>
      <c r="BO119" s="79" t="str">
        <f>IF($BL119="","",INDEX(PARAMETRES!$B$53:$B$65,MONTH($BL119)))</f>
        <v/>
      </c>
      <c r="BP119" s="132">
        <f>IFERROR(INDEX(BUDGET!$AL$28:$AL$67,MATCH($B119,BUDGET!$A$28:$A$67,0)),"")</f>
        <v>0</v>
      </c>
      <c r="BQ119" s="132">
        <f t="shared" ref="BQ119:BQ150" si="20">IF(OR($BP119="",$AG119=""),"",$BP119-$AG119)</f>
        <v>-29999</v>
      </c>
      <c r="BR119" s="134" t="str">
        <f>IFERROR($AG119/INDEX(BUDGET!$AK$28:$AK$67,MATCH($B119,BUDGET!$A$28:$A$67,0)),"")</f>
        <v/>
      </c>
      <c r="BS119" s="130" t="str">
        <f t="shared" ref="BS119:BS150" si="21">IF($V119="","",IF(AND($BP119&lt;&gt;"",$AG119&lt;&gt;"",$AG119&gt;$BP119),"Depassement budgetaire",IF(AND($AK119&lt;&gt;"Brouillon",$AK119&lt;&gt;"Annulee",$AK119&lt;&gt;"Rejetee",OR($BD119="Non",$BD119="")),"Pieces manquantes",IF(AND($AK119&lt;&gt;"Brouillon",OR($AR119="",$AR119="En attente")),"Depense non validee",IF(AND($AS119="Oui",$AW119&lt;&gt;"Oui"),"Engagement non paye",IF(AND($AW119="Non",$AK119="Validee"),"Paiement en attente",IF(AND($AY119&lt;&gt;"",$AZ119&gt;0),"Paiement partiel",IF(AND($AW119="Oui",$BG119&lt;&gt;"Oui"),"Rapprochement manquant",IF(AND($BF119="Oui",$AW119="Oui",$BG119="Oui"),"Dossier complet et paye","Normal")))))))))</f>
        <v/>
      </c>
      <c r="BT119" s="136"/>
      <c r="BU119" s="130">
        <f>IF($E119="","",COUNTIFS($E$119:E119,$E119))</f>
        <v>1</v>
      </c>
      <c r="BV119" s="130">
        <f>IF($D119="","",COUNTIFS($D$119:D119,$D119))</f>
        <v>1</v>
      </c>
    </row>
    <row r="120" spans="1:74" ht="15" customHeight="1">
      <c r="A120" s="130" t="str">
        <f t="shared" si="15"/>
        <v/>
      </c>
      <c r="B120" s="135"/>
      <c r="C120" s="133" t="str">
        <f>IF($B120="","",IFERROR(INDEX(BUDGET!$T$28:$T$67,MATCH($B120,BUDGET!$A$28:$A$67,0)),""))</f>
        <v/>
      </c>
      <c r="D120" s="133" t="str">
        <f>IF($B120="","",IFERROR(INDEX(BUDGET!$S$28:$S$67,MATCH($B120,BUDGET!$A$28:$A$67,0)),""))</f>
        <v/>
      </c>
      <c r="E120" s="135"/>
      <c r="F120" s="133" t="str">
        <f>IF($E120="","",IFERROR(INDEX(PROJETS!$C$56:$C$95,MATCH($E120,PROJETS!$A$56:$A$95,0)),""))</f>
        <v/>
      </c>
      <c r="G120" s="133" t="str">
        <f>IF($E120="","",IFERROR(INDEX(PROJETS!$J$56:$J$95,MATCH($E120,PROJETS!$A$56:$A$95,0)),""))</f>
        <v/>
      </c>
      <c r="H120" s="133" t="str">
        <f>IF($E120="","",IFERROR(INDEX(PROJETS!$N$56:$N$95,MATCH($E120,PROJETS!$A$56:$A$95,0)),""))</f>
        <v/>
      </c>
      <c r="I120" s="135"/>
      <c r="J120" s="133" t="str">
        <f>IF($I120="","",IFERROR(INDEX(ACTIVITES!$G$56:$G$105,MATCH($I120,ACTIVITES!$A$56:$A$105,0)),""))</f>
        <v/>
      </c>
      <c r="K120" s="135"/>
      <c r="L120" s="133" t="str">
        <f>IF($K120="","",IFERROR(INDEX(DONATEURS!$B$56:$B$205,MATCH($K120,DONATEURS!$A$56:$A$205,0)),""))</f>
        <v/>
      </c>
      <c r="M120" s="136"/>
      <c r="N120" s="136"/>
      <c r="O120" s="135"/>
      <c r="P120" s="135"/>
      <c r="Q120" s="135"/>
      <c r="R120" s="136"/>
      <c r="S120" s="135"/>
      <c r="T120" s="135"/>
      <c r="U120" s="136"/>
      <c r="V120" s="136"/>
      <c r="W120" s="136"/>
      <c r="X120" s="137"/>
      <c r="Y120" s="135"/>
      <c r="Z120" s="137"/>
      <c r="AA120" s="132" t="str">
        <f t="shared" si="16"/>
        <v/>
      </c>
      <c r="AB120" s="137"/>
      <c r="AC120" s="137"/>
      <c r="AD120" s="132" t="str">
        <f t="shared" ref="AD120:AD151" si="22">IF($AA120="","",$AA120+IF($AB120="",0,$AB120)+IF($AC120="",0,$AC120))</f>
        <v/>
      </c>
      <c r="AE120" s="135"/>
      <c r="AF120" s="138"/>
      <c r="AG120" s="132" t="str">
        <f t="shared" ref="AG120:AG151" si="23">IF($AD120="","",IF(OR($AE120="FCFA",$AE120=""),$AD120,$AD120*IF($AF120="",1,$AF120)))</f>
        <v/>
      </c>
      <c r="AH120" s="135"/>
      <c r="AI120" s="136"/>
      <c r="AJ120" s="136"/>
      <c r="AK120" s="135"/>
      <c r="AL120" s="136"/>
      <c r="AM120" s="136"/>
      <c r="AN120" s="139"/>
      <c r="AO120" s="136"/>
      <c r="AP120" s="136"/>
      <c r="AQ120" s="139"/>
      <c r="AR120" s="135"/>
      <c r="AS120" s="135"/>
      <c r="AT120" s="139"/>
      <c r="AU120" s="137"/>
      <c r="AV120" s="136"/>
      <c r="AW120" s="135"/>
      <c r="AX120" s="139"/>
      <c r="AY120" s="137"/>
      <c r="AZ120" s="132" t="str">
        <f t="shared" si="17"/>
        <v/>
      </c>
      <c r="BA120" s="135"/>
      <c r="BB120" s="136"/>
      <c r="BC120" s="139"/>
      <c r="BD120" s="135"/>
      <c r="BE120" s="136"/>
      <c r="BF120" s="130" t="str">
        <f t="shared" si="18"/>
        <v/>
      </c>
      <c r="BG120" s="135"/>
      <c r="BH120" s="139"/>
      <c r="BI120" s="136"/>
      <c r="BJ120" s="136"/>
      <c r="BK120" s="136"/>
      <c r="BL120" s="139"/>
      <c r="BM120" s="130" t="str">
        <f t="shared" si="19"/>
        <v/>
      </c>
      <c r="BN120" s="140" t="str">
        <f>IF($BL120="","",INDEX(PARAMETRES!$C$53:$C$65,MONTH($BL120)))</f>
        <v/>
      </c>
      <c r="BO120" s="79" t="str">
        <f>IF($BL120="","",INDEX(PARAMETRES!$B$53:$B$65,MONTH($BL120)))</f>
        <v/>
      </c>
      <c r="BP120" s="132" t="str">
        <f>IFERROR(INDEX(BUDGET!$AL$28:$AL$67,MATCH($B120,BUDGET!$A$28:$A$67,0)),"")</f>
        <v/>
      </c>
      <c r="BQ120" s="132" t="str">
        <f t="shared" si="20"/>
        <v/>
      </c>
      <c r="BR120" s="134" t="str">
        <f>IFERROR($AG120/INDEX(BUDGET!$AK$28:$AK$67,MATCH($B120,BUDGET!$A$28:$A$67,0)),"")</f>
        <v/>
      </c>
      <c r="BS120" s="130" t="str">
        <f t="shared" si="21"/>
        <v/>
      </c>
      <c r="BT120" s="136"/>
      <c r="BU120" s="130" t="str">
        <f>IF($E120="","",COUNTIFS($E$119:E120,$E120))</f>
        <v/>
      </c>
      <c r="BV120" s="130" t="str">
        <f>IF($D120="","",COUNTIFS($D$119:D120,$D120))</f>
        <v/>
      </c>
    </row>
    <row r="121" spans="1:74" ht="15" customHeight="1">
      <c r="A121" s="130" t="str">
        <f t="shared" si="15"/>
        <v/>
      </c>
      <c r="B121" s="135"/>
      <c r="C121" s="133" t="str">
        <f>IF($B121="","",IFERROR(INDEX(BUDGET!$T$28:$T$67,MATCH($B121,BUDGET!$A$28:$A$67,0)),""))</f>
        <v/>
      </c>
      <c r="D121" s="133" t="str">
        <f>IF($B121="","",IFERROR(INDEX(BUDGET!$S$28:$S$67,MATCH($B121,BUDGET!$A$28:$A$67,0)),""))</f>
        <v/>
      </c>
      <c r="E121" s="135"/>
      <c r="F121" s="133" t="str">
        <f>IF($E121="","",IFERROR(INDEX(PROJETS!$C$56:$C$95,MATCH($E121,PROJETS!$A$56:$A$95,0)),""))</f>
        <v/>
      </c>
      <c r="G121" s="133" t="str">
        <f>IF($E121="","",IFERROR(INDEX(PROJETS!$J$56:$J$95,MATCH($E121,PROJETS!$A$56:$A$95,0)),""))</f>
        <v/>
      </c>
      <c r="H121" s="133" t="str">
        <f>IF($E121="","",IFERROR(INDEX(PROJETS!$N$56:$N$95,MATCH($E121,PROJETS!$A$56:$A$95,0)),""))</f>
        <v/>
      </c>
      <c r="I121" s="135"/>
      <c r="J121" s="133" t="str">
        <f>IF($I121="","",IFERROR(INDEX(ACTIVITES!$G$56:$G$105,MATCH($I121,ACTIVITES!$A$56:$A$105,0)),""))</f>
        <v/>
      </c>
      <c r="K121" s="135"/>
      <c r="L121" s="133" t="str">
        <f>IF($K121="","",IFERROR(INDEX(DONATEURS!$B$56:$B$205,MATCH($K121,DONATEURS!$A$56:$A$205,0)),""))</f>
        <v/>
      </c>
      <c r="M121" s="136"/>
      <c r="N121" s="136"/>
      <c r="O121" s="135"/>
      <c r="P121" s="135"/>
      <c r="Q121" s="135"/>
      <c r="R121" s="136"/>
      <c r="S121" s="135"/>
      <c r="T121" s="135"/>
      <c r="U121" s="136"/>
      <c r="V121" s="136"/>
      <c r="W121" s="136"/>
      <c r="X121" s="137"/>
      <c r="Y121" s="135"/>
      <c r="Z121" s="137"/>
      <c r="AA121" s="132" t="str">
        <f t="shared" si="16"/>
        <v/>
      </c>
      <c r="AB121" s="137"/>
      <c r="AC121" s="137"/>
      <c r="AD121" s="132" t="str">
        <f t="shared" si="22"/>
        <v/>
      </c>
      <c r="AE121" s="135"/>
      <c r="AF121" s="138"/>
      <c r="AG121" s="132" t="str">
        <f t="shared" si="23"/>
        <v/>
      </c>
      <c r="AH121" s="135"/>
      <c r="AI121" s="136"/>
      <c r="AJ121" s="136"/>
      <c r="AK121" s="135"/>
      <c r="AL121" s="136"/>
      <c r="AM121" s="136"/>
      <c r="AN121" s="139"/>
      <c r="AO121" s="136"/>
      <c r="AP121" s="136"/>
      <c r="AQ121" s="139"/>
      <c r="AR121" s="135"/>
      <c r="AS121" s="135"/>
      <c r="AT121" s="139"/>
      <c r="AU121" s="137"/>
      <c r="AV121" s="136"/>
      <c r="AW121" s="135"/>
      <c r="AX121" s="139"/>
      <c r="AY121" s="137"/>
      <c r="AZ121" s="132" t="str">
        <f t="shared" si="17"/>
        <v/>
      </c>
      <c r="BA121" s="135"/>
      <c r="BB121" s="136"/>
      <c r="BC121" s="139"/>
      <c r="BD121" s="135"/>
      <c r="BE121" s="136"/>
      <c r="BF121" s="130" t="str">
        <f t="shared" si="18"/>
        <v/>
      </c>
      <c r="BG121" s="135"/>
      <c r="BH121" s="139"/>
      <c r="BI121" s="136"/>
      <c r="BJ121" s="136"/>
      <c r="BK121" s="136"/>
      <c r="BL121" s="139"/>
      <c r="BM121" s="130" t="str">
        <f t="shared" si="19"/>
        <v/>
      </c>
      <c r="BN121" s="140" t="str">
        <f>IF($BL121="","",INDEX(PARAMETRES!$C$53:$C$65,MONTH($BL121)))</f>
        <v/>
      </c>
      <c r="BO121" s="79" t="str">
        <f>IF($BL121="","",INDEX(PARAMETRES!$B$53:$B$65,MONTH($BL121)))</f>
        <v/>
      </c>
      <c r="BP121" s="132" t="str">
        <f>IFERROR(INDEX(BUDGET!$AL$28:$AL$67,MATCH($B121,BUDGET!$A$28:$A$67,0)),"")</f>
        <v/>
      </c>
      <c r="BQ121" s="132" t="str">
        <f t="shared" si="20"/>
        <v/>
      </c>
      <c r="BR121" s="134" t="str">
        <f>IFERROR($AG121/INDEX(BUDGET!$AK$28:$AK$67,MATCH($B121,BUDGET!$A$28:$A$67,0)),"")</f>
        <v/>
      </c>
      <c r="BS121" s="130" t="str">
        <f t="shared" si="21"/>
        <v/>
      </c>
      <c r="BT121" s="136"/>
      <c r="BU121" s="130" t="str">
        <f>IF($E121="","",COUNTIFS($E$119:E121,$E121))</f>
        <v/>
      </c>
      <c r="BV121" s="130" t="str">
        <f>IF($D121="","",COUNTIFS($D$119:D121,$D121))</f>
        <v/>
      </c>
    </row>
    <row r="122" spans="1:74" ht="15" customHeight="1">
      <c r="A122" s="130" t="str">
        <f t="shared" si="15"/>
        <v/>
      </c>
      <c r="B122" s="135"/>
      <c r="C122" s="133" t="str">
        <f>IF($B122="","",IFERROR(INDEX(BUDGET!$T$28:$T$67,MATCH($B122,BUDGET!$A$28:$A$67,0)),""))</f>
        <v/>
      </c>
      <c r="D122" s="133" t="str">
        <f>IF($B122="","",IFERROR(INDEX(BUDGET!$S$28:$S$67,MATCH($B122,BUDGET!$A$28:$A$67,0)),""))</f>
        <v/>
      </c>
      <c r="E122" s="135"/>
      <c r="F122" s="133" t="str">
        <f>IF($E122="","",IFERROR(INDEX(PROJETS!$C$56:$C$95,MATCH($E122,PROJETS!$A$56:$A$95,0)),""))</f>
        <v/>
      </c>
      <c r="G122" s="133" t="str">
        <f>IF($E122="","",IFERROR(INDEX(PROJETS!$J$56:$J$95,MATCH($E122,PROJETS!$A$56:$A$95,0)),""))</f>
        <v/>
      </c>
      <c r="H122" s="133" t="str">
        <f>IF($E122="","",IFERROR(INDEX(PROJETS!$N$56:$N$95,MATCH($E122,PROJETS!$A$56:$A$95,0)),""))</f>
        <v/>
      </c>
      <c r="I122" s="135"/>
      <c r="J122" s="133" t="str">
        <f>IF($I122="","",IFERROR(INDEX(ACTIVITES!$G$56:$G$105,MATCH($I122,ACTIVITES!$A$56:$A$105,0)),""))</f>
        <v/>
      </c>
      <c r="K122" s="135"/>
      <c r="L122" s="133" t="str">
        <f>IF($K122="","",IFERROR(INDEX(DONATEURS!$B$56:$B$205,MATCH($K122,DONATEURS!$A$56:$A$205,0)),""))</f>
        <v/>
      </c>
      <c r="M122" s="136"/>
      <c r="N122" s="136"/>
      <c r="O122" s="135"/>
      <c r="P122" s="135"/>
      <c r="Q122" s="135"/>
      <c r="R122" s="136"/>
      <c r="S122" s="135"/>
      <c r="T122" s="135"/>
      <c r="U122" s="136"/>
      <c r="V122" s="136"/>
      <c r="W122" s="136"/>
      <c r="X122" s="137"/>
      <c r="Y122" s="135"/>
      <c r="Z122" s="137"/>
      <c r="AA122" s="132" t="str">
        <f t="shared" si="16"/>
        <v/>
      </c>
      <c r="AB122" s="137"/>
      <c r="AC122" s="137"/>
      <c r="AD122" s="132" t="str">
        <f t="shared" si="22"/>
        <v/>
      </c>
      <c r="AE122" s="135"/>
      <c r="AF122" s="138"/>
      <c r="AG122" s="132" t="str">
        <f t="shared" si="23"/>
        <v/>
      </c>
      <c r="AH122" s="135"/>
      <c r="AI122" s="136"/>
      <c r="AJ122" s="136"/>
      <c r="AK122" s="135"/>
      <c r="AL122" s="136"/>
      <c r="AM122" s="136"/>
      <c r="AN122" s="139"/>
      <c r="AO122" s="136"/>
      <c r="AP122" s="136"/>
      <c r="AQ122" s="139"/>
      <c r="AR122" s="135"/>
      <c r="AS122" s="135"/>
      <c r="AT122" s="139"/>
      <c r="AU122" s="137"/>
      <c r="AV122" s="136"/>
      <c r="AW122" s="135"/>
      <c r="AX122" s="139"/>
      <c r="AY122" s="137"/>
      <c r="AZ122" s="132" t="str">
        <f t="shared" si="17"/>
        <v/>
      </c>
      <c r="BA122" s="135"/>
      <c r="BB122" s="136"/>
      <c r="BC122" s="139"/>
      <c r="BD122" s="135"/>
      <c r="BE122" s="136"/>
      <c r="BF122" s="130" t="str">
        <f t="shared" si="18"/>
        <v/>
      </c>
      <c r="BG122" s="135"/>
      <c r="BH122" s="139"/>
      <c r="BI122" s="136"/>
      <c r="BJ122" s="136"/>
      <c r="BK122" s="136"/>
      <c r="BL122" s="139"/>
      <c r="BM122" s="130" t="str">
        <f t="shared" si="19"/>
        <v/>
      </c>
      <c r="BN122" s="140" t="str">
        <f>IF($BL122="","",INDEX(PARAMETRES!$C$53:$C$65,MONTH($BL122)))</f>
        <v/>
      </c>
      <c r="BO122" s="79" t="str">
        <f>IF($BL122="","",INDEX(PARAMETRES!$B$53:$B$65,MONTH($BL122)))</f>
        <v/>
      </c>
      <c r="BP122" s="132" t="str">
        <f>IFERROR(INDEX(BUDGET!$AL$28:$AL$67,MATCH($B122,BUDGET!$A$28:$A$67,0)),"")</f>
        <v/>
      </c>
      <c r="BQ122" s="132" t="str">
        <f t="shared" si="20"/>
        <v/>
      </c>
      <c r="BR122" s="134" t="str">
        <f>IFERROR($AG122/INDEX(BUDGET!$AK$28:$AK$67,MATCH($B122,BUDGET!$A$28:$A$67,0)),"")</f>
        <v/>
      </c>
      <c r="BS122" s="130" t="str">
        <f t="shared" si="21"/>
        <v/>
      </c>
      <c r="BT122" s="136"/>
      <c r="BU122" s="130" t="str">
        <f>IF($E122="","",COUNTIFS($E$119:E122,$E122))</f>
        <v/>
      </c>
      <c r="BV122" s="130" t="str">
        <f>IF($D122="","",COUNTIFS($D$119:D122,$D122))</f>
        <v/>
      </c>
    </row>
    <row r="123" spans="1:74" ht="15" customHeight="1">
      <c r="A123" s="130" t="str">
        <f t="shared" si="15"/>
        <v/>
      </c>
      <c r="B123" s="135"/>
      <c r="C123" s="133" t="str">
        <f>IF($B123="","",IFERROR(INDEX(BUDGET!$T$28:$T$67,MATCH($B123,BUDGET!$A$28:$A$67,0)),""))</f>
        <v/>
      </c>
      <c r="D123" s="133" t="str">
        <f>IF($B123="","",IFERROR(INDEX(BUDGET!$S$28:$S$67,MATCH($B123,BUDGET!$A$28:$A$67,0)),""))</f>
        <v/>
      </c>
      <c r="E123" s="135"/>
      <c r="F123" s="133" t="str">
        <f>IF($E123="","",IFERROR(INDEX(PROJETS!$C$56:$C$95,MATCH($E123,PROJETS!$A$56:$A$95,0)),""))</f>
        <v/>
      </c>
      <c r="G123" s="133" t="str">
        <f>IF($E123="","",IFERROR(INDEX(PROJETS!$J$56:$J$95,MATCH($E123,PROJETS!$A$56:$A$95,0)),""))</f>
        <v/>
      </c>
      <c r="H123" s="133" t="str">
        <f>IF($E123="","",IFERROR(INDEX(PROJETS!$N$56:$N$95,MATCH($E123,PROJETS!$A$56:$A$95,0)),""))</f>
        <v/>
      </c>
      <c r="I123" s="135"/>
      <c r="J123" s="133" t="str">
        <f>IF($I123="","",IFERROR(INDEX(ACTIVITES!$G$56:$G$105,MATCH($I123,ACTIVITES!$A$56:$A$105,0)),""))</f>
        <v/>
      </c>
      <c r="K123" s="135"/>
      <c r="L123" s="133" t="str">
        <f>IF($K123="","",IFERROR(INDEX(DONATEURS!$B$56:$B$205,MATCH($K123,DONATEURS!$A$56:$A$205,0)),""))</f>
        <v/>
      </c>
      <c r="M123" s="136"/>
      <c r="N123" s="136"/>
      <c r="O123" s="135"/>
      <c r="P123" s="135"/>
      <c r="Q123" s="135"/>
      <c r="R123" s="136"/>
      <c r="S123" s="135"/>
      <c r="T123" s="135"/>
      <c r="U123" s="136"/>
      <c r="V123" s="136"/>
      <c r="W123" s="136"/>
      <c r="X123" s="137"/>
      <c r="Y123" s="135"/>
      <c r="Z123" s="137"/>
      <c r="AA123" s="132" t="str">
        <f t="shared" si="16"/>
        <v/>
      </c>
      <c r="AB123" s="137"/>
      <c r="AC123" s="137"/>
      <c r="AD123" s="132" t="str">
        <f t="shared" si="22"/>
        <v/>
      </c>
      <c r="AE123" s="135"/>
      <c r="AF123" s="138"/>
      <c r="AG123" s="132" t="str">
        <f t="shared" si="23"/>
        <v/>
      </c>
      <c r="AH123" s="135"/>
      <c r="AI123" s="136"/>
      <c r="AJ123" s="136"/>
      <c r="AK123" s="135"/>
      <c r="AL123" s="136"/>
      <c r="AM123" s="136"/>
      <c r="AN123" s="139"/>
      <c r="AO123" s="136"/>
      <c r="AP123" s="136"/>
      <c r="AQ123" s="139"/>
      <c r="AR123" s="135"/>
      <c r="AS123" s="135"/>
      <c r="AT123" s="139"/>
      <c r="AU123" s="137"/>
      <c r="AV123" s="136"/>
      <c r="AW123" s="135"/>
      <c r="AX123" s="139"/>
      <c r="AY123" s="137"/>
      <c r="AZ123" s="132" t="str">
        <f t="shared" si="17"/>
        <v/>
      </c>
      <c r="BA123" s="135"/>
      <c r="BB123" s="136"/>
      <c r="BC123" s="139"/>
      <c r="BD123" s="135"/>
      <c r="BE123" s="136"/>
      <c r="BF123" s="130" t="str">
        <f t="shared" si="18"/>
        <v/>
      </c>
      <c r="BG123" s="135"/>
      <c r="BH123" s="139"/>
      <c r="BI123" s="136"/>
      <c r="BJ123" s="136"/>
      <c r="BK123" s="136"/>
      <c r="BL123" s="139"/>
      <c r="BM123" s="130" t="str">
        <f t="shared" si="19"/>
        <v/>
      </c>
      <c r="BN123" s="140" t="str">
        <f>IF($BL123="","",INDEX(PARAMETRES!$C$53:$C$65,MONTH($BL123)))</f>
        <v/>
      </c>
      <c r="BO123" s="79" t="str">
        <f>IF($BL123="","",INDEX(PARAMETRES!$B$53:$B$65,MONTH($BL123)))</f>
        <v/>
      </c>
      <c r="BP123" s="132" t="str">
        <f>IFERROR(INDEX(BUDGET!$AL$28:$AL$67,MATCH($B123,BUDGET!$A$28:$A$67,0)),"")</f>
        <v/>
      </c>
      <c r="BQ123" s="132" t="str">
        <f t="shared" si="20"/>
        <v/>
      </c>
      <c r="BR123" s="134" t="str">
        <f>IFERROR($AG123/INDEX(BUDGET!$AK$28:$AK$67,MATCH($B123,BUDGET!$A$28:$A$67,0)),"")</f>
        <v/>
      </c>
      <c r="BS123" s="130" t="str">
        <f t="shared" si="21"/>
        <v/>
      </c>
      <c r="BT123" s="136"/>
      <c r="BU123" s="130" t="str">
        <f>IF($E123="","",COUNTIFS($E$119:E123,$E123))</f>
        <v/>
      </c>
      <c r="BV123" s="130" t="str">
        <f>IF($D123="","",COUNTIFS($D$119:D123,$D123))</f>
        <v/>
      </c>
    </row>
    <row r="124" spans="1:74" ht="15" customHeight="1">
      <c r="A124" s="130" t="str">
        <f t="shared" si="15"/>
        <v/>
      </c>
      <c r="B124" s="135"/>
      <c r="C124" s="133" t="str">
        <f>IF($B124="","",IFERROR(INDEX(BUDGET!$T$28:$T$67,MATCH($B124,BUDGET!$A$28:$A$67,0)),""))</f>
        <v/>
      </c>
      <c r="D124" s="133" t="str">
        <f>IF($B124="","",IFERROR(INDEX(BUDGET!$S$28:$S$67,MATCH($B124,BUDGET!$A$28:$A$67,0)),""))</f>
        <v/>
      </c>
      <c r="E124" s="135"/>
      <c r="F124" s="133" t="str">
        <f>IF($E124="","",IFERROR(INDEX(PROJETS!$C$56:$C$95,MATCH($E124,PROJETS!$A$56:$A$95,0)),""))</f>
        <v/>
      </c>
      <c r="G124" s="133" t="str">
        <f>IF($E124="","",IFERROR(INDEX(PROJETS!$J$56:$J$95,MATCH($E124,PROJETS!$A$56:$A$95,0)),""))</f>
        <v/>
      </c>
      <c r="H124" s="133" t="str">
        <f>IF($E124="","",IFERROR(INDEX(PROJETS!$N$56:$N$95,MATCH($E124,PROJETS!$A$56:$A$95,0)),""))</f>
        <v/>
      </c>
      <c r="I124" s="135"/>
      <c r="J124" s="133" t="str">
        <f>IF($I124="","",IFERROR(INDEX(ACTIVITES!$G$56:$G$105,MATCH($I124,ACTIVITES!$A$56:$A$105,0)),""))</f>
        <v/>
      </c>
      <c r="K124" s="135"/>
      <c r="L124" s="133" t="str">
        <f>IF($K124="","",IFERROR(INDEX(DONATEURS!$B$56:$B$205,MATCH($K124,DONATEURS!$A$56:$A$205,0)),""))</f>
        <v/>
      </c>
      <c r="M124" s="136"/>
      <c r="N124" s="136"/>
      <c r="O124" s="135"/>
      <c r="P124" s="135"/>
      <c r="Q124" s="135"/>
      <c r="R124" s="136"/>
      <c r="S124" s="135"/>
      <c r="T124" s="135"/>
      <c r="U124" s="136"/>
      <c r="V124" s="136"/>
      <c r="W124" s="136"/>
      <c r="X124" s="137"/>
      <c r="Y124" s="135"/>
      <c r="Z124" s="137"/>
      <c r="AA124" s="132" t="str">
        <f t="shared" si="16"/>
        <v/>
      </c>
      <c r="AB124" s="137"/>
      <c r="AC124" s="137"/>
      <c r="AD124" s="132" t="str">
        <f t="shared" si="22"/>
        <v/>
      </c>
      <c r="AE124" s="135"/>
      <c r="AF124" s="138"/>
      <c r="AG124" s="132" t="str">
        <f t="shared" si="23"/>
        <v/>
      </c>
      <c r="AH124" s="135"/>
      <c r="AI124" s="136"/>
      <c r="AJ124" s="136"/>
      <c r="AK124" s="135"/>
      <c r="AL124" s="136"/>
      <c r="AM124" s="136"/>
      <c r="AN124" s="139"/>
      <c r="AO124" s="136"/>
      <c r="AP124" s="136"/>
      <c r="AQ124" s="139"/>
      <c r="AR124" s="135"/>
      <c r="AS124" s="135"/>
      <c r="AT124" s="139"/>
      <c r="AU124" s="137"/>
      <c r="AV124" s="136"/>
      <c r="AW124" s="135"/>
      <c r="AX124" s="139"/>
      <c r="AY124" s="137"/>
      <c r="AZ124" s="132" t="str">
        <f t="shared" si="17"/>
        <v/>
      </c>
      <c r="BA124" s="135"/>
      <c r="BB124" s="136"/>
      <c r="BC124" s="139"/>
      <c r="BD124" s="135"/>
      <c r="BE124" s="136"/>
      <c r="BF124" s="130" t="str">
        <f t="shared" si="18"/>
        <v/>
      </c>
      <c r="BG124" s="135"/>
      <c r="BH124" s="139"/>
      <c r="BI124" s="136"/>
      <c r="BJ124" s="136"/>
      <c r="BK124" s="136"/>
      <c r="BL124" s="139"/>
      <c r="BM124" s="130" t="str">
        <f t="shared" si="19"/>
        <v/>
      </c>
      <c r="BN124" s="140" t="str">
        <f>IF($BL124="","",INDEX(PARAMETRES!$C$53:$C$65,MONTH($BL124)))</f>
        <v/>
      </c>
      <c r="BO124" s="79" t="str">
        <f>IF($BL124="","",INDEX(PARAMETRES!$B$53:$B$65,MONTH($BL124)))</f>
        <v/>
      </c>
      <c r="BP124" s="132" t="str">
        <f>IFERROR(INDEX(BUDGET!$AL$28:$AL$67,MATCH($B124,BUDGET!$A$28:$A$67,0)),"")</f>
        <v/>
      </c>
      <c r="BQ124" s="132" t="str">
        <f t="shared" si="20"/>
        <v/>
      </c>
      <c r="BR124" s="134" t="str">
        <f>IFERROR($AG124/INDEX(BUDGET!$AK$28:$AK$67,MATCH($B124,BUDGET!$A$28:$A$67,0)),"")</f>
        <v/>
      </c>
      <c r="BS124" s="130" t="str">
        <f t="shared" si="21"/>
        <v/>
      </c>
      <c r="BT124" s="136"/>
      <c r="BU124" s="130" t="str">
        <f>IF($E124="","",COUNTIFS($E$119:E124,$E124))</f>
        <v/>
      </c>
      <c r="BV124" s="130" t="str">
        <f>IF($D124="","",COUNTIFS($D$119:D124,$D124))</f>
        <v/>
      </c>
    </row>
    <row r="125" spans="1:74" ht="15" customHeight="1">
      <c r="A125" s="130" t="str">
        <f t="shared" si="15"/>
        <v/>
      </c>
      <c r="B125" s="135"/>
      <c r="C125" s="133" t="str">
        <f>IF($B125="","",IFERROR(INDEX(BUDGET!$T$28:$T$67,MATCH($B125,BUDGET!$A$28:$A$67,0)),""))</f>
        <v/>
      </c>
      <c r="D125" s="133" t="str">
        <f>IF($B125="","",IFERROR(INDEX(BUDGET!$S$28:$S$67,MATCH($B125,BUDGET!$A$28:$A$67,0)),""))</f>
        <v/>
      </c>
      <c r="E125" s="135"/>
      <c r="F125" s="133" t="str">
        <f>IF($E125="","",IFERROR(INDEX(PROJETS!$C$56:$C$95,MATCH($E125,PROJETS!$A$56:$A$95,0)),""))</f>
        <v/>
      </c>
      <c r="G125" s="133" t="str">
        <f>IF($E125="","",IFERROR(INDEX(PROJETS!$J$56:$J$95,MATCH($E125,PROJETS!$A$56:$A$95,0)),""))</f>
        <v/>
      </c>
      <c r="H125" s="133" t="str">
        <f>IF($E125="","",IFERROR(INDEX(PROJETS!$N$56:$N$95,MATCH($E125,PROJETS!$A$56:$A$95,0)),""))</f>
        <v/>
      </c>
      <c r="I125" s="135"/>
      <c r="J125" s="133" t="str">
        <f>IF($I125="","",IFERROR(INDEX(ACTIVITES!$G$56:$G$105,MATCH($I125,ACTIVITES!$A$56:$A$105,0)),""))</f>
        <v/>
      </c>
      <c r="K125" s="135"/>
      <c r="L125" s="133" t="str">
        <f>IF($K125="","",IFERROR(INDEX(DONATEURS!$B$56:$B$205,MATCH($K125,DONATEURS!$A$56:$A$205,0)),""))</f>
        <v/>
      </c>
      <c r="M125" s="136"/>
      <c r="N125" s="136"/>
      <c r="O125" s="135"/>
      <c r="P125" s="135"/>
      <c r="Q125" s="135"/>
      <c r="R125" s="136"/>
      <c r="S125" s="135"/>
      <c r="T125" s="135"/>
      <c r="U125" s="136"/>
      <c r="V125" s="136"/>
      <c r="W125" s="136"/>
      <c r="X125" s="137"/>
      <c r="Y125" s="135"/>
      <c r="Z125" s="137"/>
      <c r="AA125" s="132" t="str">
        <f t="shared" si="16"/>
        <v/>
      </c>
      <c r="AB125" s="137"/>
      <c r="AC125" s="137"/>
      <c r="AD125" s="132" t="str">
        <f t="shared" si="22"/>
        <v/>
      </c>
      <c r="AE125" s="135"/>
      <c r="AF125" s="138"/>
      <c r="AG125" s="132" t="str">
        <f t="shared" si="23"/>
        <v/>
      </c>
      <c r="AH125" s="135"/>
      <c r="AI125" s="136"/>
      <c r="AJ125" s="136"/>
      <c r="AK125" s="135"/>
      <c r="AL125" s="136"/>
      <c r="AM125" s="136"/>
      <c r="AN125" s="139"/>
      <c r="AO125" s="136"/>
      <c r="AP125" s="136"/>
      <c r="AQ125" s="139"/>
      <c r="AR125" s="135"/>
      <c r="AS125" s="135"/>
      <c r="AT125" s="139"/>
      <c r="AU125" s="137"/>
      <c r="AV125" s="136"/>
      <c r="AW125" s="135"/>
      <c r="AX125" s="139"/>
      <c r="AY125" s="137"/>
      <c r="AZ125" s="132" t="str">
        <f t="shared" si="17"/>
        <v/>
      </c>
      <c r="BA125" s="135"/>
      <c r="BB125" s="136"/>
      <c r="BC125" s="139"/>
      <c r="BD125" s="135"/>
      <c r="BE125" s="136"/>
      <c r="BF125" s="130" t="str">
        <f t="shared" si="18"/>
        <v/>
      </c>
      <c r="BG125" s="135"/>
      <c r="BH125" s="139"/>
      <c r="BI125" s="136"/>
      <c r="BJ125" s="136"/>
      <c r="BK125" s="136"/>
      <c r="BL125" s="139"/>
      <c r="BM125" s="130" t="str">
        <f t="shared" si="19"/>
        <v/>
      </c>
      <c r="BN125" s="140" t="str">
        <f>IF($BL125="","",INDEX(PARAMETRES!$C$53:$C$65,MONTH($BL125)))</f>
        <v/>
      </c>
      <c r="BO125" s="79" t="str">
        <f>IF($BL125="","",INDEX(PARAMETRES!$B$53:$B$65,MONTH($BL125)))</f>
        <v/>
      </c>
      <c r="BP125" s="132" t="str">
        <f>IFERROR(INDEX(BUDGET!$AL$28:$AL$67,MATCH($B125,BUDGET!$A$28:$A$67,0)),"")</f>
        <v/>
      </c>
      <c r="BQ125" s="132" t="str">
        <f t="shared" si="20"/>
        <v/>
      </c>
      <c r="BR125" s="134" t="str">
        <f>IFERROR($AG125/INDEX(BUDGET!$AK$28:$AK$67,MATCH($B125,BUDGET!$A$28:$A$67,0)),"")</f>
        <v/>
      </c>
      <c r="BS125" s="130" t="str">
        <f t="shared" si="21"/>
        <v/>
      </c>
      <c r="BT125" s="136"/>
      <c r="BU125" s="130" t="str">
        <f>IF($E125="","",COUNTIFS($E$119:E125,$E125))</f>
        <v/>
      </c>
      <c r="BV125" s="130" t="str">
        <f>IF($D125="","",COUNTIFS($D$119:D125,$D125))</f>
        <v/>
      </c>
    </row>
    <row r="126" spans="1:74" ht="15" customHeight="1">
      <c r="A126" s="130" t="str">
        <f t="shared" si="15"/>
        <v/>
      </c>
      <c r="B126" s="135"/>
      <c r="C126" s="133" t="str">
        <f>IF($B126="","",IFERROR(INDEX(BUDGET!$T$28:$T$67,MATCH($B126,BUDGET!$A$28:$A$67,0)),""))</f>
        <v/>
      </c>
      <c r="D126" s="133" t="str">
        <f>IF($B126="","",IFERROR(INDEX(BUDGET!$S$28:$S$67,MATCH($B126,BUDGET!$A$28:$A$67,0)),""))</f>
        <v/>
      </c>
      <c r="E126" s="135"/>
      <c r="F126" s="133" t="str">
        <f>IF($E126="","",IFERROR(INDEX(PROJETS!$C$56:$C$95,MATCH($E126,PROJETS!$A$56:$A$95,0)),""))</f>
        <v/>
      </c>
      <c r="G126" s="133" t="str">
        <f>IF($E126="","",IFERROR(INDEX(PROJETS!$J$56:$J$95,MATCH($E126,PROJETS!$A$56:$A$95,0)),""))</f>
        <v/>
      </c>
      <c r="H126" s="133" t="str">
        <f>IF($E126="","",IFERROR(INDEX(PROJETS!$N$56:$N$95,MATCH($E126,PROJETS!$A$56:$A$95,0)),""))</f>
        <v/>
      </c>
      <c r="I126" s="135"/>
      <c r="J126" s="133" t="str">
        <f>IF($I126="","",IFERROR(INDEX(ACTIVITES!$G$56:$G$105,MATCH($I126,ACTIVITES!$A$56:$A$105,0)),""))</f>
        <v/>
      </c>
      <c r="K126" s="135"/>
      <c r="L126" s="133" t="str">
        <f>IF($K126="","",IFERROR(INDEX(DONATEURS!$B$56:$B$205,MATCH($K126,DONATEURS!$A$56:$A$205,0)),""))</f>
        <v/>
      </c>
      <c r="M126" s="136"/>
      <c r="N126" s="136"/>
      <c r="O126" s="135"/>
      <c r="P126" s="135"/>
      <c r="Q126" s="135"/>
      <c r="R126" s="136"/>
      <c r="S126" s="135"/>
      <c r="T126" s="135"/>
      <c r="U126" s="136"/>
      <c r="V126" s="136"/>
      <c r="W126" s="136"/>
      <c r="X126" s="137"/>
      <c r="Y126" s="135"/>
      <c r="Z126" s="137"/>
      <c r="AA126" s="132" t="str">
        <f t="shared" si="16"/>
        <v/>
      </c>
      <c r="AB126" s="137"/>
      <c r="AC126" s="137"/>
      <c r="AD126" s="132" t="str">
        <f t="shared" si="22"/>
        <v/>
      </c>
      <c r="AE126" s="135"/>
      <c r="AF126" s="138"/>
      <c r="AG126" s="132" t="str">
        <f t="shared" si="23"/>
        <v/>
      </c>
      <c r="AH126" s="135"/>
      <c r="AI126" s="136"/>
      <c r="AJ126" s="136"/>
      <c r="AK126" s="135"/>
      <c r="AL126" s="136"/>
      <c r="AM126" s="136"/>
      <c r="AN126" s="139"/>
      <c r="AO126" s="136"/>
      <c r="AP126" s="136"/>
      <c r="AQ126" s="139"/>
      <c r="AR126" s="135"/>
      <c r="AS126" s="135"/>
      <c r="AT126" s="139"/>
      <c r="AU126" s="137"/>
      <c r="AV126" s="136"/>
      <c r="AW126" s="135"/>
      <c r="AX126" s="139"/>
      <c r="AY126" s="137"/>
      <c r="AZ126" s="132" t="str">
        <f t="shared" si="17"/>
        <v/>
      </c>
      <c r="BA126" s="135"/>
      <c r="BB126" s="136"/>
      <c r="BC126" s="139"/>
      <c r="BD126" s="135"/>
      <c r="BE126" s="136"/>
      <c r="BF126" s="130" t="str">
        <f t="shared" si="18"/>
        <v/>
      </c>
      <c r="BG126" s="135"/>
      <c r="BH126" s="139"/>
      <c r="BI126" s="136"/>
      <c r="BJ126" s="136"/>
      <c r="BK126" s="136"/>
      <c r="BL126" s="139"/>
      <c r="BM126" s="130" t="str">
        <f t="shared" si="19"/>
        <v/>
      </c>
      <c r="BN126" s="140" t="str">
        <f>IF($BL126="","",INDEX(PARAMETRES!$C$53:$C$65,MONTH($BL126)))</f>
        <v/>
      </c>
      <c r="BO126" s="79" t="str">
        <f>IF($BL126="","",INDEX(PARAMETRES!$B$53:$B$65,MONTH($BL126)))</f>
        <v/>
      </c>
      <c r="BP126" s="132" t="str">
        <f>IFERROR(INDEX(BUDGET!$AL$28:$AL$67,MATCH($B126,BUDGET!$A$28:$A$67,0)),"")</f>
        <v/>
      </c>
      <c r="BQ126" s="132" t="str">
        <f t="shared" si="20"/>
        <v/>
      </c>
      <c r="BR126" s="134" t="str">
        <f>IFERROR($AG126/INDEX(BUDGET!$AK$28:$AK$67,MATCH($B126,BUDGET!$A$28:$A$67,0)),"")</f>
        <v/>
      </c>
      <c r="BS126" s="130" t="str">
        <f t="shared" si="21"/>
        <v/>
      </c>
      <c r="BT126" s="136"/>
      <c r="BU126" s="130" t="str">
        <f>IF($E126="","",COUNTIFS($E$119:E126,$E126))</f>
        <v/>
      </c>
      <c r="BV126" s="130" t="str">
        <f>IF($D126="","",COUNTIFS($D$119:D126,$D126))</f>
        <v/>
      </c>
    </row>
    <row r="127" spans="1:74" ht="15" customHeight="1">
      <c r="A127" s="130" t="str">
        <f t="shared" si="15"/>
        <v/>
      </c>
      <c r="B127" s="135"/>
      <c r="C127" s="133" t="str">
        <f>IF($B127="","",IFERROR(INDEX(BUDGET!$T$28:$T$67,MATCH($B127,BUDGET!$A$28:$A$67,0)),""))</f>
        <v/>
      </c>
      <c r="D127" s="133" t="str">
        <f>IF($B127="","",IFERROR(INDEX(BUDGET!$S$28:$S$67,MATCH($B127,BUDGET!$A$28:$A$67,0)),""))</f>
        <v/>
      </c>
      <c r="E127" s="135"/>
      <c r="F127" s="133" t="str">
        <f>IF($E127="","",IFERROR(INDEX(PROJETS!$C$56:$C$95,MATCH($E127,PROJETS!$A$56:$A$95,0)),""))</f>
        <v/>
      </c>
      <c r="G127" s="133" t="str">
        <f>IF($E127="","",IFERROR(INDEX(PROJETS!$J$56:$J$95,MATCH($E127,PROJETS!$A$56:$A$95,0)),""))</f>
        <v/>
      </c>
      <c r="H127" s="133" t="str">
        <f>IF($E127="","",IFERROR(INDEX(PROJETS!$N$56:$N$95,MATCH($E127,PROJETS!$A$56:$A$95,0)),""))</f>
        <v/>
      </c>
      <c r="I127" s="135"/>
      <c r="J127" s="133" t="str">
        <f>IF($I127="","",IFERROR(INDEX(ACTIVITES!$G$56:$G$105,MATCH($I127,ACTIVITES!$A$56:$A$105,0)),""))</f>
        <v/>
      </c>
      <c r="K127" s="135"/>
      <c r="L127" s="133" t="str">
        <f>IF($K127="","",IFERROR(INDEX(DONATEURS!$B$56:$B$205,MATCH($K127,DONATEURS!$A$56:$A$205,0)),""))</f>
        <v/>
      </c>
      <c r="M127" s="136"/>
      <c r="N127" s="136"/>
      <c r="O127" s="135"/>
      <c r="P127" s="135"/>
      <c r="Q127" s="135"/>
      <c r="R127" s="136"/>
      <c r="S127" s="135"/>
      <c r="T127" s="135"/>
      <c r="U127" s="136"/>
      <c r="V127" s="136"/>
      <c r="W127" s="136"/>
      <c r="X127" s="137"/>
      <c r="Y127" s="135"/>
      <c r="Z127" s="137"/>
      <c r="AA127" s="132" t="str">
        <f t="shared" si="16"/>
        <v/>
      </c>
      <c r="AB127" s="137"/>
      <c r="AC127" s="137"/>
      <c r="AD127" s="132" t="str">
        <f t="shared" si="22"/>
        <v/>
      </c>
      <c r="AE127" s="135"/>
      <c r="AF127" s="138"/>
      <c r="AG127" s="132" t="str">
        <f t="shared" si="23"/>
        <v/>
      </c>
      <c r="AH127" s="135"/>
      <c r="AI127" s="136"/>
      <c r="AJ127" s="136"/>
      <c r="AK127" s="135"/>
      <c r="AL127" s="136"/>
      <c r="AM127" s="136"/>
      <c r="AN127" s="139"/>
      <c r="AO127" s="136"/>
      <c r="AP127" s="136"/>
      <c r="AQ127" s="139"/>
      <c r="AR127" s="135"/>
      <c r="AS127" s="135"/>
      <c r="AT127" s="139"/>
      <c r="AU127" s="137"/>
      <c r="AV127" s="136"/>
      <c r="AW127" s="135"/>
      <c r="AX127" s="139"/>
      <c r="AY127" s="137"/>
      <c r="AZ127" s="132" t="str">
        <f t="shared" si="17"/>
        <v/>
      </c>
      <c r="BA127" s="135"/>
      <c r="BB127" s="136"/>
      <c r="BC127" s="139"/>
      <c r="BD127" s="135"/>
      <c r="BE127" s="136"/>
      <c r="BF127" s="130" t="str">
        <f t="shared" si="18"/>
        <v/>
      </c>
      <c r="BG127" s="135"/>
      <c r="BH127" s="139"/>
      <c r="BI127" s="136"/>
      <c r="BJ127" s="136"/>
      <c r="BK127" s="136"/>
      <c r="BL127" s="139"/>
      <c r="BM127" s="130" t="str">
        <f t="shared" si="19"/>
        <v/>
      </c>
      <c r="BN127" s="140" t="str">
        <f>IF($BL127="","",INDEX(PARAMETRES!$C$53:$C$65,MONTH($BL127)))</f>
        <v/>
      </c>
      <c r="BO127" s="79" t="str">
        <f>IF($BL127="","",INDEX(PARAMETRES!$B$53:$B$65,MONTH($BL127)))</f>
        <v/>
      </c>
      <c r="BP127" s="132" t="str">
        <f>IFERROR(INDEX(BUDGET!$AL$28:$AL$67,MATCH($B127,BUDGET!$A$28:$A$67,0)),"")</f>
        <v/>
      </c>
      <c r="BQ127" s="132" t="str">
        <f t="shared" si="20"/>
        <v/>
      </c>
      <c r="BR127" s="134" t="str">
        <f>IFERROR($AG127/INDEX(BUDGET!$AK$28:$AK$67,MATCH($B127,BUDGET!$A$28:$A$67,0)),"")</f>
        <v/>
      </c>
      <c r="BS127" s="130" t="str">
        <f t="shared" si="21"/>
        <v/>
      </c>
      <c r="BT127" s="136"/>
      <c r="BU127" s="130" t="str">
        <f>IF($E127="","",COUNTIFS($E$119:E127,$E127))</f>
        <v/>
      </c>
      <c r="BV127" s="130" t="str">
        <f>IF($D127="","",COUNTIFS($D$119:D127,$D127))</f>
        <v/>
      </c>
    </row>
    <row r="128" spans="1:74" ht="15" customHeight="1">
      <c r="A128" s="130" t="str">
        <f t="shared" si="15"/>
        <v/>
      </c>
      <c r="B128" s="135"/>
      <c r="C128" s="133" t="str">
        <f>IF($B128="","",IFERROR(INDEX(BUDGET!$T$28:$T$67,MATCH($B128,BUDGET!$A$28:$A$67,0)),""))</f>
        <v/>
      </c>
      <c r="D128" s="133" t="str">
        <f>IF($B128="","",IFERROR(INDEX(BUDGET!$S$28:$S$67,MATCH($B128,BUDGET!$A$28:$A$67,0)),""))</f>
        <v/>
      </c>
      <c r="E128" s="135"/>
      <c r="F128" s="133" t="str">
        <f>IF($E128="","",IFERROR(INDEX(PROJETS!$C$56:$C$95,MATCH($E128,PROJETS!$A$56:$A$95,0)),""))</f>
        <v/>
      </c>
      <c r="G128" s="133" t="str">
        <f>IF($E128="","",IFERROR(INDEX(PROJETS!$J$56:$J$95,MATCH($E128,PROJETS!$A$56:$A$95,0)),""))</f>
        <v/>
      </c>
      <c r="H128" s="133" t="str">
        <f>IF($E128="","",IFERROR(INDEX(PROJETS!$N$56:$N$95,MATCH($E128,PROJETS!$A$56:$A$95,0)),""))</f>
        <v/>
      </c>
      <c r="I128" s="135"/>
      <c r="J128" s="133" t="str">
        <f>IF($I128="","",IFERROR(INDEX(ACTIVITES!$G$56:$G$105,MATCH($I128,ACTIVITES!$A$56:$A$105,0)),""))</f>
        <v/>
      </c>
      <c r="K128" s="135"/>
      <c r="L128" s="133" t="str">
        <f>IF($K128="","",IFERROR(INDEX(DONATEURS!$B$56:$B$205,MATCH($K128,DONATEURS!$A$56:$A$205,0)),""))</f>
        <v/>
      </c>
      <c r="M128" s="136"/>
      <c r="N128" s="136"/>
      <c r="O128" s="135"/>
      <c r="P128" s="135"/>
      <c r="Q128" s="135"/>
      <c r="R128" s="136"/>
      <c r="S128" s="135"/>
      <c r="T128" s="135"/>
      <c r="U128" s="136"/>
      <c r="V128" s="136"/>
      <c r="W128" s="136"/>
      <c r="X128" s="137"/>
      <c r="Y128" s="135"/>
      <c r="Z128" s="137"/>
      <c r="AA128" s="132" t="str">
        <f t="shared" si="16"/>
        <v/>
      </c>
      <c r="AB128" s="137"/>
      <c r="AC128" s="137"/>
      <c r="AD128" s="132" t="str">
        <f t="shared" si="22"/>
        <v/>
      </c>
      <c r="AE128" s="135"/>
      <c r="AF128" s="138"/>
      <c r="AG128" s="132" t="str">
        <f t="shared" si="23"/>
        <v/>
      </c>
      <c r="AH128" s="135"/>
      <c r="AI128" s="136"/>
      <c r="AJ128" s="136"/>
      <c r="AK128" s="135"/>
      <c r="AL128" s="136"/>
      <c r="AM128" s="136"/>
      <c r="AN128" s="139"/>
      <c r="AO128" s="136"/>
      <c r="AP128" s="136"/>
      <c r="AQ128" s="139"/>
      <c r="AR128" s="135"/>
      <c r="AS128" s="135"/>
      <c r="AT128" s="139"/>
      <c r="AU128" s="137"/>
      <c r="AV128" s="136"/>
      <c r="AW128" s="135"/>
      <c r="AX128" s="139"/>
      <c r="AY128" s="137"/>
      <c r="AZ128" s="132" t="str">
        <f t="shared" si="17"/>
        <v/>
      </c>
      <c r="BA128" s="135"/>
      <c r="BB128" s="136"/>
      <c r="BC128" s="139"/>
      <c r="BD128" s="135"/>
      <c r="BE128" s="136"/>
      <c r="BF128" s="130" t="str">
        <f t="shared" si="18"/>
        <v/>
      </c>
      <c r="BG128" s="135"/>
      <c r="BH128" s="139"/>
      <c r="BI128" s="136"/>
      <c r="BJ128" s="136"/>
      <c r="BK128" s="136"/>
      <c r="BL128" s="139"/>
      <c r="BM128" s="130" t="str">
        <f t="shared" si="19"/>
        <v/>
      </c>
      <c r="BN128" s="140" t="str">
        <f>IF($BL128="","",INDEX(PARAMETRES!$C$53:$C$65,MONTH($BL128)))</f>
        <v/>
      </c>
      <c r="BO128" s="79" t="str">
        <f>IF($BL128="","",INDEX(PARAMETRES!$B$53:$B$65,MONTH($BL128)))</f>
        <v/>
      </c>
      <c r="BP128" s="132" t="str">
        <f>IFERROR(INDEX(BUDGET!$AL$28:$AL$67,MATCH($B128,BUDGET!$A$28:$A$67,0)),"")</f>
        <v/>
      </c>
      <c r="BQ128" s="132" t="str">
        <f t="shared" si="20"/>
        <v/>
      </c>
      <c r="BR128" s="134" t="str">
        <f>IFERROR($AG128/INDEX(BUDGET!$AK$28:$AK$67,MATCH($B128,BUDGET!$A$28:$A$67,0)),"")</f>
        <v/>
      </c>
      <c r="BS128" s="130" t="str">
        <f t="shared" si="21"/>
        <v/>
      </c>
      <c r="BT128" s="136"/>
      <c r="BU128" s="130" t="str">
        <f>IF($E128="","",COUNTIFS($E$119:E128,$E128))</f>
        <v/>
      </c>
      <c r="BV128" s="130" t="str">
        <f>IF($D128="","",COUNTIFS($D$119:D128,$D128))</f>
        <v/>
      </c>
    </row>
    <row r="129" spans="1:74" ht="15" customHeight="1">
      <c r="A129" s="130" t="str">
        <f t="shared" si="15"/>
        <v/>
      </c>
      <c r="B129" s="135"/>
      <c r="C129" s="133" t="str">
        <f>IF($B129="","",IFERROR(INDEX(BUDGET!$T$28:$T$67,MATCH($B129,BUDGET!$A$28:$A$67,0)),""))</f>
        <v/>
      </c>
      <c r="D129" s="133" t="str">
        <f>IF($B129="","",IFERROR(INDEX(BUDGET!$S$28:$S$67,MATCH($B129,BUDGET!$A$28:$A$67,0)),""))</f>
        <v/>
      </c>
      <c r="E129" s="135"/>
      <c r="F129" s="133" t="str">
        <f>IF($E129="","",IFERROR(INDEX(PROJETS!$C$56:$C$95,MATCH($E129,PROJETS!$A$56:$A$95,0)),""))</f>
        <v/>
      </c>
      <c r="G129" s="133" t="str">
        <f>IF($E129="","",IFERROR(INDEX(PROJETS!$J$56:$J$95,MATCH($E129,PROJETS!$A$56:$A$95,0)),""))</f>
        <v/>
      </c>
      <c r="H129" s="133" t="str">
        <f>IF($E129="","",IFERROR(INDEX(PROJETS!$N$56:$N$95,MATCH($E129,PROJETS!$A$56:$A$95,0)),""))</f>
        <v/>
      </c>
      <c r="I129" s="135"/>
      <c r="J129" s="133" t="str">
        <f>IF($I129="","",IFERROR(INDEX(ACTIVITES!$G$56:$G$105,MATCH($I129,ACTIVITES!$A$56:$A$105,0)),""))</f>
        <v/>
      </c>
      <c r="K129" s="135"/>
      <c r="L129" s="133" t="str">
        <f>IF($K129="","",IFERROR(INDEX(DONATEURS!$B$56:$B$205,MATCH($K129,DONATEURS!$A$56:$A$205,0)),""))</f>
        <v/>
      </c>
      <c r="M129" s="136"/>
      <c r="N129" s="136"/>
      <c r="O129" s="135"/>
      <c r="P129" s="135"/>
      <c r="Q129" s="135"/>
      <c r="R129" s="136"/>
      <c r="S129" s="135"/>
      <c r="T129" s="135"/>
      <c r="U129" s="136"/>
      <c r="V129" s="136"/>
      <c r="W129" s="136"/>
      <c r="X129" s="137"/>
      <c r="Y129" s="135"/>
      <c r="Z129" s="137"/>
      <c r="AA129" s="132" t="str">
        <f t="shared" si="16"/>
        <v/>
      </c>
      <c r="AB129" s="137"/>
      <c r="AC129" s="137"/>
      <c r="AD129" s="132" t="str">
        <f t="shared" si="22"/>
        <v/>
      </c>
      <c r="AE129" s="135"/>
      <c r="AF129" s="138"/>
      <c r="AG129" s="132" t="str">
        <f t="shared" si="23"/>
        <v/>
      </c>
      <c r="AH129" s="135"/>
      <c r="AI129" s="136"/>
      <c r="AJ129" s="136"/>
      <c r="AK129" s="135"/>
      <c r="AL129" s="136"/>
      <c r="AM129" s="136"/>
      <c r="AN129" s="139"/>
      <c r="AO129" s="136"/>
      <c r="AP129" s="136"/>
      <c r="AQ129" s="139"/>
      <c r="AR129" s="135"/>
      <c r="AS129" s="135"/>
      <c r="AT129" s="139"/>
      <c r="AU129" s="137"/>
      <c r="AV129" s="136"/>
      <c r="AW129" s="135"/>
      <c r="AX129" s="139"/>
      <c r="AY129" s="137"/>
      <c r="AZ129" s="132" t="str">
        <f t="shared" si="17"/>
        <v/>
      </c>
      <c r="BA129" s="135"/>
      <c r="BB129" s="136"/>
      <c r="BC129" s="139"/>
      <c r="BD129" s="135"/>
      <c r="BE129" s="136"/>
      <c r="BF129" s="130" t="str">
        <f t="shared" si="18"/>
        <v/>
      </c>
      <c r="BG129" s="135"/>
      <c r="BH129" s="139"/>
      <c r="BI129" s="136"/>
      <c r="BJ129" s="136"/>
      <c r="BK129" s="136"/>
      <c r="BL129" s="139"/>
      <c r="BM129" s="130" t="str">
        <f t="shared" si="19"/>
        <v/>
      </c>
      <c r="BN129" s="140" t="str">
        <f>IF($BL129="","",INDEX(PARAMETRES!$C$53:$C$65,MONTH($BL129)))</f>
        <v/>
      </c>
      <c r="BO129" s="79" t="str">
        <f>IF($BL129="","",INDEX(PARAMETRES!$B$53:$B$65,MONTH($BL129)))</f>
        <v/>
      </c>
      <c r="BP129" s="132" t="str">
        <f>IFERROR(INDEX(BUDGET!$AL$28:$AL$67,MATCH($B129,BUDGET!$A$28:$A$67,0)),"")</f>
        <v/>
      </c>
      <c r="BQ129" s="132" t="str">
        <f t="shared" si="20"/>
        <v/>
      </c>
      <c r="BR129" s="134" t="str">
        <f>IFERROR($AG129/INDEX(BUDGET!$AK$28:$AK$67,MATCH($B129,BUDGET!$A$28:$A$67,0)),"")</f>
        <v/>
      </c>
      <c r="BS129" s="130" t="str">
        <f t="shared" si="21"/>
        <v/>
      </c>
      <c r="BT129" s="136"/>
      <c r="BU129" s="130" t="str">
        <f>IF($E129="","",COUNTIFS($E$119:E129,$E129))</f>
        <v/>
      </c>
      <c r="BV129" s="130" t="str">
        <f>IF($D129="","",COUNTIFS($D$119:D129,$D129))</f>
        <v/>
      </c>
    </row>
    <row r="130" spans="1:74" ht="15" customHeight="1">
      <c r="A130" s="130" t="str">
        <f t="shared" si="15"/>
        <v/>
      </c>
      <c r="B130" s="135"/>
      <c r="C130" s="133" t="str">
        <f>IF($B130="","",IFERROR(INDEX(BUDGET!$T$28:$T$67,MATCH($B130,BUDGET!$A$28:$A$67,0)),""))</f>
        <v/>
      </c>
      <c r="D130" s="133" t="str">
        <f>IF($B130="","",IFERROR(INDEX(BUDGET!$S$28:$S$67,MATCH($B130,BUDGET!$A$28:$A$67,0)),""))</f>
        <v/>
      </c>
      <c r="E130" s="135"/>
      <c r="F130" s="133" t="str">
        <f>IF($E130="","",IFERROR(INDEX(PROJETS!$C$56:$C$95,MATCH($E130,PROJETS!$A$56:$A$95,0)),""))</f>
        <v/>
      </c>
      <c r="G130" s="133" t="str">
        <f>IF($E130="","",IFERROR(INDEX(PROJETS!$J$56:$J$95,MATCH($E130,PROJETS!$A$56:$A$95,0)),""))</f>
        <v/>
      </c>
      <c r="H130" s="133" t="str">
        <f>IF($E130="","",IFERROR(INDEX(PROJETS!$N$56:$N$95,MATCH($E130,PROJETS!$A$56:$A$95,0)),""))</f>
        <v/>
      </c>
      <c r="I130" s="135"/>
      <c r="J130" s="133" t="str">
        <f>IF($I130="","",IFERROR(INDEX(ACTIVITES!$G$56:$G$105,MATCH($I130,ACTIVITES!$A$56:$A$105,0)),""))</f>
        <v/>
      </c>
      <c r="K130" s="135"/>
      <c r="L130" s="133" t="str">
        <f>IF($K130="","",IFERROR(INDEX(DONATEURS!$B$56:$B$205,MATCH($K130,DONATEURS!$A$56:$A$205,0)),""))</f>
        <v/>
      </c>
      <c r="M130" s="136"/>
      <c r="N130" s="136"/>
      <c r="O130" s="135"/>
      <c r="P130" s="135"/>
      <c r="Q130" s="135"/>
      <c r="R130" s="136"/>
      <c r="S130" s="135"/>
      <c r="T130" s="135"/>
      <c r="U130" s="136"/>
      <c r="V130" s="136"/>
      <c r="W130" s="136"/>
      <c r="X130" s="137"/>
      <c r="Y130" s="135"/>
      <c r="Z130" s="137"/>
      <c r="AA130" s="132" t="str">
        <f t="shared" si="16"/>
        <v/>
      </c>
      <c r="AB130" s="137"/>
      <c r="AC130" s="137"/>
      <c r="AD130" s="132" t="str">
        <f t="shared" si="22"/>
        <v/>
      </c>
      <c r="AE130" s="135"/>
      <c r="AF130" s="138"/>
      <c r="AG130" s="132" t="str">
        <f t="shared" si="23"/>
        <v/>
      </c>
      <c r="AH130" s="135"/>
      <c r="AI130" s="136"/>
      <c r="AJ130" s="136"/>
      <c r="AK130" s="135"/>
      <c r="AL130" s="136"/>
      <c r="AM130" s="136"/>
      <c r="AN130" s="139"/>
      <c r="AO130" s="136"/>
      <c r="AP130" s="136"/>
      <c r="AQ130" s="139"/>
      <c r="AR130" s="135"/>
      <c r="AS130" s="135"/>
      <c r="AT130" s="139"/>
      <c r="AU130" s="137"/>
      <c r="AV130" s="136"/>
      <c r="AW130" s="135"/>
      <c r="AX130" s="139"/>
      <c r="AY130" s="137"/>
      <c r="AZ130" s="132" t="str">
        <f t="shared" si="17"/>
        <v/>
      </c>
      <c r="BA130" s="135"/>
      <c r="BB130" s="136"/>
      <c r="BC130" s="139"/>
      <c r="BD130" s="135"/>
      <c r="BE130" s="136"/>
      <c r="BF130" s="130" t="str">
        <f t="shared" si="18"/>
        <v/>
      </c>
      <c r="BG130" s="135"/>
      <c r="BH130" s="139"/>
      <c r="BI130" s="136"/>
      <c r="BJ130" s="136"/>
      <c r="BK130" s="136"/>
      <c r="BL130" s="139"/>
      <c r="BM130" s="130" t="str">
        <f t="shared" si="19"/>
        <v/>
      </c>
      <c r="BN130" s="140" t="str">
        <f>IF($BL130="","",INDEX(PARAMETRES!$C$53:$C$65,MONTH($BL130)))</f>
        <v/>
      </c>
      <c r="BO130" s="79" t="str">
        <f>IF($BL130="","",INDEX(PARAMETRES!$B$53:$B$65,MONTH($BL130)))</f>
        <v/>
      </c>
      <c r="BP130" s="132" t="str">
        <f>IFERROR(INDEX(BUDGET!$AL$28:$AL$67,MATCH($B130,BUDGET!$A$28:$A$67,0)),"")</f>
        <v/>
      </c>
      <c r="BQ130" s="132" t="str">
        <f t="shared" si="20"/>
        <v/>
      </c>
      <c r="BR130" s="134" t="str">
        <f>IFERROR($AG130/INDEX(BUDGET!$AK$28:$AK$67,MATCH($B130,BUDGET!$A$28:$A$67,0)),"")</f>
        <v/>
      </c>
      <c r="BS130" s="130" t="str">
        <f t="shared" si="21"/>
        <v/>
      </c>
      <c r="BT130" s="136"/>
      <c r="BU130" s="130" t="str">
        <f>IF($E130="","",COUNTIFS($E$119:E130,$E130))</f>
        <v/>
      </c>
      <c r="BV130" s="130" t="str">
        <f>IF($D130="","",COUNTIFS($D$119:D130,$D130))</f>
        <v/>
      </c>
    </row>
    <row r="131" spans="1:74" ht="15" customHeight="1">
      <c r="A131" s="130" t="str">
        <f t="shared" si="15"/>
        <v/>
      </c>
      <c r="B131" s="135"/>
      <c r="C131" s="133" t="str">
        <f>IF($B131="","",IFERROR(INDEX(BUDGET!$T$28:$T$67,MATCH($B131,BUDGET!$A$28:$A$67,0)),""))</f>
        <v/>
      </c>
      <c r="D131" s="133" t="str">
        <f>IF($B131="","",IFERROR(INDEX(BUDGET!$S$28:$S$67,MATCH($B131,BUDGET!$A$28:$A$67,0)),""))</f>
        <v/>
      </c>
      <c r="E131" s="135"/>
      <c r="F131" s="133" t="str">
        <f>IF($E131="","",IFERROR(INDEX(PROJETS!$C$56:$C$95,MATCH($E131,PROJETS!$A$56:$A$95,0)),""))</f>
        <v/>
      </c>
      <c r="G131" s="133" t="str">
        <f>IF($E131="","",IFERROR(INDEX(PROJETS!$J$56:$J$95,MATCH($E131,PROJETS!$A$56:$A$95,0)),""))</f>
        <v/>
      </c>
      <c r="H131" s="133" t="str">
        <f>IF($E131="","",IFERROR(INDEX(PROJETS!$N$56:$N$95,MATCH($E131,PROJETS!$A$56:$A$95,0)),""))</f>
        <v/>
      </c>
      <c r="I131" s="135"/>
      <c r="J131" s="133" t="str">
        <f>IF($I131="","",IFERROR(INDEX(ACTIVITES!$G$56:$G$105,MATCH($I131,ACTIVITES!$A$56:$A$105,0)),""))</f>
        <v/>
      </c>
      <c r="K131" s="135"/>
      <c r="L131" s="133" t="str">
        <f>IF($K131="","",IFERROR(INDEX(DONATEURS!$B$56:$B$205,MATCH($K131,DONATEURS!$A$56:$A$205,0)),""))</f>
        <v/>
      </c>
      <c r="M131" s="136"/>
      <c r="N131" s="136"/>
      <c r="O131" s="135"/>
      <c r="P131" s="135"/>
      <c r="Q131" s="135"/>
      <c r="R131" s="136"/>
      <c r="S131" s="135"/>
      <c r="T131" s="135"/>
      <c r="U131" s="136"/>
      <c r="V131" s="136"/>
      <c r="W131" s="136"/>
      <c r="X131" s="137"/>
      <c r="Y131" s="135"/>
      <c r="Z131" s="137"/>
      <c r="AA131" s="132" t="str">
        <f t="shared" si="16"/>
        <v/>
      </c>
      <c r="AB131" s="137"/>
      <c r="AC131" s="137"/>
      <c r="AD131" s="132" t="str">
        <f t="shared" si="22"/>
        <v/>
      </c>
      <c r="AE131" s="135"/>
      <c r="AF131" s="138"/>
      <c r="AG131" s="132" t="str">
        <f t="shared" si="23"/>
        <v/>
      </c>
      <c r="AH131" s="135"/>
      <c r="AI131" s="136"/>
      <c r="AJ131" s="136"/>
      <c r="AK131" s="135"/>
      <c r="AL131" s="136"/>
      <c r="AM131" s="136"/>
      <c r="AN131" s="139"/>
      <c r="AO131" s="136"/>
      <c r="AP131" s="136"/>
      <c r="AQ131" s="139"/>
      <c r="AR131" s="135"/>
      <c r="AS131" s="135"/>
      <c r="AT131" s="139"/>
      <c r="AU131" s="137"/>
      <c r="AV131" s="136"/>
      <c r="AW131" s="135"/>
      <c r="AX131" s="139"/>
      <c r="AY131" s="137"/>
      <c r="AZ131" s="132" t="str">
        <f t="shared" si="17"/>
        <v/>
      </c>
      <c r="BA131" s="135"/>
      <c r="BB131" s="136"/>
      <c r="BC131" s="139"/>
      <c r="BD131" s="135"/>
      <c r="BE131" s="136"/>
      <c r="BF131" s="130" t="str">
        <f t="shared" si="18"/>
        <v/>
      </c>
      <c r="BG131" s="135"/>
      <c r="BH131" s="139"/>
      <c r="BI131" s="136"/>
      <c r="BJ131" s="136"/>
      <c r="BK131" s="136"/>
      <c r="BL131" s="139"/>
      <c r="BM131" s="130" t="str">
        <f t="shared" si="19"/>
        <v/>
      </c>
      <c r="BN131" s="140" t="str">
        <f>IF($BL131="","",INDEX(PARAMETRES!$C$53:$C$65,MONTH($BL131)))</f>
        <v/>
      </c>
      <c r="BO131" s="79" t="str">
        <f>IF($BL131="","",INDEX(PARAMETRES!$B$53:$B$65,MONTH($BL131)))</f>
        <v/>
      </c>
      <c r="BP131" s="132" t="str">
        <f>IFERROR(INDEX(BUDGET!$AL$28:$AL$67,MATCH($B131,BUDGET!$A$28:$A$67,0)),"")</f>
        <v/>
      </c>
      <c r="BQ131" s="132" t="str">
        <f t="shared" si="20"/>
        <v/>
      </c>
      <c r="BR131" s="134" t="str">
        <f>IFERROR($AG131/INDEX(BUDGET!$AK$28:$AK$67,MATCH($B131,BUDGET!$A$28:$A$67,0)),"")</f>
        <v/>
      </c>
      <c r="BS131" s="130" t="str">
        <f t="shared" si="21"/>
        <v/>
      </c>
      <c r="BT131" s="136"/>
      <c r="BU131" s="130" t="str">
        <f>IF($E131="","",COUNTIFS($E$119:E131,$E131))</f>
        <v/>
      </c>
      <c r="BV131" s="130" t="str">
        <f>IF($D131="","",COUNTIFS($D$119:D131,$D131))</f>
        <v/>
      </c>
    </row>
    <row r="132" spans="1:74" ht="15" customHeight="1">
      <c r="A132" s="130" t="str">
        <f t="shared" si="15"/>
        <v/>
      </c>
      <c r="B132" s="135"/>
      <c r="C132" s="133" t="str">
        <f>IF($B132="","",IFERROR(INDEX(BUDGET!$T$28:$T$67,MATCH($B132,BUDGET!$A$28:$A$67,0)),""))</f>
        <v/>
      </c>
      <c r="D132" s="133" t="str">
        <f>IF($B132="","",IFERROR(INDEX(BUDGET!$S$28:$S$67,MATCH($B132,BUDGET!$A$28:$A$67,0)),""))</f>
        <v/>
      </c>
      <c r="E132" s="135"/>
      <c r="F132" s="133" t="str">
        <f>IF($E132="","",IFERROR(INDEX(PROJETS!$C$56:$C$95,MATCH($E132,PROJETS!$A$56:$A$95,0)),""))</f>
        <v/>
      </c>
      <c r="G132" s="133" t="str">
        <f>IF($E132="","",IFERROR(INDEX(PROJETS!$J$56:$J$95,MATCH($E132,PROJETS!$A$56:$A$95,0)),""))</f>
        <v/>
      </c>
      <c r="H132" s="133" t="str">
        <f>IF($E132="","",IFERROR(INDEX(PROJETS!$N$56:$N$95,MATCH($E132,PROJETS!$A$56:$A$95,0)),""))</f>
        <v/>
      </c>
      <c r="I132" s="135"/>
      <c r="J132" s="133" t="str">
        <f>IF($I132="","",IFERROR(INDEX(ACTIVITES!$G$56:$G$105,MATCH($I132,ACTIVITES!$A$56:$A$105,0)),""))</f>
        <v/>
      </c>
      <c r="K132" s="135"/>
      <c r="L132" s="133" t="str">
        <f>IF($K132="","",IFERROR(INDEX(DONATEURS!$B$56:$B$205,MATCH($K132,DONATEURS!$A$56:$A$205,0)),""))</f>
        <v/>
      </c>
      <c r="M132" s="136"/>
      <c r="N132" s="136"/>
      <c r="O132" s="135"/>
      <c r="P132" s="135"/>
      <c r="Q132" s="135"/>
      <c r="R132" s="136"/>
      <c r="S132" s="135"/>
      <c r="T132" s="135"/>
      <c r="U132" s="136"/>
      <c r="V132" s="136"/>
      <c r="W132" s="136"/>
      <c r="X132" s="137"/>
      <c r="Y132" s="135"/>
      <c r="Z132" s="137"/>
      <c r="AA132" s="132" t="str">
        <f t="shared" si="16"/>
        <v/>
      </c>
      <c r="AB132" s="137"/>
      <c r="AC132" s="137"/>
      <c r="AD132" s="132" t="str">
        <f t="shared" si="22"/>
        <v/>
      </c>
      <c r="AE132" s="135"/>
      <c r="AF132" s="138"/>
      <c r="AG132" s="132" t="str">
        <f t="shared" si="23"/>
        <v/>
      </c>
      <c r="AH132" s="135"/>
      <c r="AI132" s="136"/>
      <c r="AJ132" s="136"/>
      <c r="AK132" s="135"/>
      <c r="AL132" s="136"/>
      <c r="AM132" s="136"/>
      <c r="AN132" s="139"/>
      <c r="AO132" s="136"/>
      <c r="AP132" s="136"/>
      <c r="AQ132" s="139"/>
      <c r="AR132" s="135"/>
      <c r="AS132" s="135"/>
      <c r="AT132" s="139"/>
      <c r="AU132" s="137"/>
      <c r="AV132" s="136"/>
      <c r="AW132" s="135"/>
      <c r="AX132" s="139"/>
      <c r="AY132" s="137"/>
      <c r="AZ132" s="132" t="str">
        <f t="shared" si="17"/>
        <v/>
      </c>
      <c r="BA132" s="135"/>
      <c r="BB132" s="136"/>
      <c r="BC132" s="139"/>
      <c r="BD132" s="135"/>
      <c r="BE132" s="136"/>
      <c r="BF132" s="130" t="str">
        <f t="shared" si="18"/>
        <v/>
      </c>
      <c r="BG132" s="135"/>
      <c r="BH132" s="139"/>
      <c r="BI132" s="136"/>
      <c r="BJ132" s="136"/>
      <c r="BK132" s="136"/>
      <c r="BL132" s="139"/>
      <c r="BM132" s="130" t="str">
        <f t="shared" si="19"/>
        <v/>
      </c>
      <c r="BN132" s="140" t="str">
        <f>IF($BL132="","",INDEX(PARAMETRES!$C$53:$C$65,MONTH($BL132)))</f>
        <v/>
      </c>
      <c r="BO132" s="79" t="str">
        <f>IF($BL132="","",INDEX(PARAMETRES!$B$53:$B$65,MONTH($BL132)))</f>
        <v/>
      </c>
      <c r="BP132" s="132" t="str">
        <f>IFERROR(INDEX(BUDGET!$AL$28:$AL$67,MATCH($B132,BUDGET!$A$28:$A$67,0)),"")</f>
        <v/>
      </c>
      <c r="BQ132" s="132" t="str">
        <f t="shared" si="20"/>
        <v/>
      </c>
      <c r="BR132" s="134" t="str">
        <f>IFERROR($AG132/INDEX(BUDGET!$AK$28:$AK$67,MATCH($B132,BUDGET!$A$28:$A$67,0)),"")</f>
        <v/>
      </c>
      <c r="BS132" s="130" t="str">
        <f t="shared" si="21"/>
        <v/>
      </c>
      <c r="BT132" s="136"/>
      <c r="BU132" s="130" t="str">
        <f>IF($E132="","",COUNTIFS($E$119:E132,$E132))</f>
        <v/>
      </c>
      <c r="BV132" s="130" t="str">
        <f>IF($D132="","",COUNTIFS($D$119:D132,$D132))</f>
        <v/>
      </c>
    </row>
    <row r="133" spans="1:74" ht="15" customHeight="1">
      <c r="A133" s="130" t="str">
        <f t="shared" si="15"/>
        <v/>
      </c>
      <c r="B133" s="135"/>
      <c r="C133" s="133" t="str">
        <f>IF($B133="","",IFERROR(INDEX(BUDGET!$T$28:$T$67,MATCH($B133,BUDGET!$A$28:$A$67,0)),""))</f>
        <v/>
      </c>
      <c r="D133" s="133" t="str">
        <f>IF($B133="","",IFERROR(INDEX(BUDGET!$S$28:$S$67,MATCH($B133,BUDGET!$A$28:$A$67,0)),""))</f>
        <v/>
      </c>
      <c r="E133" s="135"/>
      <c r="F133" s="133" t="str">
        <f>IF($E133="","",IFERROR(INDEX(PROJETS!$C$56:$C$95,MATCH($E133,PROJETS!$A$56:$A$95,0)),""))</f>
        <v/>
      </c>
      <c r="G133" s="133" t="str">
        <f>IF($E133="","",IFERROR(INDEX(PROJETS!$J$56:$J$95,MATCH($E133,PROJETS!$A$56:$A$95,0)),""))</f>
        <v/>
      </c>
      <c r="H133" s="133" t="str">
        <f>IF($E133="","",IFERROR(INDEX(PROJETS!$N$56:$N$95,MATCH($E133,PROJETS!$A$56:$A$95,0)),""))</f>
        <v/>
      </c>
      <c r="I133" s="135"/>
      <c r="J133" s="133" t="str">
        <f>IF($I133="","",IFERROR(INDEX(ACTIVITES!$G$56:$G$105,MATCH($I133,ACTIVITES!$A$56:$A$105,0)),""))</f>
        <v/>
      </c>
      <c r="K133" s="135"/>
      <c r="L133" s="133" t="str">
        <f>IF($K133="","",IFERROR(INDEX(DONATEURS!$B$56:$B$205,MATCH($K133,DONATEURS!$A$56:$A$205,0)),""))</f>
        <v/>
      </c>
      <c r="M133" s="136"/>
      <c r="N133" s="136"/>
      <c r="O133" s="135"/>
      <c r="P133" s="135"/>
      <c r="Q133" s="135"/>
      <c r="R133" s="136"/>
      <c r="S133" s="135"/>
      <c r="T133" s="135"/>
      <c r="U133" s="136"/>
      <c r="V133" s="136"/>
      <c r="W133" s="136"/>
      <c r="X133" s="137"/>
      <c r="Y133" s="135"/>
      <c r="Z133" s="137"/>
      <c r="AA133" s="132" t="str">
        <f t="shared" si="16"/>
        <v/>
      </c>
      <c r="AB133" s="137"/>
      <c r="AC133" s="137"/>
      <c r="AD133" s="132" t="str">
        <f t="shared" si="22"/>
        <v/>
      </c>
      <c r="AE133" s="135"/>
      <c r="AF133" s="138"/>
      <c r="AG133" s="132" t="str">
        <f t="shared" si="23"/>
        <v/>
      </c>
      <c r="AH133" s="135"/>
      <c r="AI133" s="136"/>
      <c r="AJ133" s="136"/>
      <c r="AK133" s="135"/>
      <c r="AL133" s="136"/>
      <c r="AM133" s="136"/>
      <c r="AN133" s="139"/>
      <c r="AO133" s="136"/>
      <c r="AP133" s="136"/>
      <c r="AQ133" s="139"/>
      <c r="AR133" s="135"/>
      <c r="AS133" s="135"/>
      <c r="AT133" s="139"/>
      <c r="AU133" s="137"/>
      <c r="AV133" s="136"/>
      <c r="AW133" s="135"/>
      <c r="AX133" s="139"/>
      <c r="AY133" s="137"/>
      <c r="AZ133" s="132" t="str">
        <f t="shared" si="17"/>
        <v/>
      </c>
      <c r="BA133" s="135"/>
      <c r="BB133" s="136"/>
      <c r="BC133" s="139"/>
      <c r="BD133" s="135"/>
      <c r="BE133" s="136"/>
      <c r="BF133" s="130" t="str">
        <f t="shared" si="18"/>
        <v/>
      </c>
      <c r="BG133" s="135"/>
      <c r="BH133" s="139"/>
      <c r="BI133" s="136"/>
      <c r="BJ133" s="136"/>
      <c r="BK133" s="136"/>
      <c r="BL133" s="139"/>
      <c r="BM133" s="130" t="str">
        <f t="shared" si="19"/>
        <v/>
      </c>
      <c r="BN133" s="140" t="str">
        <f>IF($BL133="","",INDEX(PARAMETRES!$C$53:$C$65,MONTH($BL133)))</f>
        <v/>
      </c>
      <c r="BO133" s="79" t="str">
        <f>IF($BL133="","",INDEX(PARAMETRES!$B$53:$B$65,MONTH($BL133)))</f>
        <v/>
      </c>
      <c r="BP133" s="132" t="str">
        <f>IFERROR(INDEX(BUDGET!$AL$28:$AL$67,MATCH($B133,BUDGET!$A$28:$A$67,0)),"")</f>
        <v/>
      </c>
      <c r="BQ133" s="132" t="str">
        <f t="shared" si="20"/>
        <v/>
      </c>
      <c r="BR133" s="134" t="str">
        <f>IFERROR($AG133/INDEX(BUDGET!$AK$28:$AK$67,MATCH($B133,BUDGET!$A$28:$A$67,0)),"")</f>
        <v/>
      </c>
      <c r="BS133" s="130" t="str">
        <f t="shared" si="21"/>
        <v/>
      </c>
      <c r="BT133" s="136"/>
      <c r="BU133" s="130" t="str">
        <f>IF($E133="","",COUNTIFS($E$119:E133,$E133))</f>
        <v/>
      </c>
      <c r="BV133" s="130" t="str">
        <f>IF($D133="","",COUNTIFS($D$119:D133,$D133))</f>
        <v/>
      </c>
    </row>
    <row r="134" spans="1:74" ht="15" customHeight="1">
      <c r="A134" s="130" t="str">
        <f t="shared" si="15"/>
        <v/>
      </c>
      <c r="B134" s="135"/>
      <c r="C134" s="133" t="str">
        <f>IF($B134="","",IFERROR(INDEX(BUDGET!$T$28:$T$67,MATCH($B134,BUDGET!$A$28:$A$67,0)),""))</f>
        <v/>
      </c>
      <c r="D134" s="133" t="str">
        <f>IF($B134="","",IFERROR(INDEX(BUDGET!$S$28:$S$67,MATCH($B134,BUDGET!$A$28:$A$67,0)),""))</f>
        <v/>
      </c>
      <c r="E134" s="135"/>
      <c r="F134" s="133" t="str">
        <f>IF($E134="","",IFERROR(INDEX(PROJETS!$C$56:$C$95,MATCH($E134,PROJETS!$A$56:$A$95,0)),""))</f>
        <v/>
      </c>
      <c r="G134" s="133" t="str">
        <f>IF($E134="","",IFERROR(INDEX(PROJETS!$J$56:$J$95,MATCH($E134,PROJETS!$A$56:$A$95,0)),""))</f>
        <v/>
      </c>
      <c r="H134" s="133" t="str">
        <f>IF($E134="","",IFERROR(INDEX(PROJETS!$N$56:$N$95,MATCH($E134,PROJETS!$A$56:$A$95,0)),""))</f>
        <v/>
      </c>
      <c r="I134" s="135"/>
      <c r="J134" s="133" t="str">
        <f>IF($I134="","",IFERROR(INDEX(ACTIVITES!$G$56:$G$105,MATCH($I134,ACTIVITES!$A$56:$A$105,0)),""))</f>
        <v/>
      </c>
      <c r="K134" s="135"/>
      <c r="L134" s="133" t="str">
        <f>IF($K134="","",IFERROR(INDEX(DONATEURS!$B$56:$B$205,MATCH($K134,DONATEURS!$A$56:$A$205,0)),""))</f>
        <v/>
      </c>
      <c r="M134" s="136"/>
      <c r="N134" s="136"/>
      <c r="O134" s="135"/>
      <c r="P134" s="135"/>
      <c r="Q134" s="135"/>
      <c r="R134" s="136"/>
      <c r="S134" s="135"/>
      <c r="T134" s="135"/>
      <c r="U134" s="136"/>
      <c r="V134" s="136"/>
      <c r="W134" s="136"/>
      <c r="X134" s="137"/>
      <c r="Y134" s="135"/>
      <c r="Z134" s="137"/>
      <c r="AA134" s="132" t="str">
        <f t="shared" si="16"/>
        <v/>
      </c>
      <c r="AB134" s="137"/>
      <c r="AC134" s="137"/>
      <c r="AD134" s="132" t="str">
        <f t="shared" si="22"/>
        <v/>
      </c>
      <c r="AE134" s="135"/>
      <c r="AF134" s="138"/>
      <c r="AG134" s="132" t="str">
        <f t="shared" si="23"/>
        <v/>
      </c>
      <c r="AH134" s="135"/>
      <c r="AI134" s="136"/>
      <c r="AJ134" s="136"/>
      <c r="AK134" s="135"/>
      <c r="AL134" s="136"/>
      <c r="AM134" s="136"/>
      <c r="AN134" s="139"/>
      <c r="AO134" s="136"/>
      <c r="AP134" s="136"/>
      <c r="AQ134" s="139"/>
      <c r="AR134" s="135"/>
      <c r="AS134" s="135"/>
      <c r="AT134" s="139"/>
      <c r="AU134" s="137"/>
      <c r="AV134" s="136"/>
      <c r="AW134" s="135"/>
      <c r="AX134" s="139"/>
      <c r="AY134" s="137"/>
      <c r="AZ134" s="132" t="str">
        <f t="shared" si="17"/>
        <v/>
      </c>
      <c r="BA134" s="135"/>
      <c r="BB134" s="136"/>
      <c r="BC134" s="139"/>
      <c r="BD134" s="135"/>
      <c r="BE134" s="136"/>
      <c r="BF134" s="130" t="str">
        <f t="shared" si="18"/>
        <v/>
      </c>
      <c r="BG134" s="135"/>
      <c r="BH134" s="139"/>
      <c r="BI134" s="136"/>
      <c r="BJ134" s="136"/>
      <c r="BK134" s="136"/>
      <c r="BL134" s="139"/>
      <c r="BM134" s="130" t="str">
        <f t="shared" si="19"/>
        <v/>
      </c>
      <c r="BN134" s="140" t="str">
        <f>IF($BL134="","",INDEX(PARAMETRES!$C$53:$C$65,MONTH($BL134)))</f>
        <v/>
      </c>
      <c r="BO134" s="79" t="str">
        <f>IF($BL134="","",INDEX(PARAMETRES!$B$53:$B$65,MONTH($BL134)))</f>
        <v/>
      </c>
      <c r="BP134" s="132" t="str">
        <f>IFERROR(INDEX(BUDGET!$AL$28:$AL$67,MATCH($B134,BUDGET!$A$28:$A$67,0)),"")</f>
        <v/>
      </c>
      <c r="BQ134" s="132" t="str">
        <f t="shared" si="20"/>
        <v/>
      </c>
      <c r="BR134" s="134" t="str">
        <f>IFERROR($AG134/INDEX(BUDGET!$AK$28:$AK$67,MATCH($B134,BUDGET!$A$28:$A$67,0)),"")</f>
        <v/>
      </c>
      <c r="BS134" s="130" t="str">
        <f t="shared" si="21"/>
        <v/>
      </c>
      <c r="BT134" s="136"/>
      <c r="BU134" s="130" t="str">
        <f>IF($E134="","",COUNTIFS($E$119:E134,$E134))</f>
        <v/>
      </c>
      <c r="BV134" s="130" t="str">
        <f>IF($D134="","",COUNTIFS($D$119:D134,$D134))</f>
        <v/>
      </c>
    </row>
    <row r="135" spans="1:74" ht="15" customHeight="1">
      <c r="A135" s="130" t="str">
        <f t="shared" si="15"/>
        <v/>
      </c>
      <c r="B135" s="135"/>
      <c r="C135" s="133" t="str">
        <f>IF($B135="","",IFERROR(INDEX(BUDGET!$T$28:$T$67,MATCH($B135,BUDGET!$A$28:$A$67,0)),""))</f>
        <v/>
      </c>
      <c r="D135" s="133" t="str">
        <f>IF($B135="","",IFERROR(INDEX(BUDGET!$S$28:$S$67,MATCH($B135,BUDGET!$A$28:$A$67,0)),""))</f>
        <v/>
      </c>
      <c r="E135" s="135"/>
      <c r="F135" s="133" t="str">
        <f>IF($E135="","",IFERROR(INDEX(PROJETS!$C$56:$C$95,MATCH($E135,PROJETS!$A$56:$A$95,0)),""))</f>
        <v/>
      </c>
      <c r="G135" s="133" t="str">
        <f>IF($E135="","",IFERROR(INDEX(PROJETS!$J$56:$J$95,MATCH($E135,PROJETS!$A$56:$A$95,0)),""))</f>
        <v/>
      </c>
      <c r="H135" s="133" t="str">
        <f>IF($E135="","",IFERROR(INDEX(PROJETS!$N$56:$N$95,MATCH($E135,PROJETS!$A$56:$A$95,0)),""))</f>
        <v/>
      </c>
      <c r="I135" s="135"/>
      <c r="J135" s="133" t="str">
        <f>IF($I135="","",IFERROR(INDEX(ACTIVITES!$G$56:$G$105,MATCH($I135,ACTIVITES!$A$56:$A$105,0)),""))</f>
        <v/>
      </c>
      <c r="K135" s="135"/>
      <c r="L135" s="133" t="str">
        <f>IF($K135="","",IFERROR(INDEX(DONATEURS!$B$56:$B$205,MATCH($K135,DONATEURS!$A$56:$A$205,0)),""))</f>
        <v/>
      </c>
      <c r="M135" s="136"/>
      <c r="N135" s="136"/>
      <c r="O135" s="135"/>
      <c r="P135" s="135"/>
      <c r="Q135" s="135"/>
      <c r="R135" s="136"/>
      <c r="S135" s="135"/>
      <c r="T135" s="135"/>
      <c r="U135" s="136"/>
      <c r="V135" s="136"/>
      <c r="W135" s="136"/>
      <c r="X135" s="137"/>
      <c r="Y135" s="135"/>
      <c r="Z135" s="137"/>
      <c r="AA135" s="132" t="str">
        <f t="shared" si="16"/>
        <v/>
      </c>
      <c r="AB135" s="137"/>
      <c r="AC135" s="137"/>
      <c r="AD135" s="132" t="str">
        <f t="shared" si="22"/>
        <v/>
      </c>
      <c r="AE135" s="135"/>
      <c r="AF135" s="138"/>
      <c r="AG135" s="132" t="str">
        <f t="shared" si="23"/>
        <v/>
      </c>
      <c r="AH135" s="135"/>
      <c r="AI135" s="136"/>
      <c r="AJ135" s="136"/>
      <c r="AK135" s="135"/>
      <c r="AL135" s="136"/>
      <c r="AM135" s="136"/>
      <c r="AN135" s="139"/>
      <c r="AO135" s="136"/>
      <c r="AP135" s="136"/>
      <c r="AQ135" s="139"/>
      <c r="AR135" s="135"/>
      <c r="AS135" s="135"/>
      <c r="AT135" s="139"/>
      <c r="AU135" s="137"/>
      <c r="AV135" s="136"/>
      <c r="AW135" s="135"/>
      <c r="AX135" s="139"/>
      <c r="AY135" s="137"/>
      <c r="AZ135" s="132" t="str">
        <f t="shared" si="17"/>
        <v/>
      </c>
      <c r="BA135" s="135"/>
      <c r="BB135" s="136"/>
      <c r="BC135" s="139"/>
      <c r="BD135" s="135"/>
      <c r="BE135" s="136"/>
      <c r="BF135" s="130" t="str">
        <f t="shared" si="18"/>
        <v/>
      </c>
      <c r="BG135" s="135"/>
      <c r="BH135" s="139"/>
      <c r="BI135" s="136"/>
      <c r="BJ135" s="136"/>
      <c r="BK135" s="136"/>
      <c r="BL135" s="139"/>
      <c r="BM135" s="130" t="str">
        <f t="shared" si="19"/>
        <v/>
      </c>
      <c r="BN135" s="140" t="str">
        <f>IF($BL135="","",INDEX(PARAMETRES!$C$53:$C$65,MONTH($BL135)))</f>
        <v/>
      </c>
      <c r="BO135" s="79" t="str">
        <f>IF($BL135="","",INDEX(PARAMETRES!$B$53:$B$65,MONTH($BL135)))</f>
        <v/>
      </c>
      <c r="BP135" s="132" t="str">
        <f>IFERROR(INDEX(BUDGET!$AL$28:$AL$67,MATCH($B135,BUDGET!$A$28:$A$67,0)),"")</f>
        <v/>
      </c>
      <c r="BQ135" s="132" t="str">
        <f t="shared" si="20"/>
        <v/>
      </c>
      <c r="BR135" s="134" t="str">
        <f>IFERROR($AG135/INDEX(BUDGET!$AK$28:$AK$67,MATCH($B135,BUDGET!$A$28:$A$67,0)),"")</f>
        <v/>
      </c>
      <c r="BS135" s="130" t="str">
        <f t="shared" si="21"/>
        <v/>
      </c>
      <c r="BT135" s="136"/>
      <c r="BU135" s="130" t="str">
        <f>IF($E135="","",COUNTIFS($E$119:E135,$E135))</f>
        <v/>
      </c>
      <c r="BV135" s="130" t="str">
        <f>IF($D135="","",COUNTIFS($D$119:D135,$D135))</f>
        <v/>
      </c>
    </row>
    <row r="136" spans="1:74" ht="15" customHeight="1">
      <c r="A136" s="130" t="str">
        <f t="shared" si="15"/>
        <v/>
      </c>
      <c r="B136" s="135"/>
      <c r="C136" s="133" t="str">
        <f>IF($B136="","",IFERROR(INDEX(BUDGET!$T$28:$T$67,MATCH($B136,BUDGET!$A$28:$A$67,0)),""))</f>
        <v/>
      </c>
      <c r="D136" s="133" t="str">
        <f>IF($B136="","",IFERROR(INDEX(BUDGET!$S$28:$S$67,MATCH($B136,BUDGET!$A$28:$A$67,0)),""))</f>
        <v/>
      </c>
      <c r="E136" s="135"/>
      <c r="F136" s="133" t="str">
        <f>IF($E136="","",IFERROR(INDEX(PROJETS!$C$56:$C$95,MATCH($E136,PROJETS!$A$56:$A$95,0)),""))</f>
        <v/>
      </c>
      <c r="G136" s="133" t="str">
        <f>IF($E136="","",IFERROR(INDEX(PROJETS!$J$56:$J$95,MATCH($E136,PROJETS!$A$56:$A$95,0)),""))</f>
        <v/>
      </c>
      <c r="H136" s="133" t="str">
        <f>IF($E136="","",IFERROR(INDEX(PROJETS!$N$56:$N$95,MATCH($E136,PROJETS!$A$56:$A$95,0)),""))</f>
        <v/>
      </c>
      <c r="I136" s="135"/>
      <c r="J136" s="133" t="str">
        <f>IF($I136="","",IFERROR(INDEX(ACTIVITES!$G$56:$G$105,MATCH($I136,ACTIVITES!$A$56:$A$105,0)),""))</f>
        <v/>
      </c>
      <c r="K136" s="135"/>
      <c r="L136" s="133" t="str">
        <f>IF($K136="","",IFERROR(INDEX(DONATEURS!$B$56:$B$205,MATCH($K136,DONATEURS!$A$56:$A$205,0)),""))</f>
        <v/>
      </c>
      <c r="M136" s="136"/>
      <c r="N136" s="136"/>
      <c r="O136" s="135"/>
      <c r="P136" s="135"/>
      <c r="Q136" s="135"/>
      <c r="R136" s="136"/>
      <c r="S136" s="135"/>
      <c r="T136" s="135"/>
      <c r="U136" s="136"/>
      <c r="V136" s="136"/>
      <c r="W136" s="136"/>
      <c r="X136" s="137"/>
      <c r="Y136" s="135"/>
      <c r="Z136" s="137"/>
      <c r="AA136" s="132" t="str">
        <f t="shared" si="16"/>
        <v/>
      </c>
      <c r="AB136" s="137"/>
      <c r="AC136" s="137"/>
      <c r="AD136" s="132" t="str">
        <f t="shared" si="22"/>
        <v/>
      </c>
      <c r="AE136" s="135"/>
      <c r="AF136" s="138"/>
      <c r="AG136" s="132" t="str">
        <f t="shared" si="23"/>
        <v/>
      </c>
      <c r="AH136" s="135"/>
      <c r="AI136" s="136"/>
      <c r="AJ136" s="136"/>
      <c r="AK136" s="135"/>
      <c r="AL136" s="136"/>
      <c r="AM136" s="136"/>
      <c r="AN136" s="139"/>
      <c r="AO136" s="136"/>
      <c r="AP136" s="136"/>
      <c r="AQ136" s="139"/>
      <c r="AR136" s="135"/>
      <c r="AS136" s="135"/>
      <c r="AT136" s="139"/>
      <c r="AU136" s="137"/>
      <c r="AV136" s="136"/>
      <c r="AW136" s="135"/>
      <c r="AX136" s="139"/>
      <c r="AY136" s="137"/>
      <c r="AZ136" s="132" t="str">
        <f t="shared" si="17"/>
        <v/>
      </c>
      <c r="BA136" s="135"/>
      <c r="BB136" s="136"/>
      <c r="BC136" s="139"/>
      <c r="BD136" s="135"/>
      <c r="BE136" s="136"/>
      <c r="BF136" s="130" t="str">
        <f t="shared" si="18"/>
        <v/>
      </c>
      <c r="BG136" s="135"/>
      <c r="BH136" s="139"/>
      <c r="BI136" s="136"/>
      <c r="BJ136" s="136"/>
      <c r="BK136" s="136"/>
      <c r="BL136" s="139"/>
      <c r="BM136" s="130" t="str">
        <f t="shared" si="19"/>
        <v/>
      </c>
      <c r="BN136" s="140" t="str">
        <f>IF($BL136="","",INDEX(PARAMETRES!$C$53:$C$65,MONTH($BL136)))</f>
        <v/>
      </c>
      <c r="BO136" s="79" t="str">
        <f>IF($BL136="","",INDEX(PARAMETRES!$B$53:$B$65,MONTH($BL136)))</f>
        <v/>
      </c>
      <c r="BP136" s="132" t="str">
        <f>IFERROR(INDEX(BUDGET!$AL$28:$AL$67,MATCH($B136,BUDGET!$A$28:$A$67,0)),"")</f>
        <v/>
      </c>
      <c r="BQ136" s="132" t="str">
        <f t="shared" si="20"/>
        <v/>
      </c>
      <c r="BR136" s="134" t="str">
        <f>IFERROR($AG136/INDEX(BUDGET!$AK$28:$AK$67,MATCH($B136,BUDGET!$A$28:$A$67,0)),"")</f>
        <v/>
      </c>
      <c r="BS136" s="130" t="str">
        <f t="shared" si="21"/>
        <v/>
      </c>
      <c r="BT136" s="136"/>
      <c r="BU136" s="130" t="str">
        <f>IF($E136="","",COUNTIFS($E$119:E136,$E136))</f>
        <v/>
      </c>
      <c r="BV136" s="130" t="str">
        <f>IF($D136="","",COUNTIFS($D$119:D136,$D136))</f>
        <v/>
      </c>
    </row>
    <row r="137" spans="1:74" ht="15" customHeight="1">
      <c r="A137" s="130" t="str">
        <f t="shared" si="15"/>
        <v/>
      </c>
      <c r="B137" s="135"/>
      <c r="C137" s="133" t="str">
        <f>IF($B137="","",IFERROR(INDEX(BUDGET!$T$28:$T$67,MATCH($B137,BUDGET!$A$28:$A$67,0)),""))</f>
        <v/>
      </c>
      <c r="D137" s="133" t="str">
        <f>IF($B137="","",IFERROR(INDEX(BUDGET!$S$28:$S$67,MATCH($B137,BUDGET!$A$28:$A$67,0)),""))</f>
        <v/>
      </c>
      <c r="E137" s="135"/>
      <c r="F137" s="133" t="str">
        <f>IF($E137="","",IFERROR(INDEX(PROJETS!$C$56:$C$95,MATCH($E137,PROJETS!$A$56:$A$95,0)),""))</f>
        <v/>
      </c>
      <c r="G137" s="133" t="str">
        <f>IF($E137="","",IFERROR(INDEX(PROJETS!$J$56:$J$95,MATCH($E137,PROJETS!$A$56:$A$95,0)),""))</f>
        <v/>
      </c>
      <c r="H137" s="133" t="str">
        <f>IF($E137="","",IFERROR(INDEX(PROJETS!$N$56:$N$95,MATCH($E137,PROJETS!$A$56:$A$95,0)),""))</f>
        <v/>
      </c>
      <c r="I137" s="135"/>
      <c r="J137" s="133" t="str">
        <f>IF($I137="","",IFERROR(INDEX(ACTIVITES!$G$56:$G$105,MATCH($I137,ACTIVITES!$A$56:$A$105,0)),""))</f>
        <v/>
      </c>
      <c r="K137" s="135"/>
      <c r="L137" s="133" t="str">
        <f>IF($K137="","",IFERROR(INDEX(DONATEURS!$B$56:$B$205,MATCH($K137,DONATEURS!$A$56:$A$205,0)),""))</f>
        <v/>
      </c>
      <c r="M137" s="136"/>
      <c r="N137" s="136"/>
      <c r="O137" s="135"/>
      <c r="P137" s="135"/>
      <c r="Q137" s="135"/>
      <c r="R137" s="136"/>
      <c r="S137" s="135"/>
      <c r="T137" s="135"/>
      <c r="U137" s="136"/>
      <c r="V137" s="136"/>
      <c r="W137" s="136"/>
      <c r="X137" s="137"/>
      <c r="Y137" s="135"/>
      <c r="Z137" s="137"/>
      <c r="AA137" s="132" t="str">
        <f t="shared" si="16"/>
        <v/>
      </c>
      <c r="AB137" s="137"/>
      <c r="AC137" s="137"/>
      <c r="AD137" s="132" t="str">
        <f t="shared" si="22"/>
        <v/>
      </c>
      <c r="AE137" s="135"/>
      <c r="AF137" s="138"/>
      <c r="AG137" s="132" t="str">
        <f t="shared" si="23"/>
        <v/>
      </c>
      <c r="AH137" s="135"/>
      <c r="AI137" s="136"/>
      <c r="AJ137" s="136"/>
      <c r="AK137" s="135"/>
      <c r="AL137" s="136"/>
      <c r="AM137" s="136"/>
      <c r="AN137" s="139"/>
      <c r="AO137" s="136"/>
      <c r="AP137" s="136"/>
      <c r="AQ137" s="139"/>
      <c r="AR137" s="135"/>
      <c r="AS137" s="135"/>
      <c r="AT137" s="139"/>
      <c r="AU137" s="137"/>
      <c r="AV137" s="136"/>
      <c r="AW137" s="135"/>
      <c r="AX137" s="139"/>
      <c r="AY137" s="137"/>
      <c r="AZ137" s="132" t="str">
        <f t="shared" si="17"/>
        <v/>
      </c>
      <c r="BA137" s="135"/>
      <c r="BB137" s="136"/>
      <c r="BC137" s="139"/>
      <c r="BD137" s="135"/>
      <c r="BE137" s="136"/>
      <c r="BF137" s="130" t="str">
        <f t="shared" si="18"/>
        <v/>
      </c>
      <c r="BG137" s="135"/>
      <c r="BH137" s="139"/>
      <c r="BI137" s="136"/>
      <c r="BJ137" s="136"/>
      <c r="BK137" s="136"/>
      <c r="BL137" s="139"/>
      <c r="BM137" s="130" t="str">
        <f t="shared" si="19"/>
        <v/>
      </c>
      <c r="BN137" s="140" t="str">
        <f>IF($BL137="","",INDEX(PARAMETRES!$C$53:$C$65,MONTH($BL137)))</f>
        <v/>
      </c>
      <c r="BO137" s="79" t="str">
        <f>IF($BL137="","",INDEX(PARAMETRES!$B$53:$B$65,MONTH($BL137)))</f>
        <v/>
      </c>
      <c r="BP137" s="132" t="str">
        <f>IFERROR(INDEX(BUDGET!$AL$28:$AL$67,MATCH($B137,BUDGET!$A$28:$A$67,0)),"")</f>
        <v/>
      </c>
      <c r="BQ137" s="132" t="str">
        <f t="shared" si="20"/>
        <v/>
      </c>
      <c r="BR137" s="134" t="str">
        <f>IFERROR($AG137/INDEX(BUDGET!$AK$28:$AK$67,MATCH($B137,BUDGET!$A$28:$A$67,0)),"")</f>
        <v/>
      </c>
      <c r="BS137" s="130" t="str">
        <f t="shared" si="21"/>
        <v/>
      </c>
      <c r="BT137" s="136"/>
      <c r="BU137" s="130" t="str">
        <f>IF($E137="","",COUNTIFS($E$119:E137,$E137))</f>
        <v/>
      </c>
      <c r="BV137" s="130" t="str">
        <f>IF($D137="","",COUNTIFS($D$119:D137,$D137))</f>
        <v/>
      </c>
    </row>
    <row r="138" spans="1:74" ht="15" customHeight="1">
      <c r="A138" s="130" t="str">
        <f t="shared" si="15"/>
        <v/>
      </c>
      <c r="B138" s="135"/>
      <c r="C138" s="133" t="str">
        <f>IF($B138="","",IFERROR(INDEX(BUDGET!$T$28:$T$67,MATCH($B138,BUDGET!$A$28:$A$67,0)),""))</f>
        <v/>
      </c>
      <c r="D138" s="133" t="str">
        <f>IF($B138="","",IFERROR(INDEX(BUDGET!$S$28:$S$67,MATCH($B138,BUDGET!$A$28:$A$67,0)),""))</f>
        <v/>
      </c>
      <c r="E138" s="135"/>
      <c r="F138" s="133" t="str">
        <f>IF($E138="","",IFERROR(INDEX(PROJETS!$C$56:$C$95,MATCH($E138,PROJETS!$A$56:$A$95,0)),""))</f>
        <v/>
      </c>
      <c r="G138" s="133" t="str">
        <f>IF($E138="","",IFERROR(INDEX(PROJETS!$J$56:$J$95,MATCH($E138,PROJETS!$A$56:$A$95,0)),""))</f>
        <v/>
      </c>
      <c r="H138" s="133" t="str">
        <f>IF($E138="","",IFERROR(INDEX(PROJETS!$N$56:$N$95,MATCH($E138,PROJETS!$A$56:$A$95,0)),""))</f>
        <v/>
      </c>
      <c r="I138" s="135"/>
      <c r="J138" s="133" t="str">
        <f>IF($I138="","",IFERROR(INDEX(ACTIVITES!$G$56:$G$105,MATCH($I138,ACTIVITES!$A$56:$A$105,0)),""))</f>
        <v/>
      </c>
      <c r="K138" s="135"/>
      <c r="L138" s="133" t="str">
        <f>IF($K138="","",IFERROR(INDEX(DONATEURS!$B$56:$B$205,MATCH($K138,DONATEURS!$A$56:$A$205,0)),""))</f>
        <v/>
      </c>
      <c r="M138" s="136"/>
      <c r="N138" s="136"/>
      <c r="O138" s="135"/>
      <c r="P138" s="135"/>
      <c r="Q138" s="135"/>
      <c r="R138" s="136"/>
      <c r="S138" s="135"/>
      <c r="T138" s="135"/>
      <c r="U138" s="136"/>
      <c r="V138" s="136"/>
      <c r="W138" s="136"/>
      <c r="X138" s="137"/>
      <c r="Y138" s="135"/>
      <c r="Z138" s="137"/>
      <c r="AA138" s="132" t="str">
        <f t="shared" si="16"/>
        <v/>
      </c>
      <c r="AB138" s="137"/>
      <c r="AC138" s="137"/>
      <c r="AD138" s="132" t="str">
        <f t="shared" si="22"/>
        <v/>
      </c>
      <c r="AE138" s="135"/>
      <c r="AF138" s="138"/>
      <c r="AG138" s="132" t="str">
        <f t="shared" si="23"/>
        <v/>
      </c>
      <c r="AH138" s="135"/>
      <c r="AI138" s="136"/>
      <c r="AJ138" s="136"/>
      <c r="AK138" s="135"/>
      <c r="AL138" s="136"/>
      <c r="AM138" s="136"/>
      <c r="AN138" s="139"/>
      <c r="AO138" s="136"/>
      <c r="AP138" s="136"/>
      <c r="AQ138" s="139"/>
      <c r="AR138" s="135"/>
      <c r="AS138" s="135"/>
      <c r="AT138" s="139"/>
      <c r="AU138" s="137"/>
      <c r="AV138" s="136"/>
      <c r="AW138" s="135"/>
      <c r="AX138" s="139"/>
      <c r="AY138" s="137"/>
      <c r="AZ138" s="132" t="str">
        <f t="shared" si="17"/>
        <v/>
      </c>
      <c r="BA138" s="135"/>
      <c r="BB138" s="136"/>
      <c r="BC138" s="139"/>
      <c r="BD138" s="135"/>
      <c r="BE138" s="136"/>
      <c r="BF138" s="130" t="str">
        <f t="shared" si="18"/>
        <v/>
      </c>
      <c r="BG138" s="135"/>
      <c r="BH138" s="139"/>
      <c r="BI138" s="136"/>
      <c r="BJ138" s="136"/>
      <c r="BK138" s="136"/>
      <c r="BL138" s="139"/>
      <c r="BM138" s="130" t="str">
        <f t="shared" si="19"/>
        <v/>
      </c>
      <c r="BN138" s="140" t="str">
        <f>IF($BL138="","",INDEX(PARAMETRES!$C$53:$C$65,MONTH($BL138)))</f>
        <v/>
      </c>
      <c r="BO138" s="79" t="str">
        <f>IF($BL138="","",INDEX(PARAMETRES!$B$53:$B$65,MONTH($BL138)))</f>
        <v/>
      </c>
      <c r="BP138" s="132" t="str">
        <f>IFERROR(INDEX(BUDGET!$AL$28:$AL$67,MATCH($B138,BUDGET!$A$28:$A$67,0)),"")</f>
        <v/>
      </c>
      <c r="BQ138" s="132" t="str">
        <f t="shared" si="20"/>
        <v/>
      </c>
      <c r="BR138" s="134" t="str">
        <f>IFERROR($AG138/INDEX(BUDGET!$AK$28:$AK$67,MATCH($B138,BUDGET!$A$28:$A$67,0)),"")</f>
        <v/>
      </c>
      <c r="BS138" s="130" t="str">
        <f t="shared" si="21"/>
        <v/>
      </c>
      <c r="BT138" s="136"/>
      <c r="BU138" s="130" t="str">
        <f>IF($E138="","",COUNTIFS($E$119:E138,$E138))</f>
        <v/>
      </c>
      <c r="BV138" s="130" t="str">
        <f>IF($D138="","",COUNTIFS($D$119:D138,$D138))</f>
        <v/>
      </c>
    </row>
    <row r="139" spans="1:74" ht="15" customHeight="1">
      <c r="A139" s="130" t="str">
        <f t="shared" si="15"/>
        <v/>
      </c>
      <c r="B139" s="135"/>
      <c r="C139" s="133" t="str">
        <f>IF($B139="","",IFERROR(INDEX(BUDGET!$T$28:$T$67,MATCH($B139,BUDGET!$A$28:$A$67,0)),""))</f>
        <v/>
      </c>
      <c r="D139" s="133" t="str">
        <f>IF($B139="","",IFERROR(INDEX(BUDGET!$S$28:$S$67,MATCH($B139,BUDGET!$A$28:$A$67,0)),""))</f>
        <v/>
      </c>
      <c r="E139" s="135"/>
      <c r="F139" s="133" t="str">
        <f>IF($E139="","",IFERROR(INDEX(PROJETS!$C$56:$C$95,MATCH($E139,PROJETS!$A$56:$A$95,0)),""))</f>
        <v/>
      </c>
      <c r="G139" s="133" t="str">
        <f>IF($E139="","",IFERROR(INDEX(PROJETS!$J$56:$J$95,MATCH($E139,PROJETS!$A$56:$A$95,0)),""))</f>
        <v/>
      </c>
      <c r="H139" s="133" t="str">
        <f>IF($E139="","",IFERROR(INDEX(PROJETS!$N$56:$N$95,MATCH($E139,PROJETS!$A$56:$A$95,0)),""))</f>
        <v/>
      </c>
      <c r="I139" s="135"/>
      <c r="J139" s="133" t="str">
        <f>IF($I139="","",IFERROR(INDEX(ACTIVITES!$G$56:$G$105,MATCH($I139,ACTIVITES!$A$56:$A$105,0)),""))</f>
        <v/>
      </c>
      <c r="K139" s="135"/>
      <c r="L139" s="133" t="str">
        <f>IF($K139="","",IFERROR(INDEX(DONATEURS!$B$56:$B$205,MATCH($K139,DONATEURS!$A$56:$A$205,0)),""))</f>
        <v/>
      </c>
      <c r="M139" s="136"/>
      <c r="N139" s="136"/>
      <c r="O139" s="135"/>
      <c r="P139" s="135"/>
      <c r="Q139" s="135"/>
      <c r="R139" s="136"/>
      <c r="S139" s="135"/>
      <c r="T139" s="135"/>
      <c r="U139" s="136"/>
      <c r="V139" s="136"/>
      <c r="W139" s="136"/>
      <c r="X139" s="137"/>
      <c r="Y139" s="135"/>
      <c r="Z139" s="137"/>
      <c r="AA139" s="132" t="str">
        <f t="shared" si="16"/>
        <v/>
      </c>
      <c r="AB139" s="137"/>
      <c r="AC139" s="137"/>
      <c r="AD139" s="132" t="str">
        <f t="shared" si="22"/>
        <v/>
      </c>
      <c r="AE139" s="135"/>
      <c r="AF139" s="138"/>
      <c r="AG139" s="132" t="str">
        <f t="shared" si="23"/>
        <v/>
      </c>
      <c r="AH139" s="135"/>
      <c r="AI139" s="136"/>
      <c r="AJ139" s="136"/>
      <c r="AK139" s="135"/>
      <c r="AL139" s="136"/>
      <c r="AM139" s="136"/>
      <c r="AN139" s="139"/>
      <c r="AO139" s="136"/>
      <c r="AP139" s="136"/>
      <c r="AQ139" s="139"/>
      <c r="AR139" s="135"/>
      <c r="AS139" s="135"/>
      <c r="AT139" s="139"/>
      <c r="AU139" s="137"/>
      <c r="AV139" s="136"/>
      <c r="AW139" s="135"/>
      <c r="AX139" s="139"/>
      <c r="AY139" s="137"/>
      <c r="AZ139" s="132" t="str">
        <f t="shared" si="17"/>
        <v/>
      </c>
      <c r="BA139" s="135"/>
      <c r="BB139" s="136"/>
      <c r="BC139" s="139"/>
      <c r="BD139" s="135"/>
      <c r="BE139" s="136"/>
      <c r="BF139" s="130" t="str">
        <f t="shared" si="18"/>
        <v/>
      </c>
      <c r="BG139" s="135"/>
      <c r="BH139" s="139"/>
      <c r="BI139" s="136"/>
      <c r="BJ139" s="136"/>
      <c r="BK139" s="136"/>
      <c r="BL139" s="139"/>
      <c r="BM139" s="130" t="str">
        <f t="shared" si="19"/>
        <v/>
      </c>
      <c r="BN139" s="140" t="str">
        <f>IF($BL139="","",INDEX(PARAMETRES!$C$53:$C$65,MONTH($BL139)))</f>
        <v/>
      </c>
      <c r="BO139" s="79" t="str">
        <f>IF($BL139="","",INDEX(PARAMETRES!$B$53:$B$65,MONTH($BL139)))</f>
        <v/>
      </c>
      <c r="BP139" s="132" t="str">
        <f>IFERROR(INDEX(BUDGET!$AL$28:$AL$67,MATCH($B139,BUDGET!$A$28:$A$67,0)),"")</f>
        <v/>
      </c>
      <c r="BQ139" s="132" t="str">
        <f t="shared" si="20"/>
        <v/>
      </c>
      <c r="BR139" s="134" t="str">
        <f>IFERROR($AG139/INDEX(BUDGET!$AK$28:$AK$67,MATCH($B139,BUDGET!$A$28:$A$67,0)),"")</f>
        <v/>
      </c>
      <c r="BS139" s="130" t="str">
        <f t="shared" si="21"/>
        <v/>
      </c>
      <c r="BT139" s="136"/>
      <c r="BU139" s="130" t="str">
        <f>IF($E139="","",COUNTIFS($E$119:E139,$E139))</f>
        <v/>
      </c>
      <c r="BV139" s="130" t="str">
        <f>IF($D139="","",COUNTIFS($D$119:D139,$D139))</f>
        <v/>
      </c>
    </row>
    <row r="140" spans="1:74" ht="15" customHeight="1">
      <c r="A140" s="130" t="str">
        <f t="shared" si="15"/>
        <v/>
      </c>
      <c r="B140" s="135"/>
      <c r="C140" s="133" t="str">
        <f>IF($B140="","",IFERROR(INDEX(BUDGET!$T$28:$T$67,MATCH($B140,BUDGET!$A$28:$A$67,0)),""))</f>
        <v/>
      </c>
      <c r="D140" s="133" t="str">
        <f>IF($B140="","",IFERROR(INDEX(BUDGET!$S$28:$S$67,MATCH($B140,BUDGET!$A$28:$A$67,0)),""))</f>
        <v/>
      </c>
      <c r="E140" s="135"/>
      <c r="F140" s="133" t="str">
        <f>IF($E140="","",IFERROR(INDEX(PROJETS!$C$56:$C$95,MATCH($E140,PROJETS!$A$56:$A$95,0)),""))</f>
        <v/>
      </c>
      <c r="G140" s="133" t="str">
        <f>IF($E140="","",IFERROR(INDEX(PROJETS!$J$56:$J$95,MATCH($E140,PROJETS!$A$56:$A$95,0)),""))</f>
        <v/>
      </c>
      <c r="H140" s="133" t="str">
        <f>IF($E140="","",IFERROR(INDEX(PROJETS!$N$56:$N$95,MATCH($E140,PROJETS!$A$56:$A$95,0)),""))</f>
        <v/>
      </c>
      <c r="I140" s="135"/>
      <c r="J140" s="133" t="str">
        <f>IF($I140="","",IFERROR(INDEX(ACTIVITES!$G$56:$G$105,MATCH($I140,ACTIVITES!$A$56:$A$105,0)),""))</f>
        <v/>
      </c>
      <c r="K140" s="135"/>
      <c r="L140" s="133" t="str">
        <f>IF($K140="","",IFERROR(INDEX(DONATEURS!$B$56:$B$205,MATCH($K140,DONATEURS!$A$56:$A$205,0)),""))</f>
        <v/>
      </c>
      <c r="M140" s="136"/>
      <c r="N140" s="136"/>
      <c r="O140" s="135"/>
      <c r="P140" s="135"/>
      <c r="Q140" s="135"/>
      <c r="R140" s="136"/>
      <c r="S140" s="135"/>
      <c r="T140" s="135"/>
      <c r="U140" s="136"/>
      <c r="V140" s="136"/>
      <c r="W140" s="136"/>
      <c r="X140" s="137"/>
      <c r="Y140" s="135"/>
      <c r="Z140" s="137"/>
      <c r="AA140" s="132" t="str">
        <f t="shared" si="16"/>
        <v/>
      </c>
      <c r="AB140" s="137"/>
      <c r="AC140" s="137"/>
      <c r="AD140" s="132" t="str">
        <f t="shared" si="22"/>
        <v/>
      </c>
      <c r="AE140" s="135"/>
      <c r="AF140" s="138"/>
      <c r="AG140" s="132" t="str">
        <f t="shared" si="23"/>
        <v/>
      </c>
      <c r="AH140" s="135"/>
      <c r="AI140" s="136"/>
      <c r="AJ140" s="136"/>
      <c r="AK140" s="135"/>
      <c r="AL140" s="136"/>
      <c r="AM140" s="136"/>
      <c r="AN140" s="139"/>
      <c r="AO140" s="136"/>
      <c r="AP140" s="136"/>
      <c r="AQ140" s="139"/>
      <c r="AR140" s="135"/>
      <c r="AS140" s="135"/>
      <c r="AT140" s="139"/>
      <c r="AU140" s="137"/>
      <c r="AV140" s="136"/>
      <c r="AW140" s="135"/>
      <c r="AX140" s="139"/>
      <c r="AY140" s="137"/>
      <c r="AZ140" s="132" t="str">
        <f t="shared" si="17"/>
        <v/>
      </c>
      <c r="BA140" s="135"/>
      <c r="BB140" s="136"/>
      <c r="BC140" s="139"/>
      <c r="BD140" s="135"/>
      <c r="BE140" s="136"/>
      <c r="BF140" s="130" t="str">
        <f t="shared" si="18"/>
        <v/>
      </c>
      <c r="BG140" s="135"/>
      <c r="BH140" s="139"/>
      <c r="BI140" s="136"/>
      <c r="BJ140" s="136"/>
      <c r="BK140" s="136"/>
      <c r="BL140" s="139"/>
      <c r="BM140" s="130" t="str">
        <f t="shared" si="19"/>
        <v/>
      </c>
      <c r="BN140" s="140" t="str">
        <f>IF($BL140="","",INDEX(PARAMETRES!$C$53:$C$65,MONTH($BL140)))</f>
        <v/>
      </c>
      <c r="BO140" s="79" t="str">
        <f>IF($BL140="","",INDEX(PARAMETRES!$B$53:$B$65,MONTH($BL140)))</f>
        <v/>
      </c>
      <c r="BP140" s="132" t="str">
        <f>IFERROR(INDEX(BUDGET!$AL$28:$AL$67,MATCH($B140,BUDGET!$A$28:$A$67,0)),"")</f>
        <v/>
      </c>
      <c r="BQ140" s="132" t="str">
        <f t="shared" si="20"/>
        <v/>
      </c>
      <c r="BR140" s="134" t="str">
        <f>IFERROR($AG140/INDEX(BUDGET!$AK$28:$AK$67,MATCH($B140,BUDGET!$A$28:$A$67,0)),"")</f>
        <v/>
      </c>
      <c r="BS140" s="130" t="str">
        <f t="shared" si="21"/>
        <v/>
      </c>
      <c r="BT140" s="136"/>
      <c r="BU140" s="130" t="str">
        <f>IF($E140="","",COUNTIFS($E$119:E140,$E140))</f>
        <v/>
      </c>
      <c r="BV140" s="130" t="str">
        <f>IF($D140="","",COUNTIFS($D$119:D140,$D140))</f>
        <v/>
      </c>
    </row>
    <row r="141" spans="1:74" ht="15" customHeight="1">
      <c r="A141" s="130" t="str">
        <f t="shared" si="15"/>
        <v/>
      </c>
      <c r="B141" s="135"/>
      <c r="C141" s="133" t="str">
        <f>IF($B141="","",IFERROR(INDEX(BUDGET!$T$28:$T$67,MATCH($B141,BUDGET!$A$28:$A$67,0)),""))</f>
        <v/>
      </c>
      <c r="D141" s="133" t="str">
        <f>IF($B141="","",IFERROR(INDEX(BUDGET!$S$28:$S$67,MATCH($B141,BUDGET!$A$28:$A$67,0)),""))</f>
        <v/>
      </c>
      <c r="E141" s="135"/>
      <c r="F141" s="133" t="str">
        <f>IF($E141="","",IFERROR(INDEX(PROJETS!$C$56:$C$95,MATCH($E141,PROJETS!$A$56:$A$95,0)),""))</f>
        <v/>
      </c>
      <c r="G141" s="133" t="str">
        <f>IF($E141="","",IFERROR(INDEX(PROJETS!$J$56:$J$95,MATCH($E141,PROJETS!$A$56:$A$95,0)),""))</f>
        <v/>
      </c>
      <c r="H141" s="133" t="str">
        <f>IF($E141="","",IFERROR(INDEX(PROJETS!$N$56:$N$95,MATCH($E141,PROJETS!$A$56:$A$95,0)),""))</f>
        <v/>
      </c>
      <c r="I141" s="135"/>
      <c r="J141" s="133" t="str">
        <f>IF($I141="","",IFERROR(INDEX(ACTIVITES!$G$56:$G$105,MATCH($I141,ACTIVITES!$A$56:$A$105,0)),""))</f>
        <v/>
      </c>
      <c r="K141" s="135"/>
      <c r="L141" s="133" t="str">
        <f>IF($K141="","",IFERROR(INDEX(DONATEURS!$B$56:$B$205,MATCH($K141,DONATEURS!$A$56:$A$205,0)),""))</f>
        <v/>
      </c>
      <c r="M141" s="136"/>
      <c r="N141" s="136"/>
      <c r="O141" s="135"/>
      <c r="P141" s="135"/>
      <c r="Q141" s="135"/>
      <c r="R141" s="136"/>
      <c r="S141" s="135"/>
      <c r="T141" s="135"/>
      <c r="U141" s="136"/>
      <c r="V141" s="136"/>
      <c r="W141" s="136"/>
      <c r="X141" s="137"/>
      <c r="Y141" s="135"/>
      <c r="Z141" s="137"/>
      <c r="AA141" s="132" t="str">
        <f t="shared" si="16"/>
        <v/>
      </c>
      <c r="AB141" s="137"/>
      <c r="AC141" s="137"/>
      <c r="AD141" s="132" t="str">
        <f t="shared" si="22"/>
        <v/>
      </c>
      <c r="AE141" s="135"/>
      <c r="AF141" s="138"/>
      <c r="AG141" s="132" t="str">
        <f t="shared" si="23"/>
        <v/>
      </c>
      <c r="AH141" s="135"/>
      <c r="AI141" s="136"/>
      <c r="AJ141" s="136"/>
      <c r="AK141" s="135"/>
      <c r="AL141" s="136"/>
      <c r="AM141" s="136"/>
      <c r="AN141" s="139"/>
      <c r="AO141" s="136"/>
      <c r="AP141" s="136"/>
      <c r="AQ141" s="139"/>
      <c r="AR141" s="135"/>
      <c r="AS141" s="135"/>
      <c r="AT141" s="139"/>
      <c r="AU141" s="137"/>
      <c r="AV141" s="136"/>
      <c r="AW141" s="135"/>
      <c r="AX141" s="139"/>
      <c r="AY141" s="137"/>
      <c r="AZ141" s="132" t="str">
        <f t="shared" si="17"/>
        <v/>
      </c>
      <c r="BA141" s="135"/>
      <c r="BB141" s="136"/>
      <c r="BC141" s="139"/>
      <c r="BD141" s="135"/>
      <c r="BE141" s="136"/>
      <c r="BF141" s="130" t="str">
        <f t="shared" si="18"/>
        <v/>
      </c>
      <c r="BG141" s="135"/>
      <c r="BH141" s="139"/>
      <c r="BI141" s="136"/>
      <c r="BJ141" s="136"/>
      <c r="BK141" s="136"/>
      <c r="BL141" s="139"/>
      <c r="BM141" s="130" t="str">
        <f t="shared" si="19"/>
        <v/>
      </c>
      <c r="BN141" s="140" t="str">
        <f>IF($BL141="","",INDEX(PARAMETRES!$C$53:$C$65,MONTH($BL141)))</f>
        <v/>
      </c>
      <c r="BO141" s="79" t="str">
        <f>IF($BL141="","",INDEX(PARAMETRES!$B$53:$B$65,MONTH($BL141)))</f>
        <v/>
      </c>
      <c r="BP141" s="132" t="str">
        <f>IFERROR(INDEX(BUDGET!$AL$28:$AL$67,MATCH($B141,BUDGET!$A$28:$A$67,0)),"")</f>
        <v/>
      </c>
      <c r="BQ141" s="132" t="str">
        <f t="shared" si="20"/>
        <v/>
      </c>
      <c r="BR141" s="134" t="str">
        <f>IFERROR($AG141/INDEX(BUDGET!$AK$28:$AK$67,MATCH($B141,BUDGET!$A$28:$A$67,0)),"")</f>
        <v/>
      </c>
      <c r="BS141" s="130" t="str">
        <f t="shared" si="21"/>
        <v/>
      </c>
      <c r="BT141" s="136"/>
      <c r="BU141" s="130" t="str">
        <f>IF($E141="","",COUNTIFS($E$119:E141,$E141))</f>
        <v/>
      </c>
      <c r="BV141" s="130" t="str">
        <f>IF($D141="","",COUNTIFS($D$119:D141,$D141))</f>
        <v/>
      </c>
    </row>
    <row r="142" spans="1:74" ht="15" customHeight="1">
      <c r="A142" s="130" t="str">
        <f t="shared" si="15"/>
        <v/>
      </c>
      <c r="B142" s="135"/>
      <c r="C142" s="133" t="str">
        <f>IF($B142="","",IFERROR(INDEX(BUDGET!$T$28:$T$67,MATCH($B142,BUDGET!$A$28:$A$67,0)),""))</f>
        <v/>
      </c>
      <c r="D142" s="133" t="str">
        <f>IF($B142="","",IFERROR(INDEX(BUDGET!$S$28:$S$67,MATCH($B142,BUDGET!$A$28:$A$67,0)),""))</f>
        <v/>
      </c>
      <c r="E142" s="135"/>
      <c r="F142" s="133" t="str">
        <f>IF($E142="","",IFERROR(INDEX(PROJETS!$C$56:$C$95,MATCH($E142,PROJETS!$A$56:$A$95,0)),""))</f>
        <v/>
      </c>
      <c r="G142" s="133" t="str">
        <f>IF($E142="","",IFERROR(INDEX(PROJETS!$J$56:$J$95,MATCH($E142,PROJETS!$A$56:$A$95,0)),""))</f>
        <v/>
      </c>
      <c r="H142" s="133" t="str">
        <f>IF($E142="","",IFERROR(INDEX(PROJETS!$N$56:$N$95,MATCH($E142,PROJETS!$A$56:$A$95,0)),""))</f>
        <v/>
      </c>
      <c r="I142" s="135"/>
      <c r="J142" s="133" t="str">
        <f>IF($I142="","",IFERROR(INDEX(ACTIVITES!$G$56:$G$105,MATCH($I142,ACTIVITES!$A$56:$A$105,0)),""))</f>
        <v/>
      </c>
      <c r="K142" s="135"/>
      <c r="L142" s="133" t="str">
        <f>IF($K142="","",IFERROR(INDEX(DONATEURS!$B$56:$B$205,MATCH($K142,DONATEURS!$A$56:$A$205,0)),""))</f>
        <v/>
      </c>
      <c r="M142" s="136"/>
      <c r="N142" s="136"/>
      <c r="O142" s="135"/>
      <c r="P142" s="135"/>
      <c r="Q142" s="135"/>
      <c r="R142" s="136"/>
      <c r="S142" s="135"/>
      <c r="T142" s="135"/>
      <c r="U142" s="136"/>
      <c r="V142" s="136"/>
      <c r="W142" s="136"/>
      <c r="X142" s="137"/>
      <c r="Y142" s="135"/>
      <c r="Z142" s="137"/>
      <c r="AA142" s="132" t="str">
        <f t="shared" si="16"/>
        <v/>
      </c>
      <c r="AB142" s="137"/>
      <c r="AC142" s="137"/>
      <c r="AD142" s="132" t="str">
        <f t="shared" si="22"/>
        <v/>
      </c>
      <c r="AE142" s="135"/>
      <c r="AF142" s="138"/>
      <c r="AG142" s="132" t="str">
        <f t="shared" si="23"/>
        <v/>
      </c>
      <c r="AH142" s="135"/>
      <c r="AI142" s="136"/>
      <c r="AJ142" s="136"/>
      <c r="AK142" s="135"/>
      <c r="AL142" s="136"/>
      <c r="AM142" s="136"/>
      <c r="AN142" s="139"/>
      <c r="AO142" s="136"/>
      <c r="AP142" s="136"/>
      <c r="AQ142" s="139"/>
      <c r="AR142" s="135"/>
      <c r="AS142" s="135"/>
      <c r="AT142" s="139"/>
      <c r="AU142" s="137"/>
      <c r="AV142" s="136"/>
      <c r="AW142" s="135"/>
      <c r="AX142" s="139"/>
      <c r="AY142" s="137"/>
      <c r="AZ142" s="132" t="str">
        <f t="shared" si="17"/>
        <v/>
      </c>
      <c r="BA142" s="135"/>
      <c r="BB142" s="136"/>
      <c r="BC142" s="139"/>
      <c r="BD142" s="135"/>
      <c r="BE142" s="136"/>
      <c r="BF142" s="130" t="str">
        <f t="shared" si="18"/>
        <v/>
      </c>
      <c r="BG142" s="135"/>
      <c r="BH142" s="139"/>
      <c r="BI142" s="136"/>
      <c r="BJ142" s="136"/>
      <c r="BK142" s="136"/>
      <c r="BL142" s="139"/>
      <c r="BM142" s="130" t="str">
        <f t="shared" si="19"/>
        <v/>
      </c>
      <c r="BN142" s="140" t="str">
        <f>IF($BL142="","",INDEX(PARAMETRES!$C$53:$C$65,MONTH($BL142)))</f>
        <v/>
      </c>
      <c r="BO142" s="79" t="str">
        <f>IF($BL142="","",INDEX(PARAMETRES!$B$53:$B$65,MONTH($BL142)))</f>
        <v/>
      </c>
      <c r="BP142" s="132" t="str">
        <f>IFERROR(INDEX(BUDGET!$AL$28:$AL$67,MATCH($B142,BUDGET!$A$28:$A$67,0)),"")</f>
        <v/>
      </c>
      <c r="BQ142" s="132" t="str">
        <f t="shared" si="20"/>
        <v/>
      </c>
      <c r="BR142" s="134" t="str">
        <f>IFERROR($AG142/INDEX(BUDGET!$AK$28:$AK$67,MATCH($B142,BUDGET!$A$28:$A$67,0)),"")</f>
        <v/>
      </c>
      <c r="BS142" s="130" t="str">
        <f t="shared" si="21"/>
        <v/>
      </c>
      <c r="BT142" s="136"/>
      <c r="BU142" s="130" t="str">
        <f>IF($E142="","",COUNTIFS($E$119:E142,$E142))</f>
        <v/>
      </c>
      <c r="BV142" s="130" t="str">
        <f>IF($D142="","",COUNTIFS($D$119:D142,$D142))</f>
        <v/>
      </c>
    </row>
    <row r="143" spans="1:74" ht="15" customHeight="1">
      <c r="A143" s="130" t="str">
        <f t="shared" si="15"/>
        <v/>
      </c>
      <c r="B143" s="135"/>
      <c r="C143" s="133" t="str">
        <f>IF($B143="","",IFERROR(INDEX(BUDGET!$T$28:$T$67,MATCH($B143,BUDGET!$A$28:$A$67,0)),""))</f>
        <v/>
      </c>
      <c r="D143" s="133" t="str">
        <f>IF($B143="","",IFERROR(INDEX(BUDGET!$S$28:$S$67,MATCH($B143,BUDGET!$A$28:$A$67,0)),""))</f>
        <v/>
      </c>
      <c r="E143" s="135"/>
      <c r="F143" s="133" t="str">
        <f>IF($E143="","",IFERROR(INDEX(PROJETS!$C$56:$C$95,MATCH($E143,PROJETS!$A$56:$A$95,0)),""))</f>
        <v/>
      </c>
      <c r="G143" s="133" t="str">
        <f>IF($E143="","",IFERROR(INDEX(PROJETS!$J$56:$J$95,MATCH($E143,PROJETS!$A$56:$A$95,0)),""))</f>
        <v/>
      </c>
      <c r="H143" s="133" t="str">
        <f>IF($E143="","",IFERROR(INDEX(PROJETS!$N$56:$N$95,MATCH($E143,PROJETS!$A$56:$A$95,0)),""))</f>
        <v/>
      </c>
      <c r="I143" s="135"/>
      <c r="J143" s="133" t="str">
        <f>IF($I143="","",IFERROR(INDEX(ACTIVITES!$G$56:$G$105,MATCH($I143,ACTIVITES!$A$56:$A$105,0)),""))</f>
        <v/>
      </c>
      <c r="K143" s="135"/>
      <c r="L143" s="133" t="str">
        <f>IF($K143="","",IFERROR(INDEX(DONATEURS!$B$56:$B$205,MATCH($K143,DONATEURS!$A$56:$A$205,0)),""))</f>
        <v/>
      </c>
      <c r="M143" s="136"/>
      <c r="N143" s="136"/>
      <c r="O143" s="135"/>
      <c r="P143" s="135"/>
      <c r="Q143" s="135"/>
      <c r="R143" s="136"/>
      <c r="S143" s="135"/>
      <c r="T143" s="135"/>
      <c r="U143" s="136"/>
      <c r="V143" s="136"/>
      <c r="W143" s="136"/>
      <c r="X143" s="137"/>
      <c r="Y143" s="135"/>
      <c r="Z143" s="137"/>
      <c r="AA143" s="132" t="str">
        <f t="shared" si="16"/>
        <v/>
      </c>
      <c r="AB143" s="137"/>
      <c r="AC143" s="137"/>
      <c r="AD143" s="132" t="str">
        <f t="shared" si="22"/>
        <v/>
      </c>
      <c r="AE143" s="135"/>
      <c r="AF143" s="138"/>
      <c r="AG143" s="132" t="str">
        <f t="shared" si="23"/>
        <v/>
      </c>
      <c r="AH143" s="135"/>
      <c r="AI143" s="136"/>
      <c r="AJ143" s="136"/>
      <c r="AK143" s="135"/>
      <c r="AL143" s="136"/>
      <c r="AM143" s="136"/>
      <c r="AN143" s="139"/>
      <c r="AO143" s="136"/>
      <c r="AP143" s="136"/>
      <c r="AQ143" s="139"/>
      <c r="AR143" s="135"/>
      <c r="AS143" s="135"/>
      <c r="AT143" s="139"/>
      <c r="AU143" s="137"/>
      <c r="AV143" s="136"/>
      <c r="AW143" s="135"/>
      <c r="AX143" s="139"/>
      <c r="AY143" s="137"/>
      <c r="AZ143" s="132" t="str">
        <f t="shared" si="17"/>
        <v/>
      </c>
      <c r="BA143" s="135"/>
      <c r="BB143" s="136"/>
      <c r="BC143" s="139"/>
      <c r="BD143" s="135"/>
      <c r="BE143" s="136"/>
      <c r="BF143" s="130" t="str">
        <f t="shared" si="18"/>
        <v/>
      </c>
      <c r="BG143" s="135"/>
      <c r="BH143" s="139"/>
      <c r="BI143" s="136"/>
      <c r="BJ143" s="136"/>
      <c r="BK143" s="136"/>
      <c r="BL143" s="139"/>
      <c r="BM143" s="130" t="str">
        <f t="shared" si="19"/>
        <v/>
      </c>
      <c r="BN143" s="140" t="str">
        <f>IF($BL143="","",INDEX(PARAMETRES!$C$53:$C$65,MONTH($BL143)))</f>
        <v/>
      </c>
      <c r="BO143" s="79" t="str">
        <f>IF($BL143="","",INDEX(PARAMETRES!$B$53:$B$65,MONTH($BL143)))</f>
        <v/>
      </c>
      <c r="BP143" s="132" t="str">
        <f>IFERROR(INDEX(BUDGET!$AL$28:$AL$67,MATCH($B143,BUDGET!$A$28:$A$67,0)),"")</f>
        <v/>
      </c>
      <c r="BQ143" s="132" t="str">
        <f t="shared" si="20"/>
        <v/>
      </c>
      <c r="BR143" s="134" t="str">
        <f>IFERROR($AG143/INDEX(BUDGET!$AK$28:$AK$67,MATCH($B143,BUDGET!$A$28:$A$67,0)),"")</f>
        <v/>
      </c>
      <c r="BS143" s="130" t="str">
        <f t="shared" si="21"/>
        <v/>
      </c>
      <c r="BT143" s="136"/>
      <c r="BU143" s="130" t="str">
        <f>IF($E143="","",COUNTIFS($E$119:E143,$E143))</f>
        <v/>
      </c>
      <c r="BV143" s="130" t="str">
        <f>IF($D143="","",COUNTIFS($D$119:D143,$D143))</f>
        <v/>
      </c>
    </row>
    <row r="144" spans="1:74" ht="15" customHeight="1">
      <c r="A144" s="130" t="str">
        <f t="shared" si="15"/>
        <v/>
      </c>
      <c r="B144" s="135"/>
      <c r="C144" s="133" t="str">
        <f>IF($B144="","",IFERROR(INDEX(BUDGET!$T$28:$T$67,MATCH($B144,BUDGET!$A$28:$A$67,0)),""))</f>
        <v/>
      </c>
      <c r="D144" s="133" t="str">
        <f>IF($B144="","",IFERROR(INDEX(BUDGET!$S$28:$S$67,MATCH($B144,BUDGET!$A$28:$A$67,0)),""))</f>
        <v/>
      </c>
      <c r="E144" s="135"/>
      <c r="F144" s="133" t="str">
        <f>IF($E144="","",IFERROR(INDEX(PROJETS!$C$56:$C$95,MATCH($E144,PROJETS!$A$56:$A$95,0)),""))</f>
        <v/>
      </c>
      <c r="G144" s="133" t="str">
        <f>IF($E144="","",IFERROR(INDEX(PROJETS!$J$56:$J$95,MATCH($E144,PROJETS!$A$56:$A$95,0)),""))</f>
        <v/>
      </c>
      <c r="H144" s="133" t="str">
        <f>IF($E144="","",IFERROR(INDEX(PROJETS!$N$56:$N$95,MATCH($E144,PROJETS!$A$56:$A$95,0)),""))</f>
        <v/>
      </c>
      <c r="I144" s="135"/>
      <c r="J144" s="133" t="str">
        <f>IF($I144="","",IFERROR(INDEX(ACTIVITES!$G$56:$G$105,MATCH($I144,ACTIVITES!$A$56:$A$105,0)),""))</f>
        <v/>
      </c>
      <c r="K144" s="135"/>
      <c r="L144" s="133" t="str">
        <f>IF($K144="","",IFERROR(INDEX(DONATEURS!$B$56:$B$205,MATCH($K144,DONATEURS!$A$56:$A$205,0)),""))</f>
        <v/>
      </c>
      <c r="M144" s="136"/>
      <c r="N144" s="136"/>
      <c r="O144" s="135"/>
      <c r="P144" s="135"/>
      <c r="Q144" s="135"/>
      <c r="R144" s="136"/>
      <c r="S144" s="135"/>
      <c r="T144" s="135"/>
      <c r="U144" s="136"/>
      <c r="V144" s="136"/>
      <c r="W144" s="136"/>
      <c r="X144" s="137"/>
      <c r="Y144" s="135"/>
      <c r="Z144" s="137"/>
      <c r="AA144" s="132" t="str">
        <f t="shared" si="16"/>
        <v/>
      </c>
      <c r="AB144" s="137"/>
      <c r="AC144" s="137"/>
      <c r="AD144" s="132" t="str">
        <f t="shared" si="22"/>
        <v/>
      </c>
      <c r="AE144" s="135"/>
      <c r="AF144" s="138"/>
      <c r="AG144" s="132" t="str">
        <f t="shared" si="23"/>
        <v/>
      </c>
      <c r="AH144" s="135"/>
      <c r="AI144" s="136"/>
      <c r="AJ144" s="136"/>
      <c r="AK144" s="135"/>
      <c r="AL144" s="136"/>
      <c r="AM144" s="136"/>
      <c r="AN144" s="139"/>
      <c r="AO144" s="136"/>
      <c r="AP144" s="136"/>
      <c r="AQ144" s="139"/>
      <c r="AR144" s="135"/>
      <c r="AS144" s="135"/>
      <c r="AT144" s="139"/>
      <c r="AU144" s="137"/>
      <c r="AV144" s="136"/>
      <c r="AW144" s="135"/>
      <c r="AX144" s="139"/>
      <c r="AY144" s="137"/>
      <c r="AZ144" s="132" t="str">
        <f t="shared" si="17"/>
        <v/>
      </c>
      <c r="BA144" s="135"/>
      <c r="BB144" s="136"/>
      <c r="BC144" s="139"/>
      <c r="BD144" s="135"/>
      <c r="BE144" s="136"/>
      <c r="BF144" s="130" t="str">
        <f t="shared" si="18"/>
        <v/>
      </c>
      <c r="BG144" s="135"/>
      <c r="BH144" s="139"/>
      <c r="BI144" s="136"/>
      <c r="BJ144" s="136"/>
      <c r="BK144" s="136"/>
      <c r="BL144" s="139"/>
      <c r="BM144" s="130" t="str">
        <f t="shared" si="19"/>
        <v/>
      </c>
      <c r="BN144" s="140" t="str">
        <f>IF($BL144="","",INDEX(PARAMETRES!$C$53:$C$65,MONTH($BL144)))</f>
        <v/>
      </c>
      <c r="BO144" s="79" t="str">
        <f>IF($BL144="","",INDEX(PARAMETRES!$B$53:$B$65,MONTH($BL144)))</f>
        <v/>
      </c>
      <c r="BP144" s="132" t="str">
        <f>IFERROR(INDEX(BUDGET!$AL$28:$AL$67,MATCH($B144,BUDGET!$A$28:$A$67,0)),"")</f>
        <v/>
      </c>
      <c r="BQ144" s="132" t="str">
        <f t="shared" si="20"/>
        <v/>
      </c>
      <c r="BR144" s="134" t="str">
        <f>IFERROR($AG144/INDEX(BUDGET!$AK$28:$AK$67,MATCH($B144,BUDGET!$A$28:$A$67,0)),"")</f>
        <v/>
      </c>
      <c r="BS144" s="130" t="str">
        <f t="shared" si="21"/>
        <v/>
      </c>
      <c r="BT144" s="136"/>
      <c r="BU144" s="130" t="str">
        <f>IF($E144="","",COUNTIFS($E$119:E144,$E144))</f>
        <v/>
      </c>
      <c r="BV144" s="130" t="str">
        <f>IF($D144="","",COUNTIFS($D$119:D144,$D144))</f>
        <v/>
      </c>
    </row>
    <row r="145" spans="1:74" ht="15" customHeight="1">
      <c r="A145" s="130" t="str">
        <f t="shared" si="15"/>
        <v/>
      </c>
      <c r="B145" s="135"/>
      <c r="C145" s="133" t="str">
        <f>IF($B145="","",IFERROR(INDEX(BUDGET!$T$28:$T$67,MATCH($B145,BUDGET!$A$28:$A$67,0)),""))</f>
        <v/>
      </c>
      <c r="D145" s="133" t="str">
        <f>IF($B145="","",IFERROR(INDEX(BUDGET!$S$28:$S$67,MATCH($B145,BUDGET!$A$28:$A$67,0)),""))</f>
        <v/>
      </c>
      <c r="E145" s="135"/>
      <c r="F145" s="133" t="str">
        <f>IF($E145="","",IFERROR(INDEX(PROJETS!$C$56:$C$95,MATCH($E145,PROJETS!$A$56:$A$95,0)),""))</f>
        <v/>
      </c>
      <c r="G145" s="133" t="str">
        <f>IF($E145="","",IFERROR(INDEX(PROJETS!$J$56:$J$95,MATCH($E145,PROJETS!$A$56:$A$95,0)),""))</f>
        <v/>
      </c>
      <c r="H145" s="133" t="str">
        <f>IF($E145="","",IFERROR(INDEX(PROJETS!$N$56:$N$95,MATCH($E145,PROJETS!$A$56:$A$95,0)),""))</f>
        <v/>
      </c>
      <c r="I145" s="135"/>
      <c r="J145" s="133" t="str">
        <f>IF($I145="","",IFERROR(INDEX(ACTIVITES!$G$56:$G$105,MATCH($I145,ACTIVITES!$A$56:$A$105,0)),""))</f>
        <v/>
      </c>
      <c r="K145" s="135"/>
      <c r="L145" s="133" t="str">
        <f>IF($K145="","",IFERROR(INDEX(DONATEURS!$B$56:$B$205,MATCH($K145,DONATEURS!$A$56:$A$205,0)),""))</f>
        <v/>
      </c>
      <c r="M145" s="136"/>
      <c r="N145" s="136"/>
      <c r="O145" s="135"/>
      <c r="P145" s="135"/>
      <c r="Q145" s="135"/>
      <c r="R145" s="136"/>
      <c r="S145" s="135"/>
      <c r="T145" s="135"/>
      <c r="U145" s="136"/>
      <c r="V145" s="136"/>
      <c r="W145" s="136"/>
      <c r="X145" s="137"/>
      <c r="Y145" s="135"/>
      <c r="Z145" s="137"/>
      <c r="AA145" s="132" t="str">
        <f t="shared" si="16"/>
        <v/>
      </c>
      <c r="AB145" s="137"/>
      <c r="AC145" s="137"/>
      <c r="AD145" s="132" t="str">
        <f t="shared" si="22"/>
        <v/>
      </c>
      <c r="AE145" s="135"/>
      <c r="AF145" s="138"/>
      <c r="AG145" s="132" t="str">
        <f t="shared" si="23"/>
        <v/>
      </c>
      <c r="AH145" s="135"/>
      <c r="AI145" s="136"/>
      <c r="AJ145" s="136"/>
      <c r="AK145" s="135"/>
      <c r="AL145" s="136"/>
      <c r="AM145" s="136"/>
      <c r="AN145" s="139"/>
      <c r="AO145" s="136"/>
      <c r="AP145" s="136"/>
      <c r="AQ145" s="139"/>
      <c r="AR145" s="135"/>
      <c r="AS145" s="135"/>
      <c r="AT145" s="139"/>
      <c r="AU145" s="137"/>
      <c r="AV145" s="136"/>
      <c r="AW145" s="135"/>
      <c r="AX145" s="139"/>
      <c r="AY145" s="137"/>
      <c r="AZ145" s="132" t="str">
        <f t="shared" si="17"/>
        <v/>
      </c>
      <c r="BA145" s="135"/>
      <c r="BB145" s="136"/>
      <c r="BC145" s="139"/>
      <c r="BD145" s="135"/>
      <c r="BE145" s="136"/>
      <c r="BF145" s="130" t="str">
        <f t="shared" si="18"/>
        <v/>
      </c>
      <c r="BG145" s="135"/>
      <c r="BH145" s="139"/>
      <c r="BI145" s="136"/>
      <c r="BJ145" s="136"/>
      <c r="BK145" s="136"/>
      <c r="BL145" s="139"/>
      <c r="BM145" s="130" t="str">
        <f t="shared" si="19"/>
        <v/>
      </c>
      <c r="BN145" s="140" t="str">
        <f>IF($BL145="","",INDEX(PARAMETRES!$C$53:$C$65,MONTH($BL145)))</f>
        <v/>
      </c>
      <c r="BO145" s="79" t="str">
        <f>IF($BL145="","",INDEX(PARAMETRES!$B$53:$B$65,MONTH($BL145)))</f>
        <v/>
      </c>
      <c r="BP145" s="132" t="str">
        <f>IFERROR(INDEX(BUDGET!$AL$28:$AL$67,MATCH($B145,BUDGET!$A$28:$A$67,0)),"")</f>
        <v/>
      </c>
      <c r="BQ145" s="132" t="str">
        <f t="shared" si="20"/>
        <v/>
      </c>
      <c r="BR145" s="134" t="str">
        <f>IFERROR($AG145/INDEX(BUDGET!$AK$28:$AK$67,MATCH($B145,BUDGET!$A$28:$A$67,0)),"")</f>
        <v/>
      </c>
      <c r="BS145" s="130" t="str">
        <f t="shared" si="21"/>
        <v/>
      </c>
      <c r="BT145" s="136"/>
      <c r="BU145" s="130" t="str">
        <f>IF($E145="","",COUNTIFS($E$119:E145,$E145))</f>
        <v/>
      </c>
      <c r="BV145" s="130" t="str">
        <f>IF($D145="","",COUNTIFS($D$119:D145,$D145))</f>
        <v/>
      </c>
    </row>
    <row r="146" spans="1:74" ht="15" customHeight="1">
      <c r="A146" s="130" t="str">
        <f t="shared" si="15"/>
        <v/>
      </c>
      <c r="B146" s="135"/>
      <c r="C146" s="133" t="str">
        <f>IF($B146="","",IFERROR(INDEX(BUDGET!$T$28:$T$67,MATCH($B146,BUDGET!$A$28:$A$67,0)),""))</f>
        <v/>
      </c>
      <c r="D146" s="133" t="str">
        <f>IF($B146="","",IFERROR(INDEX(BUDGET!$S$28:$S$67,MATCH($B146,BUDGET!$A$28:$A$67,0)),""))</f>
        <v/>
      </c>
      <c r="E146" s="135"/>
      <c r="F146" s="133" t="str">
        <f>IF($E146="","",IFERROR(INDEX(PROJETS!$C$56:$C$95,MATCH($E146,PROJETS!$A$56:$A$95,0)),""))</f>
        <v/>
      </c>
      <c r="G146" s="133" t="str">
        <f>IF($E146="","",IFERROR(INDEX(PROJETS!$J$56:$J$95,MATCH($E146,PROJETS!$A$56:$A$95,0)),""))</f>
        <v/>
      </c>
      <c r="H146" s="133" t="str">
        <f>IF($E146="","",IFERROR(INDEX(PROJETS!$N$56:$N$95,MATCH($E146,PROJETS!$A$56:$A$95,0)),""))</f>
        <v/>
      </c>
      <c r="I146" s="135"/>
      <c r="J146" s="133" t="str">
        <f>IF($I146="","",IFERROR(INDEX(ACTIVITES!$G$56:$G$105,MATCH($I146,ACTIVITES!$A$56:$A$105,0)),""))</f>
        <v/>
      </c>
      <c r="K146" s="135"/>
      <c r="L146" s="133" t="str">
        <f>IF($K146="","",IFERROR(INDEX(DONATEURS!$B$56:$B$205,MATCH($K146,DONATEURS!$A$56:$A$205,0)),""))</f>
        <v/>
      </c>
      <c r="M146" s="136"/>
      <c r="N146" s="136"/>
      <c r="O146" s="135"/>
      <c r="P146" s="135"/>
      <c r="Q146" s="135"/>
      <c r="R146" s="136"/>
      <c r="S146" s="135"/>
      <c r="T146" s="135"/>
      <c r="U146" s="136"/>
      <c r="V146" s="136"/>
      <c r="W146" s="136"/>
      <c r="X146" s="137"/>
      <c r="Y146" s="135"/>
      <c r="Z146" s="137"/>
      <c r="AA146" s="132" t="str">
        <f t="shared" si="16"/>
        <v/>
      </c>
      <c r="AB146" s="137"/>
      <c r="AC146" s="137"/>
      <c r="AD146" s="132" t="str">
        <f t="shared" si="22"/>
        <v/>
      </c>
      <c r="AE146" s="135"/>
      <c r="AF146" s="138"/>
      <c r="AG146" s="132" t="str">
        <f t="shared" si="23"/>
        <v/>
      </c>
      <c r="AH146" s="135"/>
      <c r="AI146" s="136"/>
      <c r="AJ146" s="136"/>
      <c r="AK146" s="135"/>
      <c r="AL146" s="136"/>
      <c r="AM146" s="136"/>
      <c r="AN146" s="139"/>
      <c r="AO146" s="136"/>
      <c r="AP146" s="136"/>
      <c r="AQ146" s="139"/>
      <c r="AR146" s="135"/>
      <c r="AS146" s="135"/>
      <c r="AT146" s="139"/>
      <c r="AU146" s="137"/>
      <c r="AV146" s="136"/>
      <c r="AW146" s="135"/>
      <c r="AX146" s="139"/>
      <c r="AY146" s="137"/>
      <c r="AZ146" s="132" t="str">
        <f t="shared" si="17"/>
        <v/>
      </c>
      <c r="BA146" s="135"/>
      <c r="BB146" s="136"/>
      <c r="BC146" s="139"/>
      <c r="BD146" s="135"/>
      <c r="BE146" s="136"/>
      <c r="BF146" s="130" t="str">
        <f t="shared" si="18"/>
        <v/>
      </c>
      <c r="BG146" s="135"/>
      <c r="BH146" s="139"/>
      <c r="BI146" s="136"/>
      <c r="BJ146" s="136"/>
      <c r="BK146" s="136"/>
      <c r="BL146" s="139"/>
      <c r="BM146" s="130" t="str">
        <f t="shared" si="19"/>
        <v/>
      </c>
      <c r="BN146" s="140" t="str">
        <f>IF($BL146="","",INDEX(PARAMETRES!$C$53:$C$65,MONTH($BL146)))</f>
        <v/>
      </c>
      <c r="BO146" s="79" t="str">
        <f>IF($BL146="","",INDEX(PARAMETRES!$B$53:$B$65,MONTH($BL146)))</f>
        <v/>
      </c>
      <c r="BP146" s="132" t="str">
        <f>IFERROR(INDEX(BUDGET!$AL$28:$AL$67,MATCH($B146,BUDGET!$A$28:$A$67,0)),"")</f>
        <v/>
      </c>
      <c r="BQ146" s="132" t="str">
        <f t="shared" si="20"/>
        <v/>
      </c>
      <c r="BR146" s="134" t="str">
        <f>IFERROR($AG146/INDEX(BUDGET!$AK$28:$AK$67,MATCH($B146,BUDGET!$A$28:$A$67,0)),"")</f>
        <v/>
      </c>
      <c r="BS146" s="130" t="str">
        <f t="shared" si="21"/>
        <v/>
      </c>
      <c r="BT146" s="136"/>
      <c r="BU146" s="130" t="str">
        <f>IF($E146="","",COUNTIFS($E$119:E146,$E146))</f>
        <v/>
      </c>
      <c r="BV146" s="130" t="str">
        <f>IF($D146="","",COUNTIFS($D$119:D146,$D146))</f>
        <v/>
      </c>
    </row>
    <row r="147" spans="1:74" ht="15" customHeight="1">
      <c r="A147" s="130" t="str">
        <f t="shared" si="15"/>
        <v/>
      </c>
      <c r="B147" s="135"/>
      <c r="C147" s="133" t="str">
        <f>IF($B147="","",IFERROR(INDEX(BUDGET!$T$28:$T$67,MATCH($B147,BUDGET!$A$28:$A$67,0)),""))</f>
        <v/>
      </c>
      <c r="D147" s="133" t="str">
        <f>IF($B147="","",IFERROR(INDEX(BUDGET!$S$28:$S$67,MATCH($B147,BUDGET!$A$28:$A$67,0)),""))</f>
        <v/>
      </c>
      <c r="E147" s="135"/>
      <c r="F147" s="133" t="str">
        <f>IF($E147="","",IFERROR(INDEX(PROJETS!$C$56:$C$95,MATCH($E147,PROJETS!$A$56:$A$95,0)),""))</f>
        <v/>
      </c>
      <c r="G147" s="133" t="str">
        <f>IF($E147="","",IFERROR(INDEX(PROJETS!$J$56:$J$95,MATCH($E147,PROJETS!$A$56:$A$95,0)),""))</f>
        <v/>
      </c>
      <c r="H147" s="133" t="str">
        <f>IF($E147="","",IFERROR(INDEX(PROJETS!$N$56:$N$95,MATCH($E147,PROJETS!$A$56:$A$95,0)),""))</f>
        <v/>
      </c>
      <c r="I147" s="135"/>
      <c r="J147" s="133" t="str">
        <f>IF($I147="","",IFERROR(INDEX(ACTIVITES!$G$56:$G$105,MATCH($I147,ACTIVITES!$A$56:$A$105,0)),""))</f>
        <v/>
      </c>
      <c r="K147" s="135"/>
      <c r="L147" s="133" t="str">
        <f>IF($K147="","",IFERROR(INDEX(DONATEURS!$B$56:$B$205,MATCH($K147,DONATEURS!$A$56:$A$205,0)),""))</f>
        <v/>
      </c>
      <c r="M147" s="136"/>
      <c r="N147" s="136"/>
      <c r="O147" s="135"/>
      <c r="P147" s="135"/>
      <c r="Q147" s="135"/>
      <c r="R147" s="136"/>
      <c r="S147" s="135"/>
      <c r="T147" s="135"/>
      <c r="U147" s="136"/>
      <c r="V147" s="136"/>
      <c r="W147" s="136"/>
      <c r="X147" s="137"/>
      <c r="Y147" s="135"/>
      <c r="Z147" s="137"/>
      <c r="AA147" s="132" t="str">
        <f t="shared" si="16"/>
        <v/>
      </c>
      <c r="AB147" s="137"/>
      <c r="AC147" s="137"/>
      <c r="AD147" s="132" t="str">
        <f t="shared" si="22"/>
        <v/>
      </c>
      <c r="AE147" s="135"/>
      <c r="AF147" s="138"/>
      <c r="AG147" s="132" t="str">
        <f t="shared" si="23"/>
        <v/>
      </c>
      <c r="AH147" s="135"/>
      <c r="AI147" s="136"/>
      <c r="AJ147" s="136"/>
      <c r="AK147" s="135"/>
      <c r="AL147" s="136"/>
      <c r="AM147" s="136"/>
      <c r="AN147" s="139"/>
      <c r="AO147" s="136"/>
      <c r="AP147" s="136"/>
      <c r="AQ147" s="139"/>
      <c r="AR147" s="135"/>
      <c r="AS147" s="135"/>
      <c r="AT147" s="139"/>
      <c r="AU147" s="137"/>
      <c r="AV147" s="136"/>
      <c r="AW147" s="135"/>
      <c r="AX147" s="139"/>
      <c r="AY147" s="137"/>
      <c r="AZ147" s="132" t="str">
        <f t="shared" si="17"/>
        <v/>
      </c>
      <c r="BA147" s="135"/>
      <c r="BB147" s="136"/>
      <c r="BC147" s="139"/>
      <c r="BD147" s="135"/>
      <c r="BE147" s="136"/>
      <c r="BF147" s="130" t="str">
        <f t="shared" si="18"/>
        <v/>
      </c>
      <c r="BG147" s="135"/>
      <c r="BH147" s="139"/>
      <c r="BI147" s="136"/>
      <c r="BJ147" s="136"/>
      <c r="BK147" s="136"/>
      <c r="BL147" s="139"/>
      <c r="BM147" s="130" t="str">
        <f t="shared" si="19"/>
        <v/>
      </c>
      <c r="BN147" s="140" t="str">
        <f>IF($BL147="","",INDEX(PARAMETRES!$C$53:$C$65,MONTH($BL147)))</f>
        <v/>
      </c>
      <c r="BO147" s="79" t="str">
        <f>IF($BL147="","",INDEX(PARAMETRES!$B$53:$B$65,MONTH($BL147)))</f>
        <v/>
      </c>
      <c r="BP147" s="132" t="str">
        <f>IFERROR(INDEX(BUDGET!$AL$28:$AL$67,MATCH($B147,BUDGET!$A$28:$A$67,0)),"")</f>
        <v/>
      </c>
      <c r="BQ147" s="132" t="str">
        <f t="shared" si="20"/>
        <v/>
      </c>
      <c r="BR147" s="134" t="str">
        <f>IFERROR($AG147/INDEX(BUDGET!$AK$28:$AK$67,MATCH($B147,BUDGET!$A$28:$A$67,0)),"")</f>
        <v/>
      </c>
      <c r="BS147" s="130" t="str">
        <f t="shared" si="21"/>
        <v/>
      </c>
      <c r="BT147" s="136"/>
      <c r="BU147" s="130" t="str">
        <f>IF($E147="","",COUNTIFS($E$119:E147,$E147))</f>
        <v/>
      </c>
      <c r="BV147" s="130" t="str">
        <f>IF($D147="","",COUNTIFS($D$119:D147,$D147))</f>
        <v/>
      </c>
    </row>
    <row r="148" spans="1:74" ht="15" customHeight="1">
      <c r="A148" s="130" t="str">
        <f t="shared" si="15"/>
        <v/>
      </c>
      <c r="B148" s="135"/>
      <c r="C148" s="133" t="str">
        <f>IF($B148="","",IFERROR(INDEX(BUDGET!$T$28:$T$67,MATCH($B148,BUDGET!$A$28:$A$67,0)),""))</f>
        <v/>
      </c>
      <c r="D148" s="133" t="str">
        <f>IF($B148="","",IFERROR(INDEX(BUDGET!$S$28:$S$67,MATCH($B148,BUDGET!$A$28:$A$67,0)),""))</f>
        <v/>
      </c>
      <c r="E148" s="135"/>
      <c r="F148" s="133" t="str">
        <f>IF($E148="","",IFERROR(INDEX(PROJETS!$C$56:$C$95,MATCH($E148,PROJETS!$A$56:$A$95,0)),""))</f>
        <v/>
      </c>
      <c r="G148" s="133" t="str">
        <f>IF($E148="","",IFERROR(INDEX(PROJETS!$J$56:$J$95,MATCH($E148,PROJETS!$A$56:$A$95,0)),""))</f>
        <v/>
      </c>
      <c r="H148" s="133" t="str">
        <f>IF($E148="","",IFERROR(INDEX(PROJETS!$N$56:$N$95,MATCH($E148,PROJETS!$A$56:$A$95,0)),""))</f>
        <v/>
      </c>
      <c r="I148" s="135"/>
      <c r="J148" s="133" t="str">
        <f>IF($I148="","",IFERROR(INDEX(ACTIVITES!$G$56:$G$105,MATCH($I148,ACTIVITES!$A$56:$A$105,0)),""))</f>
        <v/>
      </c>
      <c r="K148" s="135"/>
      <c r="L148" s="133" t="str">
        <f>IF($K148="","",IFERROR(INDEX(DONATEURS!$B$56:$B$205,MATCH($K148,DONATEURS!$A$56:$A$205,0)),""))</f>
        <v/>
      </c>
      <c r="M148" s="136"/>
      <c r="N148" s="136"/>
      <c r="O148" s="135"/>
      <c r="P148" s="135"/>
      <c r="Q148" s="135"/>
      <c r="R148" s="136"/>
      <c r="S148" s="135"/>
      <c r="T148" s="135"/>
      <c r="U148" s="136"/>
      <c r="V148" s="136"/>
      <c r="W148" s="136"/>
      <c r="X148" s="137"/>
      <c r="Y148" s="135"/>
      <c r="Z148" s="137"/>
      <c r="AA148" s="132" t="str">
        <f t="shared" si="16"/>
        <v/>
      </c>
      <c r="AB148" s="137"/>
      <c r="AC148" s="137"/>
      <c r="AD148" s="132" t="str">
        <f t="shared" si="22"/>
        <v/>
      </c>
      <c r="AE148" s="135"/>
      <c r="AF148" s="138"/>
      <c r="AG148" s="132" t="str">
        <f t="shared" si="23"/>
        <v/>
      </c>
      <c r="AH148" s="135"/>
      <c r="AI148" s="136"/>
      <c r="AJ148" s="136"/>
      <c r="AK148" s="135"/>
      <c r="AL148" s="136"/>
      <c r="AM148" s="136"/>
      <c r="AN148" s="139"/>
      <c r="AO148" s="136"/>
      <c r="AP148" s="136"/>
      <c r="AQ148" s="139"/>
      <c r="AR148" s="135"/>
      <c r="AS148" s="135"/>
      <c r="AT148" s="139"/>
      <c r="AU148" s="137"/>
      <c r="AV148" s="136"/>
      <c r="AW148" s="135"/>
      <c r="AX148" s="139"/>
      <c r="AY148" s="137"/>
      <c r="AZ148" s="132" t="str">
        <f t="shared" si="17"/>
        <v/>
      </c>
      <c r="BA148" s="135"/>
      <c r="BB148" s="136"/>
      <c r="BC148" s="139"/>
      <c r="BD148" s="135"/>
      <c r="BE148" s="136"/>
      <c r="BF148" s="130" t="str">
        <f t="shared" si="18"/>
        <v/>
      </c>
      <c r="BG148" s="135"/>
      <c r="BH148" s="139"/>
      <c r="BI148" s="136"/>
      <c r="BJ148" s="136"/>
      <c r="BK148" s="136"/>
      <c r="BL148" s="139"/>
      <c r="BM148" s="130" t="str">
        <f t="shared" si="19"/>
        <v/>
      </c>
      <c r="BN148" s="140" t="str">
        <f>IF($BL148="","",INDEX(PARAMETRES!$C$53:$C$65,MONTH($BL148)))</f>
        <v/>
      </c>
      <c r="BO148" s="79" t="str">
        <f>IF($BL148="","",INDEX(PARAMETRES!$B$53:$B$65,MONTH($BL148)))</f>
        <v/>
      </c>
      <c r="BP148" s="132" t="str">
        <f>IFERROR(INDEX(BUDGET!$AL$28:$AL$67,MATCH($B148,BUDGET!$A$28:$A$67,0)),"")</f>
        <v/>
      </c>
      <c r="BQ148" s="132" t="str">
        <f t="shared" si="20"/>
        <v/>
      </c>
      <c r="BR148" s="134" t="str">
        <f>IFERROR($AG148/INDEX(BUDGET!$AK$28:$AK$67,MATCH($B148,BUDGET!$A$28:$A$67,0)),"")</f>
        <v/>
      </c>
      <c r="BS148" s="130" t="str">
        <f t="shared" si="21"/>
        <v/>
      </c>
      <c r="BT148" s="136"/>
      <c r="BU148" s="130" t="str">
        <f>IF($E148="","",COUNTIFS($E$119:E148,$E148))</f>
        <v/>
      </c>
      <c r="BV148" s="130" t="str">
        <f>IF($D148="","",COUNTIFS($D$119:D148,$D148))</f>
        <v/>
      </c>
    </row>
    <row r="149" spans="1:74" ht="15" customHeight="1">
      <c r="A149" s="130" t="str">
        <f t="shared" si="15"/>
        <v/>
      </c>
      <c r="B149" s="135"/>
      <c r="C149" s="133" t="str">
        <f>IF($B149="","",IFERROR(INDEX(BUDGET!$T$28:$T$67,MATCH($B149,BUDGET!$A$28:$A$67,0)),""))</f>
        <v/>
      </c>
      <c r="D149" s="133" t="str">
        <f>IF($B149="","",IFERROR(INDEX(BUDGET!$S$28:$S$67,MATCH($B149,BUDGET!$A$28:$A$67,0)),""))</f>
        <v/>
      </c>
      <c r="E149" s="135"/>
      <c r="F149" s="133" t="str">
        <f>IF($E149="","",IFERROR(INDEX(PROJETS!$C$56:$C$95,MATCH($E149,PROJETS!$A$56:$A$95,0)),""))</f>
        <v/>
      </c>
      <c r="G149" s="133" t="str">
        <f>IF($E149="","",IFERROR(INDEX(PROJETS!$J$56:$J$95,MATCH($E149,PROJETS!$A$56:$A$95,0)),""))</f>
        <v/>
      </c>
      <c r="H149" s="133" t="str">
        <f>IF($E149="","",IFERROR(INDEX(PROJETS!$N$56:$N$95,MATCH($E149,PROJETS!$A$56:$A$95,0)),""))</f>
        <v/>
      </c>
      <c r="I149" s="135"/>
      <c r="J149" s="133" t="str">
        <f>IF($I149="","",IFERROR(INDEX(ACTIVITES!$G$56:$G$105,MATCH($I149,ACTIVITES!$A$56:$A$105,0)),""))</f>
        <v/>
      </c>
      <c r="K149" s="135"/>
      <c r="L149" s="133" t="str">
        <f>IF($K149="","",IFERROR(INDEX(DONATEURS!$B$56:$B$205,MATCH($K149,DONATEURS!$A$56:$A$205,0)),""))</f>
        <v/>
      </c>
      <c r="M149" s="136"/>
      <c r="N149" s="136"/>
      <c r="O149" s="135"/>
      <c r="P149" s="135"/>
      <c r="Q149" s="135"/>
      <c r="R149" s="136"/>
      <c r="S149" s="135"/>
      <c r="T149" s="135"/>
      <c r="U149" s="136"/>
      <c r="V149" s="136"/>
      <c r="W149" s="136"/>
      <c r="X149" s="137"/>
      <c r="Y149" s="135"/>
      <c r="Z149" s="137"/>
      <c r="AA149" s="132" t="str">
        <f t="shared" si="16"/>
        <v/>
      </c>
      <c r="AB149" s="137"/>
      <c r="AC149" s="137"/>
      <c r="AD149" s="132" t="str">
        <f t="shared" si="22"/>
        <v/>
      </c>
      <c r="AE149" s="135"/>
      <c r="AF149" s="138"/>
      <c r="AG149" s="132" t="str">
        <f t="shared" si="23"/>
        <v/>
      </c>
      <c r="AH149" s="135"/>
      <c r="AI149" s="136"/>
      <c r="AJ149" s="136"/>
      <c r="AK149" s="135"/>
      <c r="AL149" s="136"/>
      <c r="AM149" s="136"/>
      <c r="AN149" s="139"/>
      <c r="AO149" s="136"/>
      <c r="AP149" s="136"/>
      <c r="AQ149" s="139"/>
      <c r="AR149" s="135"/>
      <c r="AS149" s="135"/>
      <c r="AT149" s="139"/>
      <c r="AU149" s="137"/>
      <c r="AV149" s="136"/>
      <c r="AW149" s="135"/>
      <c r="AX149" s="139"/>
      <c r="AY149" s="137"/>
      <c r="AZ149" s="132" t="str">
        <f t="shared" si="17"/>
        <v/>
      </c>
      <c r="BA149" s="135"/>
      <c r="BB149" s="136"/>
      <c r="BC149" s="139"/>
      <c r="BD149" s="135"/>
      <c r="BE149" s="136"/>
      <c r="BF149" s="130" t="str">
        <f t="shared" si="18"/>
        <v/>
      </c>
      <c r="BG149" s="135"/>
      <c r="BH149" s="139"/>
      <c r="BI149" s="136"/>
      <c r="BJ149" s="136"/>
      <c r="BK149" s="136"/>
      <c r="BL149" s="139"/>
      <c r="BM149" s="130" t="str">
        <f t="shared" si="19"/>
        <v/>
      </c>
      <c r="BN149" s="140" t="str">
        <f>IF($BL149="","",INDEX(PARAMETRES!$C$53:$C$65,MONTH($BL149)))</f>
        <v/>
      </c>
      <c r="BO149" s="79" t="str">
        <f>IF($BL149="","",INDEX(PARAMETRES!$B$53:$B$65,MONTH($BL149)))</f>
        <v/>
      </c>
      <c r="BP149" s="132" t="str">
        <f>IFERROR(INDEX(BUDGET!$AL$28:$AL$67,MATCH($B149,BUDGET!$A$28:$A$67,0)),"")</f>
        <v/>
      </c>
      <c r="BQ149" s="132" t="str">
        <f t="shared" si="20"/>
        <v/>
      </c>
      <c r="BR149" s="134" t="str">
        <f>IFERROR($AG149/INDEX(BUDGET!$AK$28:$AK$67,MATCH($B149,BUDGET!$A$28:$A$67,0)),"")</f>
        <v/>
      </c>
      <c r="BS149" s="130" t="str">
        <f t="shared" si="21"/>
        <v/>
      </c>
      <c r="BT149" s="136"/>
      <c r="BU149" s="130" t="str">
        <f>IF($E149="","",COUNTIFS($E$119:E149,$E149))</f>
        <v/>
      </c>
      <c r="BV149" s="130" t="str">
        <f>IF($D149="","",COUNTIFS($D$119:D149,$D149))</f>
        <v/>
      </c>
    </row>
    <row r="150" spans="1:74" ht="15" customHeight="1">
      <c r="A150" s="130" t="str">
        <f t="shared" si="15"/>
        <v/>
      </c>
      <c r="B150" s="135"/>
      <c r="C150" s="133" t="str">
        <f>IF($B150="","",IFERROR(INDEX(BUDGET!$T$28:$T$67,MATCH($B150,BUDGET!$A$28:$A$67,0)),""))</f>
        <v/>
      </c>
      <c r="D150" s="133" t="str">
        <f>IF($B150="","",IFERROR(INDEX(BUDGET!$S$28:$S$67,MATCH($B150,BUDGET!$A$28:$A$67,0)),""))</f>
        <v/>
      </c>
      <c r="E150" s="135"/>
      <c r="F150" s="133" t="str">
        <f>IF($E150="","",IFERROR(INDEX(PROJETS!$C$56:$C$95,MATCH($E150,PROJETS!$A$56:$A$95,0)),""))</f>
        <v/>
      </c>
      <c r="G150" s="133" t="str">
        <f>IF($E150="","",IFERROR(INDEX(PROJETS!$J$56:$J$95,MATCH($E150,PROJETS!$A$56:$A$95,0)),""))</f>
        <v/>
      </c>
      <c r="H150" s="133" t="str">
        <f>IF($E150="","",IFERROR(INDEX(PROJETS!$N$56:$N$95,MATCH($E150,PROJETS!$A$56:$A$95,0)),""))</f>
        <v/>
      </c>
      <c r="I150" s="135"/>
      <c r="J150" s="133" t="str">
        <f>IF($I150="","",IFERROR(INDEX(ACTIVITES!$G$56:$G$105,MATCH($I150,ACTIVITES!$A$56:$A$105,0)),""))</f>
        <v/>
      </c>
      <c r="K150" s="135"/>
      <c r="L150" s="133" t="str">
        <f>IF($K150="","",IFERROR(INDEX(DONATEURS!$B$56:$B$205,MATCH($K150,DONATEURS!$A$56:$A$205,0)),""))</f>
        <v/>
      </c>
      <c r="M150" s="136"/>
      <c r="N150" s="136"/>
      <c r="O150" s="135"/>
      <c r="P150" s="135"/>
      <c r="Q150" s="135"/>
      <c r="R150" s="136"/>
      <c r="S150" s="135"/>
      <c r="T150" s="135"/>
      <c r="U150" s="136"/>
      <c r="V150" s="136"/>
      <c r="W150" s="136"/>
      <c r="X150" s="137"/>
      <c r="Y150" s="135"/>
      <c r="Z150" s="137"/>
      <c r="AA150" s="132" t="str">
        <f t="shared" si="16"/>
        <v/>
      </c>
      <c r="AB150" s="137"/>
      <c r="AC150" s="137"/>
      <c r="AD150" s="132" t="str">
        <f t="shared" si="22"/>
        <v/>
      </c>
      <c r="AE150" s="135"/>
      <c r="AF150" s="138"/>
      <c r="AG150" s="132" t="str">
        <f t="shared" si="23"/>
        <v/>
      </c>
      <c r="AH150" s="135"/>
      <c r="AI150" s="136"/>
      <c r="AJ150" s="136"/>
      <c r="AK150" s="135"/>
      <c r="AL150" s="136"/>
      <c r="AM150" s="136"/>
      <c r="AN150" s="139"/>
      <c r="AO150" s="136"/>
      <c r="AP150" s="136"/>
      <c r="AQ150" s="139"/>
      <c r="AR150" s="135"/>
      <c r="AS150" s="135"/>
      <c r="AT150" s="139"/>
      <c r="AU150" s="137"/>
      <c r="AV150" s="136"/>
      <c r="AW150" s="135"/>
      <c r="AX150" s="139"/>
      <c r="AY150" s="137"/>
      <c r="AZ150" s="132" t="str">
        <f t="shared" si="17"/>
        <v/>
      </c>
      <c r="BA150" s="135"/>
      <c r="BB150" s="136"/>
      <c r="BC150" s="139"/>
      <c r="BD150" s="135"/>
      <c r="BE150" s="136"/>
      <c r="BF150" s="130" t="str">
        <f t="shared" si="18"/>
        <v/>
      </c>
      <c r="BG150" s="135"/>
      <c r="BH150" s="139"/>
      <c r="BI150" s="136"/>
      <c r="BJ150" s="136"/>
      <c r="BK150" s="136"/>
      <c r="BL150" s="139"/>
      <c r="BM150" s="130" t="str">
        <f t="shared" si="19"/>
        <v/>
      </c>
      <c r="BN150" s="140" t="str">
        <f>IF($BL150="","",INDEX(PARAMETRES!$C$53:$C$65,MONTH($BL150)))</f>
        <v/>
      </c>
      <c r="BO150" s="79" t="str">
        <f>IF($BL150="","",INDEX(PARAMETRES!$B$53:$B$65,MONTH($BL150)))</f>
        <v/>
      </c>
      <c r="BP150" s="132" t="str">
        <f>IFERROR(INDEX(BUDGET!$AL$28:$AL$67,MATCH($B150,BUDGET!$A$28:$A$67,0)),"")</f>
        <v/>
      </c>
      <c r="BQ150" s="132" t="str">
        <f t="shared" si="20"/>
        <v/>
      </c>
      <c r="BR150" s="134" t="str">
        <f>IFERROR($AG150/INDEX(BUDGET!$AK$28:$AK$67,MATCH($B150,BUDGET!$A$28:$A$67,0)),"")</f>
        <v/>
      </c>
      <c r="BS150" s="130" t="str">
        <f t="shared" si="21"/>
        <v/>
      </c>
      <c r="BT150" s="136"/>
      <c r="BU150" s="130" t="str">
        <f>IF($E150="","",COUNTIFS($E$119:E150,$E150))</f>
        <v/>
      </c>
      <c r="BV150" s="130" t="str">
        <f>IF($D150="","",COUNTIFS($D$119:D150,$D150))</f>
        <v/>
      </c>
    </row>
    <row r="151" spans="1:74" ht="15" customHeight="1">
      <c r="A151" s="130" t="str">
        <f t="shared" ref="A151:A168" si="24">IF($V151="","","DEP"&amp;TEXT(ROW()-118,"00000"))</f>
        <v/>
      </c>
      <c r="B151" s="135"/>
      <c r="C151" s="133" t="str">
        <f>IF($B151="","",IFERROR(INDEX(BUDGET!$T$28:$T$67,MATCH($B151,BUDGET!$A$28:$A$67,0)),""))</f>
        <v/>
      </c>
      <c r="D151" s="133" t="str">
        <f>IF($B151="","",IFERROR(INDEX(BUDGET!$S$28:$S$67,MATCH($B151,BUDGET!$A$28:$A$67,0)),""))</f>
        <v/>
      </c>
      <c r="E151" s="135"/>
      <c r="F151" s="133" t="str">
        <f>IF($E151="","",IFERROR(INDEX(PROJETS!$C$56:$C$95,MATCH($E151,PROJETS!$A$56:$A$95,0)),""))</f>
        <v/>
      </c>
      <c r="G151" s="133" t="str">
        <f>IF($E151="","",IFERROR(INDEX(PROJETS!$J$56:$J$95,MATCH($E151,PROJETS!$A$56:$A$95,0)),""))</f>
        <v/>
      </c>
      <c r="H151" s="133" t="str">
        <f>IF($E151="","",IFERROR(INDEX(PROJETS!$N$56:$N$95,MATCH($E151,PROJETS!$A$56:$A$95,0)),""))</f>
        <v/>
      </c>
      <c r="I151" s="135"/>
      <c r="J151" s="133" t="str">
        <f>IF($I151="","",IFERROR(INDEX(ACTIVITES!$G$56:$G$105,MATCH($I151,ACTIVITES!$A$56:$A$105,0)),""))</f>
        <v/>
      </c>
      <c r="K151" s="135"/>
      <c r="L151" s="133" t="str">
        <f>IF($K151="","",IFERROR(INDEX(DONATEURS!$B$56:$B$205,MATCH($K151,DONATEURS!$A$56:$A$205,0)),""))</f>
        <v/>
      </c>
      <c r="M151" s="136"/>
      <c r="N151" s="136"/>
      <c r="O151" s="135"/>
      <c r="P151" s="135"/>
      <c r="Q151" s="135"/>
      <c r="R151" s="136"/>
      <c r="S151" s="135"/>
      <c r="T151" s="135"/>
      <c r="U151" s="136"/>
      <c r="V151" s="136"/>
      <c r="W151" s="136"/>
      <c r="X151" s="137"/>
      <c r="Y151" s="135"/>
      <c r="Z151" s="137"/>
      <c r="AA151" s="132" t="str">
        <f t="shared" ref="AA151:AA168" si="25">IF(OR($X151="",$Z151=""),"",$X151*$Z151)</f>
        <v/>
      </c>
      <c r="AB151" s="137"/>
      <c r="AC151" s="137"/>
      <c r="AD151" s="132" t="str">
        <f t="shared" si="22"/>
        <v/>
      </c>
      <c r="AE151" s="135"/>
      <c r="AF151" s="138"/>
      <c r="AG151" s="132" t="str">
        <f t="shared" si="23"/>
        <v/>
      </c>
      <c r="AH151" s="135"/>
      <c r="AI151" s="136"/>
      <c r="AJ151" s="136"/>
      <c r="AK151" s="135"/>
      <c r="AL151" s="136"/>
      <c r="AM151" s="136"/>
      <c r="AN151" s="139"/>
      <c r="AO151" s="136"/>
      <c r="AP151" s="136"/>
      <c r="AQ151" s="139"/>
      <c r="AR151" s="135"/>
      <c r="AS151" s="135"/>
      <c r="AT151" s="139"/>
      <c r="AU151" s="137"/>
      <c r="AV151" s="136"/>
      <c r="AW151" s="135"/>
      <c r="AX151" s="139"/>
      <c r="AY151" s="137"/>
      <c r="AZ151" s="132" t="str">
        <f t="shared" ref="AZ151:AZ168" si="26">IF($AG151="","",MAX($AG151-IF($AY151="",0,$AY151),0))</f>
        <v/>
      </c>
      <c r="BA151" s="135"/>
      <c r="BB151" s="136"/>
      <c r="BC151" s="139"/>
      <c r="BD151" s="135"/>
      <c r="BE151" s="136"/>
      <c r="BF151" s="130" t="str">
        <f t="shared" ref="BF151:BF168" si="27">IF($V151="","",IF($BD151="Oui","Oui","Non"))</f>
        <v/>
      </c>
      <c r="BG151" s="135"/>
      <c r="BH151" s="139"/>
      <c r="BI151" s="136"/>
      <c r="BJ151" s="136"/>
      <c r="BK151" s="136"/>
      <c r="BL151" s="139"/>
      <c r="BM151" s="130" t="str">
        <f t="shared" ref="BM151:BM168" si="28">IF($BL151="","",YEAR($BL151))</f>
        <v/>
      </c>
      <c r="BN151" s="140" t="str">
        <f>IF($BL151="","",INDEX(PARAMETRES!$C$53:$C$65,MONTH($BL151)))</f>
        <v/>
      </c>
      <c r="BO151" s="79" t="str">
        <f>IF($BL151="","",INDEX(PARAMETRES!$B$53:$B$65,MONTH($BL151)))</f>
        <v/>
      </c>
      <c r="BP151" s="132" t="str">
        <f>IFERROR(INDEX(BUDGET!$AL$28:$AL$67,MATCH($B151,BUDGET!$A$28:$A$67,0)),"")</f>
        <v/>
      </c>
      <c r="BQ151" s="132" t="str">
        <f t="shared" ref="BQ151:BQ168" si="29">IF(OR($BP151="",$AG151=""),"",$BP151-$AG151)</f>
        <v/>
      </c>
      <c r="BR151" s="134" t="str">
        <f>IFERROR($AG151/INDEX(BUDGET!$AK$28:$AK$67,MATCH($B151,BUDGET!$A$28:$A$67,0)),"")</f>
        <v/>
      </c>
      <c r="BS151" s="130" t="str">
        <f t="shared" ref="BS151:BS168" si="30">IF($V151="","",IF(AND($BP151&lt;&gt;"",$AG151&lt;&gt;"",$AG151&gt;$BP151),"Depassement budgetaire",IF(AND($AK151&lt;&gt;"Brouillon",$AK151&lt;&gt;"Annulee",$AK151&lt;&gt;"Rejetee",OR($BD151="Non",$BD151="")),"Pieces manquantes",IF(AND($AK151&lt;&gt;"Brouillon",OR($AR151="",$AR151="En attente")),"Depense non validee",IF(AND($AS151="Oui",$AW151&lt;&gt;"Oui"),"Engagement non paye",IF(AND($AW151="Non",$AK151="Validee"),"Paiement en attente",IF(AND($AY151&lt;&gt;"",$AZ151&gt;0),"Paiement partiel",IF(AND($AW151="Oui",$BG151&lt;&gt;"Oui"),"Rapprochement manquant",IF(AND($BF151="Oui",$AW151="Oui",$BG151="Oui"),"Dossier complet et paye","Normal")))))))))</f>
        <v/>
      </c>
      <c r="BT151" s="136"/>
      <c r="BU151" s="130" t="str">
        <f>IF($E151="","",COUNTIFS($E$119:E151,$E151))</f>
        <v/>
      </c>
      <c r="BV151" s="130" t="str">
        <f>IF($D151="","",COUNTIFS($D$119:D151,$D151))</f>
        <v/>
      </c>
    </row>
    <row r="152" spans="1:74" ht="15" customHeight="1">
      <c r="A152" s="130" t="str">
        <f t="shared" si="24"/>
        <v/>
      </c>
      <c r="B152" s="135"/>
      <c r="C152" s="133" t="str">
        <f>IF($B152="","",IFERROR(INDEX(BUDGET!$T$28:$T$67,MATCH($B152,BUDGET!$A$28:$A$67,0)),""))</f>
        <v/>
      </c>
      <c r="D152" s="133" t="str">
        <f>IF($B152="","",IFERROR(INDEX(BUDGET!$S$28:$S$67,MATCH($B152,BUDGET!$A$28:$A$67,0)),""))</f>
        <v/>
      </c>
      <c r="E152" s="135"/>
      <c r="F152" s="133" t="str">
        <f>IF($E152="","",IFERROR(INDEX(PROJETS!$C$56:$C$95,MATCH($E152,PROJETS!$A$56:$A$95,0)),""))</f>
        <v/>
      </c>
      <c r="G152" s="133" t="str">
        <f>IF($E152="","",IFERROR(INDEX(PROJETS!$J$56:$J$95,MATCH($E152,PROJETS!$A$56:$A$95,0)),""))</f>
        <v/>
      </c>
      <c r="H152" s="133" t="str">
        <f>IF($E152="","",IFERROR(INDEX(PROJETS!$N$56:$N$95,MATCH($E152,PROJETS!$A$56:$A$95,0)),""))</f>
        <v/>
      </c>
      <c r="I152" s="135"/>
      <c r="J152" s="133" t="str">
        <f>IF($I152="","",IFERROR(INDEX(ACTIVITES!$G$56:$G$105,MATCH($I152,ACTIVITES!$A$56:$A$105,0)),""))</f>
        <v/>
      </c>
      <c r="K152" s="135"/>
      <c r="L152" s="133" t="str">
        <f>IF($K152="","",IFERROR(INDEX(DONATEURS!$B$56:$B$205,MATCH($K152,DONATEURS!$A$56:$A$205,0)),""))</f>
        <v/>
      </c>
      <c r="M152" s="136"/>
      <c r="N152" s="136"/>
      <c r="O152" s="135"/>
      <c r="P152" s="135"/>
      <c r="Q152" s="135"/>
      <c r="R152" s="136"/>
      <c r="S152" s="135"/>
      <c r="T152" s="135"/>
      <c r="U152" s="136"/>
      <c r="V152" s="136"/>
      <c r="W152" s="136"/>
      <c r="X152" s="137"/>
      <c r="Y152" s="135"/>
      <c r="Z152" s="137"/>
      <c r="AA152" s="132" t="str">
        <f t="shared" si="25"/>
        <v/>
      </c>
      <c r="AB152" s="137"/>
      <c r="AC152" s="137"/>
      <c r="AD152" s="132" t="str">
        <f t="shared" ref="AD152:AD168" si="31">IF($AA152="","",$AA152+IF($AB152="",0,$AB152)+IF($AC152="",0,$AC152))</f>
        <v/>
      </c>
      <c r="AE152" s="135"/>
      <c r="AF152" s="138"/>
      <c r="AG152" s="132" t="str">
        <f t="shared" ref="AG152:AG168" si="32">IF($AD152="","",IF(OR($AE152="FCFA",$AE152=""),$AD152,$AD152*IF($AF152="",1,$AF152)))</f>
        <v/>
      </c>
      <c r="AH152" s="135"/>
      <c r="AI152" s="136"/>
      <c r="AJ152" s="136"/>
      <c r="AK152" s="135"/>
      <c r="AL152" s="136"/>
      <c r="AM152" s="136"/>
      <c r="AN152" s="139"/>
      <c r="AO152" s="136"/>
      <c r="AP152" s="136"/>
      <c r="AQ152" s="139"/>
      <c r="AR152" s="135"/>
      <c r="AS152" s="135"/>
      <c r="AT152" s="139"/>
      <c r="AU152" s="137"/>
      <c r="AV152" s="136"/>
      <c r="AW152" s="135"/>
      <c r="AX152" s="139"/>
      <c r="AY152" s="137"/>
      <c r="AZ152" s="132" t="str">
        <f t="shared" si="26"/>
        <v/>
      </c>
      <c r="BA152" s="135"/>
      <c r="BB152" s="136"/>
      <c r="BC152" s="139"/>
      <c r="BD152" s="135"/>
      <c r="BE152" s="136"/>
      <c r="BF152" s="130" t="str">
        <f t="shared" si="27"/>
        <v/>
      </c>
      <c r="BG152" s="135"/>
      <c r="BH152" s="139"/>
      <c r="BI152" s="136"/>
      <c r="BJ152" s="136"/>
      <c r="BK152" s="136"/>
      <c r="BL152" s="139"/>
      <c r="BM152" s="130" t="str">
        <f t="shared" si="28"/>
        <v/>
      </c>
      <c r="BN152" s="140" t="str">
        <f>IF($BL152="","",INDEX(PARAMETRES!$C$53:$C$65,MONTH($BL152)))</f>
        <v/>
      </c>
      <c r="BO152" s="79" t="str">
        <f>IF($BL152="","",INDEX(PARAMETRES!$B$53:$B$65,MONTH($BL152)))</f>
        <v/>
      </c>
      <c r="BP152" s="132" t="str">
        <f>IFERROR(INDEX(BUDGET!$AL$28:$AL$67,MATCH($B152,BUDGET!$A$28:$A$67,0)),"")</f>
        <v/>
      </c>
      <c r="BQ152" s="132" t="str">
        <f t="shared" si="29"/>
        <v/>
      </c>
      <c r="BR152" s="134" t="str">
        <f>IFERROR($AG152/INDEX(BUDGET!$AK$28:$AK$67,MATCH($B152,BUDGET!$A$28:$A$67,0)),"")</f>
        <v/>
      </c>
      <c r="BS152" s="130" t="str">
        <f t="shared" si="30"/>
        <v/>
      </c>
      <c r="BT152" s="136"/>
      <c r="BU152" s="130" t="str">
        <f>IF($E152="","",COUNTIFS($E$119:E152,$E152))</f>
        <v/>
      </c>
      <c r="BV152" s="130" t="str">
        <f>IF($D152="","",COUNTIFS($D$119:D152,$D152))</f>
        <v/>
      </c>
    </row>
    <row r="153" spans="1:74" ht="15" customHeight="1">
      <c r="A153" s="130" t="str">
        <f t="shared" si="24"/>
        <v/>
      </c>
      <c r="B153" s="135"/>
      <c r="C153" s="133" t="str">
        <f>IF($B153="","",IFERROR(INDEX(BUDGET!$T$28:$T$67,MATCH($B153,BUDGET!$A$28:$A$67,0)),""))</f>
        <v/>
      </c>
      <c r="D153" s="133" t="str">
        <f>IF($B153="","",IFERROR(INDEX(BUDGET!$S$28:$S$67,MATCH($B153,BUDGET!$A$28:$A$67,0)),""))</f>
        <v/>
      </c>
      <c r="E153" s="135"/>
      <c r="F153" s="133" t="str">
        <f>IF($E153="","",IFERROR(INDEX(PROJETS!$C$56:$C$95,MATCH($E153,PROJETS!$A$56:$A$95,0)),""))</f>
        <v/>
      </c>
      <c r="G153" s="133" t="str">
        <f>IF($E153="","",IFERROR(INDEX(PROJETS!$J$56:$J$95,MATCH($E153,PROJETS!$A$56:$A$95,0)),""))</f>
        <v/>
      </c>
      <c r="H153" s="133" t="str">
        <f>IF($E153="","",IFERROR(INDEX(PROJETS!$N$56:$N$95,MATCH($E153,PROJETS!$A$56:$A$95,0)),""))</f>
        <v/>
      </c>
      <c r="I153" s="135"/>
      <c r="J153" s="133" t="str">
        <f>IF($I153="","",IFERROR(INDEX(ACTIVITES!$G$56:$G$105,MATCH($I153,ACTIVITES!$A$56:$A$105,0)),""))</f>
        <v/>
      </c>
      <c r="K153" s="135"/>
      <c r="L153" s="133" t="str">
        <f>IF($K153="","",IFERROR(INDEX(DONATEURS!$B$56:$B$205,MATCH($K153,DONATEURS!$A$56:$A$205,0)),""))</f>
        <v/>
      </c>
      <c r="M153" s="136"/>
      <c r="N153" s="136"/>
      <c r="O153" s="135"/>
      <c r="P153" s="135"/>
      <c r="Q153" s="135"/>
      <c r="R153" s="136"/>
      <c r="S153" s="135"/>
      <c r="T153" s="135"/>
      <c r="U153" s="136"/>
      <c r="V153" s="136"/>
      <c r="W153" s="136"/>
      <c r="X153" s="137"/>
      <c r="Y153" s="135"/>
      <c r="Z153" s="137"/>
      <c r="AA153" s="132" t="str">
        <f t="shared" si="25"/>
        <v/>
      </c>
      <c r="AB153" s="137"/>
      <c r="AC153" s="137"/>
      <c r="AD153" s="132" t="str">
        <f t="shared" si="31"/>
        <v/>
      </c>
      <c r="AE153" s="135"/>
      <c r="AF153" s="138"/>
      <c r="AG153" s="132" t="str">
        <f t="shared" si="32"/>
        <v/>
      </c>
      <c r="AH153" s="135"/>
      <c r="AI153" s="136"/>
      <c r="AJ153" s="136"/>
      <c r="AK153" s="135"/>
      <c r="AL153" s="136"/>
      <c r="AM153" s="136"/>
      <c r="AN153" s="139"/>
      <c r="AO153" s="136"/>
      <c r="AP153" s="136"/>
      <c r="AQ153" s="139"/>
      <c r="AR153" s="135"/>
      <c r="AS153" s="135"/>
      <c r="AT153" s="139"/>
      <c r="AU153" s="137"/>
      <c r="AV153" s="136"/>
      <c r="AW153" s="135"/>
      <c r="AX153" s="139"/>
      <c r="AY153" s="137"/>
      <c r="AZ153" s="132" t="str">
        <f t="shared" si="26"/>
        <v/>
      </c>
      <c r="BA153" s="135"/>
      <c r="BB153" s="136"/>
      <c r="BC153" s="139"/>
      <c r="BD153" s="135"/>
      <c r="BE153" s="136"/>
      <c r="BF153" s="130" t="str">
        <f t="shared" si="27"/>
        <v/>
      </c>
      <c r="BG153" s="135"/>
      <c r="BH153" s="139"/>
      <c r="BI153" s="136"/>
      <c r="BJ153" s="136"/>
      <c r="BK153" s="136"/>
      <c r="BL153" s="139"/>
      <c r="BM153" s="130" t="str">
        <f t="shared" si="28"/>
        <v/>
      </c>
      <c r="BN153" s="140" t="str">
        <f>IF($BL153="","",INDEX(PARAMETRES!$C$53:$C$65,MONTH($BL153)))</f>
        <v/>
      </c>
      <c r="BO153" s="79" t="str">
        <f>IF($BL153="","",INDEX(PARAMETRES!$B$53:$B$65,MONTH($BL153)))</f>
        <v/>
      </c>
      <c r="BP153" s="132" t="str">
        <f>IFERROR(INDEX(BUDGET!$AL$28:$AL$67,MATCH($B153,BUDGET!$A$28:$A$67,0)),"")</f>
        <v/>
      </c>
      <c r="BQ153" s="132" t="str">
        <f t="shared" si="29"/>
        <v/>
      </c>
      <c r="BR153" s="134" t="str">
        <f>IFERROR($AG153/INDEX(BUDGET!$AK$28:$AK$67,MATCH($B153,BUDGET!$A$28:$A$67,0)),"")</f>
        <v/>
      </c>
      <c r="BS153" s="130" t="str">
        <f t="shared" si="30"/>
        <v/>
      </c>
      <c r="BT153" s="136"/>
      <c r="BU153" s="130" t="str">
        <f>IF($E153="","",COUNTIFS($E$119:E153,$E153))</f>
        <v/>
      </c>
      <c r="BV153" s="130" t="str">
        <f>IF($D153="","",COUNTIFS($D$119:D153,$D153))</f>
        <v/>
      </c>
    </row>
    <row r="154" spans="1:74" ht="15" customHeight="1">
      <c r="A154" s="130" t="str">
        <f t="shared" si="24"/>
        <v/>
      </c>
      <c r="B154" s="135"/>
      <c r="C154" s="133" t="str">
        <f>IF($B154="","",IFERROR(INDEX(BUDGET!$T$28:$T$67,MATCH($B154,BUDGET!$A$28:$A$67,0)),""))</f>
        <v/>
      </c>
      <c r="D154" s="133" t="str">
        <f>IF($B154="","",IFERROR(INDEX(BUDGET!$S$28:$S$67,MATCH($B154,BUDGET!$A$28:$A$67,0)),""))</f>
        <v/>
      </c>
      <c r="E154" s="135"/>
      <c r="F154" s="133" t="str">
        <f>IF($E154="","",IFERROR(INDEX(PROJETS!$C$56:$C$95,MATCH($E154,PROJETS!$A$56:$A$95,0)),""))</f>
        <v/>
      </c>
      <c r="G154" s="133" t="str">
        <f>IF($E154="","",IFERROR(INDEX(PROJETS!$J$56:$J$95,MATCH($E154,PROJETS!$A$56:$A$95,0)),""))</f>
        <v/>
      </c>
      <c r="H154" s="133" t="str">
        <f>IF($E154="","",IFERROR(INDEX(PROJETS!$N$56:$N$95,MATCH($E154,PROJETS!$A$56:$A$95,0)),""))</f>
        <v/>
      </c>
      <c r="I154" s="135"/>
      <c r="J154" s="133" t="str">
        <f>IF($I154="","",IFERROR(INDEX(ACTIVITES!$G$56:$G$105,MATCH($I154,ACTIVITES!$A$56:$A$105,0)),""))</f>
        <v/>
      </c>
      <c r="K154" s="135"/>
      <c r="L154" s="133" t="str">
        <f>IF($K154="","",IFERROR(INDEX(DONATEURS!$B$56:$B$205,MATCH($K154,DONATEURS!$A$56:$A$205,0)),""))</f>
        <v/>
      </c>
      <c r="M154" s="136"/>
      <c r="N154" s="136"/>
      <c r="O154" s="135"/>
      <c r="P154" s="135"/>
      <c r="Q154" s="135"/>
      <c r="R154" s="136"/>
      <c r="S154" s="135"/>
      <c r="T154" s="135"/>
      <c r="U154" s="136"/>
      <c r="V154" s="136"/>
      <c r="W154" s="136"/>
      <c r="X154" s="137"/>
      <c r="Y154" s="135"/>
      <c r="Z154" s="137"/>
      <c r="AA154" s="132" t="str">
        <f t="shared" si="25"/>
        <v/>
      </c>
      <c r="AB154" s="137"/>
      <c r="AC154" s="137"/>
      <c r="AD154" s="132" t="str">
        <f t="shared" si="31"/>
        <v/>
      </c>
      <c r="AE154" s="135"/>
      <c r="AF154" s="138"/>
      <c r="AG154" s="132" t="str">
        <f t="shared" si="32"/>
        <v/>
      </c>
      <c r="AH154" s="135"/>
      <c r="AI154" s="136"/>
      <c r="AJ154" s="136"/>
      <c r="AK154" s="135"/>
      <c r="AL154" s="136"/>
      <c r="AM154" s="136"/>
      <c r="AN154" s="139"/>
      <c r="AO154" s="136"/>
      <c r="AP154" s="136"/>
      <c r="AQ154" s="139"/>
      <c r="AR154" s="135"/>
      <c r="AS154" s="135"/>
      <c r="AT154" s="139"/>
      <c r="AU154" s="137"/>
      <c r="AV154" s="136"/>
      <c r="AW154" s="135"/>
      <c r="AX154" s="139"/>
      <c r="AY154" s="137"/>
      <c r="AZ154" s="132" t="str">
        <f t="shared" si="26"/>
        <v/>
      </c>
      <c r="BA154" s="135"/>
      <c r="BB154" s="136"/>
      <c r="BC154" s="139"/>
      <c r="BD154" s="135"/>
      <c r="BE154" s="136"/>
      <c r="BF154" s="130" t="str">
        <f t="shared" si="27"/>
        <v/>
      </c>
      <c r="BG154" s="135"/>
      <c r="BH154" s="139"/>
      <c r="BI154" s="136"/>
      <c r="BJ154" s="136"/>
      <c r="BK154" s="136"/>
      <c r="BL154" s="139"/>
      <c r="BM154" s="130" t="str">
        <f t="shared" si="28"/>
        <v/>
      </c>
      <c r="BN154" s="140" t="str">
        <f>IF($BL154="","",INDEX(PARAMETRES!$C$53:$C$65,MONTH($BL154)))</f>
        <v/>
      </c>
      <c r="BO154" s="79" t="str">
        <f>IF($BL154="","",INDEX(PARAMETRES!$B$53:$B$65,MONTH($BL154)))</f>
        <v/>
      </c>
      <c r="BP154" s="132" t="str">
        <f>IFERROR(INDEX(BUDGET!$AL$28:$AL$67,MATCH($B154,BUDGET!$A$28:$A$67,0)),"")</f>
        <v/>
      </c>
      <c r="BQ154" s="132" t="str">
        <f t="shared" si="29"/>
        <v/>
      </c>
      <c r="BR154" s="134" t="str">
        <f>IFERROR($AG154/INDEX(BUDGET!$AK$28:$AK$67,MATCH($B154,BUDGET!$A$28:$A$67,0)),"")</f>
        <v/>
      </c>
      <c r="BS154" s="130" t="str">
        <f t="shared" si="30"/>
        <v/>
      </c>
      <c r="BT154" s="136"/>
      <c r="BU154" s="130" t="str">
        <f>IF($E154="","",COUNTIFS($E$119:E154,$E154))</f>
        <v/>
      </c>
      <c r="BV154" s="130" t="str">
        <f>IF($D154="","",COUNTIFS($D$119:D154,$D154))</f>
        <v/>
      </c>
    </row>
    <row r="155" spans="1:74" ht="15" customHeight="1">
      <c r="A155" s="130" t="str">
        <f t="shared" si="24"/>
        <v/>
      </c>
      <c r="B155" s="135"/>
      <c r="C155" s="133" t="str">
        <f>IF($B155="","",IFERROR(INDEX(BUDGET!$T$28:$T$67,MATCH($B155,BUDGET!$A$28:$A$67,0)),""))</f>
        <v/>
      </c>
      <c r="D155" s="133" t="str">
        <f>IF($B155="","",IFERROR(INDEX(BUDGET!$S$28:$S$67,MATCH($B155,BUDGET!$A$28:$A$67,0)),""))</f>
        <v/>
      </c>
      <c r="E155" s="135"/>
      <c r="F155" s="133" t="str">
        <f>IF($E155="","",IFERROR(INDEX(PROJETS!$C$56:$C$95,MATCH($E155,PROJETS!$A$56:$A$95,0)),""))</f>
        <v/>
      </c>
      <c r="G155" s="133" t="str">
        <f>IF($E155="","",IFERROR(INDEX(PROJETS!$J$56:$J$95,MATCH($E155,PROJETS!$A$56:$A$95,0)),""))</f>
        <v/>
      </c>
      <c r="H155" s="133" t="str">
        <f>IF($E155="","",IFERROR(INDEX(PROJETS!$N$56:$N$95,MATCH($E155,PROJETS!$A$56:$A$95,0)),""))</f>
        <v/>
      </c>
      <c r="I155" s="135"/>
      <c r="J155" s="133" t="str">
        <f>IF($I155="","",IFERROR(INDEX(ACTIVITES!$G$56:$G$105,MATCH($I155,ACTIVITES!$A$56:$A$105,0)),""))</f>
        <v/>
      </c>
      <c r="K155" s="135"/>
      <c r="L155" s="133" t="str">
        <f>IF($K155="","",IFERROR(INDEX(DONATEURS!$B$56:$B$205,MATCH($K155,DONATEURS!$A$56:$A$205,0)),""))</f>
        <v/>
      </c>
      <c r="M155" s="136"/>
      <c r="N155" s="136"/>
      <c r="O155" s="135"/>
      <c r="P155" s="135"/>
      <c r="Q155" s="135"/>
      <c r="R155" s="136"/>
      <c r="S155" s="135"/>
      <c r="T155" s="135"/>
      <c r="U155" s="136"/>
      <c r="V155" s="136"/>
      <c r="W155" s="136"/>
      <c r="X155" s="137"/>
      <c r="Y155" s="135"/>
      <c r="Z155" s="137"/>
      <c r="AA155" s="132" t="str">
        <f t="shared" si="25"/>
        <v/>
      </c>
      <c r="AB155" s="137"/>
      <c r="AC155" s="137"/>
      <c r="AD155" s="132" t="str">
        <f t="shared" si="31"/>
        <v/>
      </c>
      <c r="AE155" s="135"/>
      <c r="AF155" s="138"/>
      <c r="AG155" s="132" t="str">
        <f t="shared" si="32"/>
        <v/>
      </c>
      <c r="AH155" s="135"/>
      <c r="AI155" s="136"/>
      <c r="AJ155" s="136"/>
      <c r="AK155" s="135"/>
      <c r="AL155" s="136"/>
      <c r="AM155" s="136"/>
      <c r="AN155" s="139"/>
      <c r="AO155" s="136"/>
      <c r="AP155" s="136"/>
      <c r="AQ155" s="139"/>
      <c r="AR155" s="135"/>
      <c r="AS155" s="135"/>
      <c r="AT155" s="139"/>
      <c r="AU155" s="137"/>
      <c r="AV155" s="136"/>
      <c r="AW155" s="135"/>
      <c r="AX155" s="139"/>
      <c r="AY155" s="137"/>
      <c r="AZ155" s="132" t="str">
        <f t="shared" si="26"/>
        <v/>
      </c>
      <c r="BA155" s="135"/>
      <c r="BB155" s="136"/>
      <c r="BC155" s="139"/>
      <c r="BD155" s="135"/>
      <c r="BE155" s="136"/>
      <c r="BF155" s="130" t="str">
        <f t="shared" si="27"/>
        <v/>
      </c>
      <c r="BG155" s="135"/>
      <c r="BH155" s="139"/>
      <c r="BI155" s="136"/>
      <c r="BJ155" s="136"/>
      <c r="BK155" s="136"/>
      <c r="BL155" s="139"/>
      <c r="BM155" s="130" t="str">
        <f t="shared" si="28"/>
        <v/>
      </c>
      <c r="BN155" s="140" t="str">
        <f>IF($BL155="","",INDEX(PARAMETRES!$C$53:$C$65,MONTH($BL155)))</f>
        <v/>
      </c>
      <c r="BO155" s="79" t="str">
        <f>IF($BL155="","",INDEX(PARAMETRES!$B$53:$B$65,MONTH($BL155)))</f>
        <v/>
      </c>
      <c r="BP155" s="132" t="str">
        <f>IFERROR(INDEX(BUDGET!$AL$28:$AL$67,MATCH($B155,BUDGET!$A$28:$A$67,0)),"")</f>
        <v/>
      </c>
      <c r="BQ155" s="132" t="str">
        <f t="shared" si="29"/>
        <v/>
      </c>
      <c r="BR155" s="134" t="str">
        <f>IFERROR($AG155/INDEX(BUDGET!$AK$28:$AK$67,MATCH($B155,BUDGET!$A$28:$A$67,0)),"")</f>
        <v/>
      </c>
      <c r="BS155" s="130" t="str">
        <f t="shared" si="30"/>
        <v/>
      </c>
      <c r="BT155" s="136"/>
      <c r="BU155" s="130" t="str">
        <f>IF($E155="","",COUNTIFS($E$119:E155,$E155))</f>
        <v/>
      </c>
      <c r="BV155" s="130" t="str">
        <f>IF($D155="","",COUNTIFS($D$119:D155,$D155))</f>
        <v/>
      </c>
    </row>
    <row r="156" spans="1:74" ht="15" customHeight="1">
      <c r="A156" s="130" t="str">
        <f t="shared" si="24"/>
        <v/>
      </c>
      <c r="B156" s="135"/>
      <c r="C156" s="133" t="str">
        <f>IF($B156="","",IFERROR(INDEX(BUDGET!$T$28:$T$67,MATCH($B156,BUDGET!$A$28:$A$67,0)),""))</f>
        <v/>
      </c>
      <c r="D156" s="133" t="str">
        <f>IF($B156="","",IFERROR(INDEX(BUDGET!$S$28:$S$67,MATCH($B156,BUDGET!$A$28:$A$67,0)),""))</f>
        <v/>
      </c>
      <c r="E156" s="135"/>
      <c r="F156" s="133" t="str">
        <f>IF($E156="","",IFERROR(INDEX(PROJETS!$C$56:$C$95,MATCH($E156,PROJETS!$A$56:$A$95,0)),""))</f>
        <v/>
      </c>
      <c r="G156" s="133" t="str">
        <f>IF($E156="","",IFERROR(INDEX(PROJETS!$J$56:$J$95,MATCH($E156,PROJETS!$A$56:$A$95,0)),""))</f>
        <v/>
      </c>
      <c r="H156" s="133" t="str">
        <f>IF($E156="","",IFERROR(INDEX(PROJETS!$N$56:$N$95,MATCH($E156,PROJETS!$A$56:$A$95,0)),""))</f>
        <v/>
      </c>
      <c r="I156" s="135"/>
      <c r="J156" s="133" t="str">
        <f>IF($I156="","",IFERROR(INDEX(ACTIVITES!$G$56:$G$105,MATCH($I156,ACTIVITES!$A$56:$A$105,0)),""))</f>
        <v/>
      </c>
      <c r="K156" s="135"/>
      <c r="L156" s="133" t="str">
        <f>IF($K156="","",IFERROR(INDEX(DONATEURS!$B$56:$B$205,MATCH($K156,DONATEURS!$A$56:$A$205,0)),""))</f>
        <v/>
      </c>
      <c r="M156" s="136"/>
      <c r="N156" s="136"/>
      <c r="O156" s="135"/>
      <c r="P156" s="135"/>
      <c r="Q156" s="135"/>
      <c r="R156" s="136"/>
      <c r="S156" s="135"/>
      <c r="T156" s="135"/>
      <c r="U156" s="136"/>
      <c r="V156" s="136"/>
      <c r="W156" s="136"/>
      <c r="X156" s="137"/>
      <c r="Y156" s="135"/>
      <c r="Z156" s="137"/>
      <c r="AA156" s="132" t="str">
        <f t="shared" si="25"/>
        <v/>
      </c>
      <c r="AB156" s="137"/>
      <c r="AC156" s="137"/>
      <c r="AD156" s="132" t="str">
        <f t="shared" si="31"/>
        <v/>
      </c>
      <c r="AE156" s="135"/>
      <c r="AF156" s="138"/>
      <c r="AG156" s="132" t="str">
        <f t="shared" si="32"/>
        <v/>
      </c>
      <c r="AH156" s="135"/>
      <c r="AI156" s="136"/>
      <c r="AJ156" s="136"/>
      <c r="AK156" s="135"/>
      <c r="AL156" s="136"/>
      <c r="AM156" s="136"/>
      <c r="AN156" s="139"/>
      <c r="AO156" s="136"/>
      <c r="AP156" s="136"/>
      <c r="AQ156" s="139"/>
      <c r="AR156" s="135"/>
      <c r="AS156" s="135"/>
      <c r="AT156" s="139"/>
      <c r="AU156" s="137"/>
      <c r="AV156" s="136"/>
      <c r="AW156" s="135"/>
      <c r="AX156" s="139"/>
      <c r="AY156" s="137"/>
      <c r="AZ156" s="132" t="str">
        <f t="shared" si="26"/>
        <v/>
      </c>
      <c r="BA156" s="135"/>
      <c r="BB156" s="136"/>
      <c r="BC156" s="139"/>
      <c r="BD156" s="135"/>
      <c r="BE156" s="136"/>
      <c r="BF156" s="130" t="str">
        <f t="shared" si="27"/>
        <v/>
      </c>
      <c r="BG156" s="135"/>
      <c r="BH156" s="139"/>
      <c r="BI156" s="136"/>
      <c r="BJ156" s="136"/>
      <c r="BK156" s="136"/>
      <c r="BL156" s="139"/>
      <c r="BM156" s="130" t="str">
        <f t="shared" si="28"/>
        <v/>
      </c>
      <c r="BN156" s="140" t="str">
        <f>IF($BL156="","",INDEX(PARAMETRES!$C$53:$C$65,MONTH($BL156)))</f>
        <v/>
      </c>
      <c r="BO156" s="79" t="str">
        <f>IF($BL156="","",INDEX(PARAMETRES!$B$53:$B$65,MONTH($BL156)))</f>
        <v/>
      </c>
      <c r="BP156" s="132" t="str">
        <f>IFERROR(INDEX(BUDGET!$AL$28:$AL$67,MATCH($B156,BUDGET!$A$28:$A$67,0)),"")</f>
        <v/>
      </c>
      <c r="BQ156" s="132" t="str">
        <f t="shared" si="29"/>
        <v/>
      </c>
      <c r="BR156" s="134" t="str">
        <f>IFERROR($AG156/INDEX(BUDGET!$AK$28:$AK$67,MATCH($B156,BUDGET!$A$28:$A$67,0)),"")</f>
        <v/>
      </c>
      <c r="BS156" s="130" t="str">
        <f t="shared" si="30"/>
        <v/>
      </c>
      <c r="BT156" s="136"/>
      <c r="BU156" s="130" t="str">
        <f>IF($E156="","",COUNTIFS($E$119:E156,$E156))</f>
        <v/>
      </c>
      <c r="BV156" s="130" t="str">
        <f>IF($D156="","",COUNTIFS($D$119:D156,$D156))</f>
        <v/>
      </c>
    </row>
    <row r="157" spans="1:74" ht="15" customHeight="1">
      <c r="A157" s="130" t="str">
        <f t="shared" si="24"/>
        <v/>
      </c>
      <c r="B157" s="135"/>
      <c r="C157" s="133" t="str">
        <f>IF($B157="","",IFERROR(INDEX(BUDGET!$T$28:$T$67,MATCH($B157,BUDGET!$A$28:$A$67,0)),""))</f>
        <v/>
      </c>
      <c r="D157" s="133" t="str">
        <f>IF($B157="","",IFERROR(INDEX(BUDGET!$S$28:$S$67,MATCH($B157,BUDGET!$A$28:$A$67,0)),""))</f>
        <v/>
      </c>
      <c r="E157" s="135"/>
      <c r="F157" s="133" t="str">
        <f>IF($E157="","",IFERROR(INDEX(PROJETS!$C$56:$C$95,MATCH($E157,PROJETS!$A$56:$A$95,0)),""))</f>
        <v/>
      </c>
      <c r="G157" s="133" t="str">
        <f>IF($E157="","",IFERROR(INDEX(PROJETS!$J$56:$J$95,MATCH($E157,PROJETS!$A$56:$A$95,0)),""))</f>
        <v/>
      </c>
      <c r="H157" s="133" t="str">
        <f>IF($E157="","",IFERROR(INDEX(PROJETS!$N$56:$N$95,MATCH($E157,PROJETS!$A$56:$A$95,0)),""))</f>
        <v/>
      </c>
      <c r="I157" s="135"/>
      <c r="J157" s="133" t="str">
        <f>IF($I157="","",IFERROR(INDEX(ACTIVITES!$G$56:$G$105,MATCH($I157,ACTIVITES!$A$56:$A$105,0)),""))</f>
        <v/>
      </c>
      <c r="K157" s="135"/>
      <c r="L157" s="133" t="str">
        <f>IF($K157="","",IFERROR(INDEX(DONATEURS!$B$56:$B$205,MATCH($K157,DONATEURS!$A$56:$A$205,0)),""))</f>
        <v/>
      </c>
      <c r="M157" s="136"/>
      <c r="N157" s="136"/>
      <c r="O157" s="135"/>
      <c r="P157" s="135"/>
      <c r="Q157" s="135"/>
      <c r="R157" s="136"/>
      <c r="S157" s="135"/>
      <c r="T157" s="135"/>
      <c r="U157" s="136"/>
      <c r="V157" s="136"/>
      <c r="W157" s="136"/>
      <c r="X157" s="137"/>
      <c r="Y157" s="135"/>
      <c r="Z157" s="137"/>
      <c r="AA157" s="132" t="str">
        <f t="shared" si="25"/>
        <v/>
      </c>
      <c r="AB157" s="137"/>
      <c r="AC157" s="137"/>
      <c r="AD157" s="132" t="str">
        <f t="shared" si="31"/>
        <v/>
      </c>
      <c r="AE157" s="135"/>
      <c r="AF157" s="138"/>
      <c r="AG157" s="132" t="str">
        <f t="shared" si="32"/>
        <v/>
      </c>
      <c r="AH157" s="135"/>
      <c r="AI157" s="136"/>
      <c r="AJ157" s="136"/>
      <c r="AK157" s="135"/>
      <c r="AL157" s="136"/>
      <c r="AM157" s="136"/>
      <c r="AN157" s="139"/>
      <c r="AO157" s="136"/>
      <c r="AP157" s="136"/>
      <c r="AQ157" s="139"/>
      <c r="AR157" s="135"/>
      <c r="AS157" s="135"/>
      <c r="AT157" s="139"/>
      <c r="AU157" s="137"/>
      <c r="AV157" s="136"/>
      <c r="AW157" s="135"/>
      <c r="AX157" s="139"/>
      <c r="AY157" s="137"/>
      <c r="AZ157" s="132" t="str">
        <f t="shared" si="26"/>
        <v/>
      </c>
      <c r="BA157" s="135"/>
      <c r="BB157" s="136"/>
      <c r="BC157" s="139"/>
      <c r="BD157" s="135"/>
      <c r="BE157" s="136"/>
      <c r="BF157" s="130" t="str">
        <f t="shared" si="27"/>
        <v/>
      </c>
      <c r="BG157" s="135"/>
      <c r="BH157" s="139"/>
      <c r="BI157" s="136"/>
      <c r="BJ157" s="136"/>
      <c r="BK157" s="136"/>
      <c r="BL157" s="139"/>
      <c r="BM157" s="130" t="str">
        <f t="shared" si="28"/>
        <v/>
      </c>
      <c r="BN157" s="140" t="str">
        <f>IF($BL157="","",INDEX(PARAMETRES!$C$53:$C$65,MONTH($BL157)))</f>
        <v/>
      </c>
      <c r="BO157" s="79" t="str">
        <f>IF($BL157="","",INDEX(PARAMETRES!$B$53:$B$65,MONTH($BL157)))</f>
        <v/>
      </c>
      <c r="BP157" s="132" t="str">
        <f>IFERROR(INDEX(BUDGET!$AL$28:$AL$67,MATCH($B157,BUDGET!$A$28:$A$67,0)),"")</f>
        <v/>
      </c>
      <c r="BQ157" s="132" t="str">
        <f t="shared" si="29"/>
        <v/>
      </c>
      <c r="BR157" s="134" t="str">
        <f>IFERROR($AG157/INDEX(BUDGET!$AK$28:$AK$67,MATCH($B157,BUDGET!$A$28:$A$67,0)),"")</f>
        <v/>
      </c>
      <c r="BS157" s="130" t="str">
        <f t="shared" si="30"/>
        <v/>
      </c>
      <c r="BT157" s="136"/>
      <c r="BU157" s="130" t="str">
        <f>IF($E157="","",COUNTIFS($E$119:E157,$E157))</f>
        <v/>
      </c>
      <c r="BV157" s="130" t="str">
        <f>IF($D157="","",COUNTIFS($D$119:D157,$D157))</f>
        <v/>
      </c>
    </row>
    <row r="158" spans="1:74" ht="15" customHeight="1">
      <c r="A158" s="130" t="str">
        <f t="shared" si="24"/>
        <v/>
      </c>
      <c r="B158" s="135"/>
      <c r="C158" s="133" t="str">
        <f>IF($B158="","",IFERROR(INDEX(BUDGET!$T$28:$T$67,MATCH($B158,BUDGET!$A$28:$A$67,0)),""))</f>
        <v/>
      </c>
      <c r="D158" s="133" t="str">
        <f>IF($B158="","",IFERROR(INDEX(BUDGET!$S$28:$S$67,MATCH($B158,BUDGET!$A$28:$A$67,0)),""))</f>
        <v/>
      </c>
      <c r="E158" s="135"/>
      <c r="F158" s="133" t="str">
        <f>IF($E158="","",IFERROR(INDEX(PROJETS!$C$56:$C$95,MATCH($E158,PROJETS!$A$56:$A$95,0)),""))</f>
        <v/>
      </c>
      <c r="G158" s="133" t="str">
        <f>IF($E158="","",IFERROR(INDEX(PROJETS!$J$56:$J$95,MATCH($E158,PROJETS!$A$56:$A$95,0)),""))</f>
        <v/>
      </c>
      <c r="H158" s="133" t="str">
        <f>IF($E158="","",IFERROR(INDEX(PROJETS!$N$56:$N$95,MATCH($E158,PROJETS!$A$56:$A$95,0)),""))</f>
        <v/>
      </c>
      <c r="I158" s="135"/>
      <c r="J158" s="133" t="str">
        <f>IF($I158="","",IFERROR(INDEX(ACTIVITES!$G$56:$G$105,MATCH($I158,ACTIVITES!$A$56:$A$105,0)),""))</f>
        <v/>
      </c>
      <c r="K158" s="135"/>
      <c r="L158" s="133" t="str">
        <f>IF($K158="","",IFERROR(INDEX(DONATEURS!$B$56:$B$205,MATCH($K158,DONATEURS!$A$56:$A$205,0)),""))</f>
        <v/>
      </c>
      <c r="M158" s="136"/>
      <c r="N158" s="136"/>
      <c r="O158" s="135"/>
      <c r="P158" s="135"/>
      <c r="Q158" s="135"/>
      <c r="R158" s="136"/>
      <c r="S158" s="135"/>
      <c r="T158" s="135"/>
      <c r="U158" s="136"/>
      <c r="V158" s="136"/>
      <c r="W158" s="136"/>
      <c r="X158" s="137"/>
      <c r="Y158" s="135"/>
      <c r="Z158" s="137"/>
      <c r="AA158" s="132" t="str">
        <f t="shared" si="25"/>
        <v/>
      </c>
      <c r="AB158" s="137"/>
      <c r="AC158" s="137"/>
      <c r="AD158" s="132" t="str">
        <f t="shared" si="31"/>
        <v/>
      </c>
      <c r="AE158" s="135"/>
      <c r="AF158" s="138"/>
      <c r="AG158" s="132" t="str">
        <f t="shared" si="32"/>
        <v/>
      </c>
      <c r="AH158" s="135"/>
      <c r="AI158" s="136"/>
      <c r="AJ158" s="136"/>
      <c r="AK158" s="135"/>
      <c r="AL158" s="136"/>
      <c r="AM158" s="136"/>
      <c r="AN158" s="139"/>
      <c r="AO158" s="136"/>
      <c r="AP158" s="136"/>
      <c r="AQ158" s="139"/>
      <c r="AR158" s="135"/>
      <c r="AS158" s="135"/>
      <c r="AT158" s="139"/>
      <c r="AU158" s="137"/>
      <c r="AV158" s="136"/>
      <c r="AW158" s="135"/>
      <c r="AX158" s="139"/>
      <c r="AY158" s="137"/>
      <c r="AZ158" s="132" t="str">
        <f t="shared" si="26"/>
        <v/>
      </c>
      <c r="BA158" s="135"/>
      <c r="BB158" s="136"/>
      <c r="BC158" s="139"/>
      <c r="BD158" s="135"/>
      <c r="BE158" s="136"/>
      <c r="BF158" s="130" t="str">
        <f t="shared" si="27"/>
        <v/>
      </c>
      <c r="BG158" s="135"/>
      <c r="BH158" s="139"/>
      <c r="BI158" s="136"/>
      <c r="BJ158" s="136"/>
      <c r="BK158" s="136"/>
      <c r="BL158" s="139"/>
      <c r="BM158" s="130" t="str">
        <f t="shared" si="28"/>
        <v/>
      </c>
      <c r="BN158" s="140" t="str">
        <f>IF($BL158="","",INDEX(PARAMETRES!$C$53:$C$65,MONTH($BL158)))</f>
        <v/>
      </c>
      <c r="BO158" s="79" t="str">
        <f>IF($BL158="","",INDEX(PARAMETRES!$B$53:$B$65,MONTH($BL158)))</f>
        <v/>
      </c>
      <c r="BP158" s="132" t="str">
        <f>IFERROR(INDEX(BUDGET!$AL$28:$AL$67,MATCH($B158,BUDGET!$A$28:$A$67,0)),"")</f>
        <v/>
      </c>
      <c r="BQ158" s="132" t="str">
        <f t="shared" si="29"/>
        <v/>
      </c>
      <c r="BR158" s="134" t="str">
        <f>IFERROR($AG158/INDEX(BUDGET!$AK$28:$AK$67,MATCH($B158,BUDGET!$A$28:$A$67,0)),"")</f>
        <v/>
      </c>
      <c r="BS158" s="130" t="str">
        <f t="shared" si="30"/>
        <v/>
      </c>
      <c r="BT158" s="136"/>
      <c r="BU158" s="130" t="str">
        <f>IF($E158="","",COUNTIFS($E$119:E158,$E158))</f>
        <v/>
      </c>
      <c r="BV158" s="130" t="str">
        <f>IF($D158="","",COUNTIFS($D$119:D158,$D158))</f>
        <v/>
      </c>
    </row>
    <row r="159" spans="1:74" ht="15" customHeight="1">
      <c r="A159" s="130" t="str">
        <f t="shared" si="24"/>
        <v/>
      </c>
      <c r="B159" s="135"/>
      <c r="C159" s="133" t="str">
        <f>IF($B159="","",IFERROR(INDEX(BUDGET!$T$28:$T$67,MATCH($B159,BUDGET!$A$28:$A$67,0)),""))</f>
        <v/>
      </c>
      <c r="D159" s="133" t="str">
        <f>IF($B159="","",IFERROR(INDEX(BUDGET!$S$28:$S$67,MATCH($B159,BUDGET!$A$28:$A$67,0)),""))</f>
        <v/>
      </c>
      <c r="E159" s="135"/>
      <c r="F159" s="133" t="str">
        <f>IF($E159="","",IFERROR(INDEX(PROJETS!$C$56:$C$95,MATCH($E159,PROJETS!$A$56:$A$95,0)),""))</f>
        <v/>
      </c>
      <c r="G159" s="133" t="str">
        <f>IF($E159="","",IFERROR(INDEX(PROJETS!$J$56:$J$95,MATCH($E159,PROJETS!$A$56:$A$95,0)),""))</f>
        <v/>
      </c>
      <c r="H159" s="133" t="str">
        <f>IF($E159="","",IFERROR(INDEX(PROJETS!$N$56:$N$95,MATCH($E159,PROJETS!$A$56:$A$95,0)),""))</f>
        <v/>
      </c>
      <c r="I159" s="135"/>
      <c r="J159" s="133" t="str">
        <f>IF($I159="","",IFERROR(INDEX(ACTIVITES!$G$56:$G$105,MATCH($I159,ACTIVITES!$A$56:$A$105,0)),""))</f>
        <v/>
      </c>
      <c r="K159" s="135"/>
      <c r="L159" s="133" t="str">
        <f>IF($K159="","",IFERROR(INDEX(DONATEURS!$B$56:$B$205,MATCH($K159,DONATEURS!$A$56:$A$205,0)),""))</f>
        <v/>
      </c>
      <c r="M159" s="136"/>
      <c r="N159" s="136"/>
      <c r="O159" s="135"/>
      <c r="P159" s="135"/>
      <c r="Q159" s="135"/>
      <c r="R159" s="136"/>
      <c r="S159" s="135"/>
      <c r="T159" s="135"/>
      <c r="U159" s="136"/>
      <c r="V159" s="136"/>
      <c r="W159" s="136"/>
      <c r="X159" s="137"/>
      <c r="Y159" s="135"/>
      <c r="Z159" s="137"/>
      <c r="AA159" s="132" t="str">
        <f t="shared" si="25"/>
        <v/>
      </c>
      <c r="AB159" s="137"/>
      <c r="AC159" s="137"/>
      <c r="AD159" s="132" t="str">
        <f t="shared" si="31"/>
        <v/>
      </c>
      <c r="AE159" s="135"/>
      <c r="AF159" s="138"/>
      <c r="AG159" s="132" t="str">
        <f t="shared" si="32"/>
        <v/>
      </c>
      <c r="AH159" s="135"/>
      <c r="AI159" s="136"/>
      <c r="AJ159" s="136"/>
      <c r="AK159" s="135"/>
      <c r="AL159" s="136"/>
      <c r="AM159" s="136"/>
      <c r="AN159" s="139"/>
      <c r="AO159" s="136"/>
      <c r="AP159" s="136"/>
      <c r="AQ159" s="139"/>
      <c r="AR159" s="135"/>
      <c r="AS159" s="135"/>
      <c r="AT159" s="139"/>
      <c r="AU159" s="137"/>
      <c r="AV159" s="136"/>
      <c r="AW159" s="135"/>
      <c r="AX159" s="139"/>
      <c r="AY159" s="137"/>
      <c r="AZ159" s="132" t="str">
        <f t="shared" si="26"/>
        <v/>
      </c>
      <c r="BA159" s="135"/>
      <c r="BB159" s="136"/>
      <c r="BC159" s="139"/>
      <c r="BD159" s="135"/>
      <c r="BE159" s="136"/>
      <c r="BF159" s="130" t="str">
        <f t="shared" si="27"/>
        <v/>
      </c>
      <c r="BG159" s="135"/>
      <c r="BH159" s="139"/>
      <c r="BI159" s="136"/>
      <c r="BJ159" s="136"/>
      <c r="BK159" s="136"/>
      <c r="BL159" s="139"/>
      <c r="BM159" s="130" t="str">
        <f t="shared" si="28"/>
        <v/>
      </c>
      <c r="BN159" s="140" t="str">
        <f>IF($BL159="","",INDEX(PARAMETRES!$C$53:$C$65,MONTH($BL159)))</f>
        <v/>
      </c>
      <c r="BO159" s="79" t="str">
        <f>IF($BL159="","",INDEX(PARAMETRES!$B$53:$B$65,MONTH($BL159)))</f>
        <v/>
      </c>
      <c r="BP159" s="132" t="str">
        <f>IFERROR(INDEX(BUDGET!$AL$28:$AL$67,MATCH($B159,BUDGET!$A$28:$A$67,0)),"")</f>
        <v/>
      </c>
      <c r="BQ159" s="132" t="str">
        <f t="shared" si="29"/>
        <v/>
      </c>
      <c r="BR159" s="134" t="str">
        <f>IFERROR($AG159/INDEX(BUDGET!$AK$28:$AK$67,MATCH($B159,BUDGET!$A$28:$A$67,0)),"")</f>
        <v/>
      </c>
      <c r="BS159" s="130" t="str">
        <f t="shared" si="30"/>
        <v/>
      </c>
      <c r="BT159" s="136"/>
      <c r="BU159" s="130" t="str">
        <f>IF($E159="","",COUNTIFS($E$119:E159,$E159))</f>
        <v/>
      </c>
      <c r="BV159" s="130" t="str">
        <f>IF($D159="","",COUNTIFS($D$119:D159,$D159))</f>
        <v/>
      </c>
    </row>
    <row r="160" spans="1:74" ht="15" customHeight="1">
      <c r="A160" s="130" t="str">
        <f t="shared" si="24"/>
        <v/>
      </c>
      <c r="B160" s="135"/>
      <c r="C160" s="133" t="str">
        <f>IF($B160="","",IFERROR(INDEX(BUDGET!$T$28:$T$67,MATCH($B160,BUDGET!$A$28:$A$67,0)),""))</f>
        <v/>
      </c>
      <c r="D160" s="133" t="str">
        <f>IF($B160="","",IFERROR(INDEX(BUDGET!$S$28:$S$67,MATCH($B160,BUDGET!$A$28:$A$67,0)),""))</f>
        <v/>
      </c>
      <c r="E160" s="135"/>
      <c r="F160" s="133" t="str">
        <f>IF($E160="","",IFERROR(INDEX(PROJETS!$C$56:$C$95,MATCH($E160,PROJETS!$A$56:$A$95,0)),""))</f>
        <v/>
      </c>
      <c r="G160" s="133" t="str">
        <f>IF($E160="","",IFERROR(INDEX(PROJETS!$J$56:$J$95,MATCH($E160,PROJETS!$A$56:$A$95,0)),""))</f>
        <v/>
      </c>
      <c r="H160" s="133" t="str">
        <f>IF($E160="","",IFERROR(INDEX(PROJETS!$N$56:$N$95,MATCH($E160,PROJETS!$A$56:$A$95,0)),""))</f>
        <v/>
      </c>
      <c r="I160" s="135"/>
      <c r="J160" s="133" t="str">
        <f>IF($I160="","",IFERROR(INDEX(ACTIVITES!$G$56:$G$105,MATCH($I160,ACTIVITES!$A$56:$A$105,0)),""))</f>
        <v/>
      </c>
      <c r="K160" s="135"/>
      <c r="L160" s="133" t="str">
        <f>IF($K160="","",IFERROR(INDEX(DONATEURS!$B$56:$B$205,MATCH($K160,DONATEURS!$A$56:$A$205,0)),""))</f>
        <v/>
      </c>
      <c r="M160" s="136"/>
      <c r="N160" s="136"/>
      <c r="O160" s="135"/>
      <c r="P160" s="135"/>
      <c r="Q160" s="135"/>
      <c r="R160" s="136"/>
      <c r="S160" s="135"/>
      <c r="T160" s="135"/>
      <c r="U160" s="136"/>
      <c r="V160" s="136"/>
      <c r="W160" s="136"/>
      <c r="X160" s="137"/>
      <c r="Y160" s="135"/>
      <c r="Z160" s="137"/>
      <c r="AA160" s="132" t="str">
        <f t="shared" si="25"/>
        <v/>
      </c>
      <c r="AB160" s="137"/>
      <c r="AC160" s="137"/>
      <c r="AD160" s="132" t="str">
        <f t="shared" si="31"/>
        <v/>
      </c>
      <c r="AE160" s="135"/>
      <c r="AF160" s="138"/>
      <c r="AG160" s="132" t="str">
        <f t="shared" si="32"/>
        <v/>
      </c>
      <c r="AH160" s="135"/>
      <c r="AI160" s="136"/>
      <c r="AJ160" s="136"/>
      <c r="AK160" s="135"/>
      <c r="AL160" s="136"/>
      <c r="AM160" s="136"/>
      <c r="AN160" s="139"/>
      <c r="AO160" s="136"/>
      <c r="AP160" s="136"/>
      <c r="AQ160" s="139"/>
      <c r="AR160" s="135"/>
      <c r="AS160" s="135"/>
      <c r="AT160" s="139"/>
      <c r="AU160" s="137"/>
      <c r="AV160" s="136"/>
      <c r="AW160" s="135"/>
      <c r="AX160" s="139"/>
      <c r="AY160" s="137"/>
      <c r="AZ160" s="132" t="str">
        <f t="shared" si="26"/>
        <v/>
      </c>
      <c r="BA160" s="135"/>
      <c r="BB160" s="136"/>
      <c r="BC160" s="139"/>
      <c r="BD160" s="135"/>
      <c r="BE160" s="136"/>
      <c r="BF160" s="130" t="str">
        <f t="shared" si="27"/>
        <v/>
      </c>
      <c r="BG160" s="135"/>
      <c r="BH160" s="139"/>
      <c r="BI160" s="136"/>
      <c r="BJ160" s="136"/>
      <c r="BK160" s="136"/>
      <c r="BL160" s="139"/>
      <c r="BM160" s="130" t="str">
        <f t="shared" si="28"/>
        <v/>
      </c>
      <c r="BN160" s="140" t="str">
        <f>IF($BL160="","",INDEX(PARAMETRES!$C$53:$C$65,MONTH($BL160)))</f>
        <v/>
      </c>
      <c r="BO160" s="79" t="str">
        <f>IF($BL160="","",INDEX(PARAMETRES!$B$53:$B$65,MONTH($BL160)))</f>
        <v/>
      </c>
      <c r="BP160" s="132" t="str">
        <f>IFERROR(INDEX(BUDGET!$AL$28:$AL$67,MATCH($B160,BUDGET!$A$28:$A$67,0)),"")</f>
        <v/>
      </c>
      <c r="BQ160" s="132" t="str">
        <f t="shared" si="29"/>
        <v/>
      </c>
      <c r="BR160" s="134" t="str">
        <f>IFERROR($AG160/INDEX(BUDGET!$AK$28:$AK$67,MATCH($B160,BUDGET!$A$28:$A$67,0)),"")</f>
        <v/>
      </c>
      <c r="BS160" s="130" t="str">
        <f t="shared" si="30"/>
        <v/>
      </c>
      <c r="BT160" s="136"/>
      <c r="BU160" s="130" t="str">
        <f>IF($E160="","",COUNTIFS($E$119:E160,$E160))</f>
        <v/>
      </c>
      <c r="BV160" s="130" t="str">
        <f>IF($D160="","",COUNTIFS($D$119:D160,$D160))</f>
        <v/>
      </c>
    </row>
    <row r="161" spans="1:74" ht="15" customHeight="1">
      <c r="A161" s="130" t="str">
        <f t="shared" si="24"/>
        <v/>
      </c>
      <c r="B161" s="135"/>
      <c r="C161" s="133" t="str">
        <f>IF($B161="","",IFERROR(INDEX(BUDGET!$T$28:$T$67,MATCH($B161,BUDGET!$A$28:$A$67,0)),""))</f>
        <v/>
      </c>
      <c r="D161" s="133" t="str">
        <f>IF($B161="","",IFERROR(INDEX(BUDGET!$S$28:$S$67,MATCH($B161,BUDGET!$A$28:$A$67,0)),""))</f>
        <v/>
      </c>
      <c r="E161" s="135"/>
      <c r="F161" s="133" t="str">
        <f>IF($E161="","",IFERROR(INDEX(PROJETS!$C$56:$C$95,MATCH($E161,PROJETS!$A$56:$A$95,0)),""))</f>
        <v/>
      </c>
      <c r="G161" s="133" t="str">
        <f>IF($E161="","",IFERROR(INDEX(PROJETS!$J$56:$J$95,MATCH($E161,PROJETS!$A$56:$A$95,0)),""))</f>
        <v/>
      </c>
      <c r="H161" s="133" t="str">
        <f>IF($E161="","",IFERROR(INDEX(PROJETS!$N$56:$N$95,MATCH($E161,PROJETS!$A$56:$A$95,0)),""))</f>
        <v/>
      </c>
      <c r="I161" s="135"/>
      <c r="J161" s="133" t="str">
        <f>IF($I161="","",IFERROR(INDEX(ACTIVITES!$G$56:$G$105,MATCH($I161,ACTIVITES!$A$56:$A$105,0)),""))</f>
        <v/>
      </c>
      <c r="K161" s="135"/>
      <c r="L161" s="133" t="str">
        <f>IF($K161="","",IFERROR(INDEX(DONATEURS!$B$56:$B$205,MATCH($K161,DONATEURS!$A$56:$A$205,0)),""))</f>
        <v/>
      </c>
      <c r="M161" s="136"/>
      <c r="N161" s="136"/>
      <c r="O161" s="135"/>
      <c r="P161" s="135"/>
      <c r="Q161" s="135"/>
      <c r="R161" s="136"/>
      <c r="S161" s="135"/>
      <c r="T161" s="135"/>
      <c r="U161" s="136"/>
      <c r="V161" s="136"/>
      <c r="W161" s="136"/>
      <c r="X161" s="137"/>
      <c r="Y161" s="135"/>
      <c r="Z161" s="137"/>
      <c r="AA161" s="132" t="str">
        <f t="shared" si="25"/>
        <v/>
      </c>
      <c r="AB161" s="137"/>
      <c r="AC161" s="137"/>
      <c r="AD161" s="132" t="str">
        <f t="shared" si="31"/>
        <v/>
      </c>
      <c r="AE161" s="135"/>
      <c r="AF161" s="138"/>
      <c r="AG161" s="132" t="str">
        <f t="shared" si="32"/>
        <v/>
      </c>
      <c r="AH161" s="135"/>
      <c r="AI161" s="136"/>
      <c r="AJ161" s="136"/>
      <c r="AK161" s="135"/>
      <c r="AL161" s="136"/>
      <c r="AM161" s="136"/>
      <c r="AN161" s="139"/>
      <c r="AO161" s="136"/>
      <c r="AP161" s="136"/>
      <c r="AQ161" s="139"/>
      <c r="AR161" s="135"/>
      <c r="AS161" s="135"/>
      <c r="AT161" s="139"/>
      <c r="AU161" s="137"/>
      <c r="AV161" s="136"/>
      <c r="AW161" s="135"/>
      <c r="AX161" s="139"/>
      <c r="AY161" s="137"/>
      <c r="AZ161" s="132" t="str">
        <f t="shared" si="26"/>
        <v/>
      </c>
      <c r="BA161" s="135"/>
      <c r="BB161" s="136"/>
      <c r="BC161" s="139"/>
      <c r="BD161" s="135"/>
      <c r="BE161" s="136"/>
      <c r="BF161" s="130" t="str">
        <f t="shared" si="27"/>
        <v/>
      </c>
      <c r="BG161" s="135"/>
      <c r="BH161" s="139"/>
      <c r="BI161" s="136"/>
      <c r="BJ161" s="136"/>
      <c r="BK161" s="136"/>
      <c r="BL161" s="139"/>
      <c r="BM161" s="130" t="str">
        <f t="shared" si="28"/>
        <v/>
      </c>
      <c r="BN161" s="140" t="str">
        <f>IF($BL161="","",INDEX(PARAMETRES!$C$53:$C$65,MONTH($BL161)))</f>
        <v/>
      </c>
      <c r="BO161" s="79" t="str">
        <f>IF($BL161="","",INDEX(PARAMETRES!$B$53:$B$65,MONTH($BL161)))</f>
        <v/>
      </c>
      <c r="BP161" s="132" t="str">
        <f>IFERROR(INDEX(BUDGET!$AL$28:$AL$67,MATCH($B161,BUDGET!$A$28:$A$67,0)),"")</f>
        <v/>
      </c>
      <c r="BQ161" s="132" t="str">
        <f t="shared" si="29"/>
        <v/>
      </c>
      <c r="BR161" s="134" t="str">
        <f>IFERROR($AG161/INDEX(BUDGET!$AK$28:$AK$67,MATCH($B161,BUDGET!$A$28:$A$67,0)),"")</f>
        <v/>
      </c>
      <c r="BS161" s="130" t="str">
        <f t="shared" si="30"/>
        <v/>
      </c>
      <c r="BT161" s="136"/>
      <c r="BU161" s="130" t="str">
        <f>IF($E161="","",COUNTIFS($E$119:E161,$E161))</f>
        <v/>
      </c>
      <c r="BV161" s="130" t="str">
        <f>IF($D161="","",COUNTIFS($D$119:D161,$D161))</f>
        <v/>
      </c>
    </row>
    <row r="162" spans="1:74" ht="15" customHeight="1">
      <c r="A162" s="130" t="str">
        <f t="shared" si="24"/>
        <v/>
      </c>
      <c r="B162" s="135"/>
      <c r="C162" s="133" t="str">
        <f>IF($B162="","",IFERROR(INDEX(BUDGET!$T$28:$T$67,MATCH($B162,BUDGET!$A$28:$A$67,0)),""))</f>
        <v/>
      </c>
      <c r="D162" s="133" t="str">
        <f>IF($B162="","",IFERROR(INDEX(BUDGET!$S$28:$S$67,MATCH($B162,BUDGET!$A$28:$A$67,0)),""))</f>
        <v/>
      </c>
      <c r="E162" s="135"/>
      <c r="F162" s="133" t="str">
        <f>IF($E162="","",IFERROR(INDEX(PROJETS!$C$56:$C$95,MATCH($E162,PROJETS!$A$56:$A$95,0)),""))</f>
        <v/>
      </c>
      <c r="G162" s="133" t="str">
        <f>IF($E162="","",IFERROR(INDEX(PROJETS!$J$56:$J$95,MATCH($E162,PROJETS!$A$56:$A$95,0)),""))</f>
        <v/>
      </c>
      <c r="H162" s="133" t="str">
        <f>IF($E162="","",IFERROR(INDEX(PROJETS!$N$56:$N$95,MATCH($E162,PROJETS!$A$56:$A$95,0)),""))</f>
        <v/>
      </c>
      <c r="I162" s="135"/>
      <c r="J162" s="133" t="str">
        <f>IF($I162="","",IFERROR(INDEX(ACTIVITES!$G$56:$G$105,MATCH($I162,ACTIVITES!$A$56:$A$105,0)),""))</f>
        <v/>
      </c>
      <c r="K162" s="135"/>
      <c r="L162" s="133" t="str">
        <f>IF($K162="","",IFERROR(INDEX(DONATEURS!$B$56:$B$205,MATCH($K162,DONATEURS!$A$56:$A$205,0)),""))</f>
        <v/>
      </c>
      <c r="M162" s="136"/>
      <c r="N162" s="136"/>
      <c r="O162" s="135"/>
      <c r="P162" s="135"/>
      <c r="Q162" s="135"/>
      <c r="R162" s="136"/>
      <c r="S162" s="135"/>
      <c r="T162" s="135"/>
      <c r="U162" s="136"/>
      <c r="V162" s="136"/>
      <c r="W162" s="136"/>
      <c r="X162" s="137"/>
      <c r="Y162" s="135"/>
      <c r="Z162" s="137"/>
      <c r="AA162" s="132" t="str">
        <f t="shared" si="25"/>
        <v/>
      </c>
      <c r="AB162" s="137"/>
      <c r="AC162" s="137"/>
      <c r="AD162" s="132" t="str">
        <f t="shared" si="31"/>
        <v/>
      </c>
      <c r="AE162" s="135"/>
      <c r="AF162" s="138"/>
      <c r="AG162" s="132" t="str">
        <f t="shared" si="32"/>
        <v/>
      </c>
      <c r="AH162" s="135"/>
      <c r="AI162" s="136"/>
      <c r="AJ162" s="136"/>
      <c r="AK162" s="135"/>
      <c r="AL162" s="136"/>
      <c r="AM162" s="136"/>
      <c r="AN162" s="139"/>
      <c r="AO162" s="136"/>
      <c r="AP162" s="136"/>
      <c r="AQ162" s="139"/>
      <c r="AR162" s="135"/>
      <c r="AS162" s="135"/>
      <c r="AT162" s="139"/>
      <c r="AU162" s="137"/>
      <c r="AV162" s="136"/>
      <c r="AW162" s="135"/>
      <c r="AX162" s="139"/>
      <c r="AY162" s="137"/>
      <c r="AZ162" s="132" t="str">
        <f t="shared" si="26"/>
        <v/>
      </c>
      <c r="BA162" s="135"/>
      <c r="BB162" s="136"/>
      <c r="BC162" s="139"/>
      <c r="BD162" s="135"/>
      <c r="BE162" s="136"/>
      <c r="BF162" s="130" t="str">
        <f t="shared" si="27"/>
        <v/>
      </c>
      <c r="BG162" s="135"/>
      <c r="BH162" s="139"/>
      <c r="BI162" s="136"/>
      <c r="BJ162" s="136"/>
      <c r="BK162" s="136"/>
      <c r="BL162" s="139"/>
      <c r="BM162" s="130" t="str">
        <f t="shared" si="28"/>
        <v/>
      </c>
      <c r="BN162" s="140" t="str">
        <f>IF($BL162="","",INDEX(PARAMETRES!$C$53:$C$65,MONTH($BL162)))</f>
        <v/>
      </c>
      <c r="BO162" s="79" t="str">
        <f>IF($BL162="","",INDEX(PARAMETRES!$B$53:$B$65,MONTH($BL162)))</f>
        <v/>
      </c>
      <c r="BP162" s="132" t="str">
        <f>IFERROR(INDEX(BUDGET!$AL$28:$AL$67,MATCH($B162,BUDGET!$A$28:$A$67,0)),"")</f>
        <v/>
      </c>
      <c r="BQ162" s="132" t="str">
        <f t="shared" si="29"/>
        <v/>
      </c>
      <c r="BR162" s="134" t="str">
        <f>IFERROR($AG162/INDEX(BUDGET!$AK$28:$AK$67,MATCH($B162,BUDGET!$A$28:$A$67,0)),"")</f>
        <v/>
      </c>
      <c r="BS162" s="130" t="str">
        <f t="shared" si="30"/>
        <v/>
      </c>
      <c r="BT162" s="136"/>
      <c r="BU162" s="130" t="str">
        <f>IF($E162="","",COUNTIFS($E$119:E162,$E162))</f>
        <v/>
      </c>
      <c r="BV162" s="130" t="str">
        <f>IF($D162="","",COUNTIFS($D$119:D162,$D162))</f>
        <v/>
      </c>
    </row>
    <row r="163" spans="1:74" ht="15" customHeight="1">
      <c r="A163" s="130" t="str">
        <f t="shared" si="24"/>
        <v/>
      </c>
      <c r="B163" s="135"/>
      <c r="C163" s="133" t="str">
        <f>IF($B163="","",IFERROR(INDEX(BUDGET!$T$28:$T$67,MATCH($B163,BUDGET!$A$28:$A$67,0)),""))</f>
        <v/>
      </c>
      <c r="D163" s="133" t="str">
        <f>IF($B163="","",IFERROR(INDEX(BUDGET!$S$28:$S$67,MATCH($B163,BUDGET!$A$28:$A$67,0)),""))</f>
        <v/>
      </c>
      <c r="E163" s="135"/>
      <c r="F163" s="133" t="str">
        <f>IF($E163="","",IFERROR(INDEX(PROJETS!$C$56:$C$95,MATCH($E163,PROJETS!$A$56:$A$95,0)),""))</f>
        <v/>
      </c>
      <c r="G163" s="133" t="str">
        <f>IF($E163="","",IFERROR(INDEX(PROJETS!$J$56:$J$95,MATCH($E163,PROJETS!$A$56:$A$95,0)),""))</f>
        <v/>
      </c>
      <c r="H163" s="133" t="str">
        <f>IF($E163="","",IFERROR(INDEX(PROJETS!$N$56:$N$95,MATCH($E163,PROJETS!$A$56:$A$95,0)),""))</f>
        <v/>
      </c>
      <c r="I163" s="135"/>
      <c r="J163" s="133" t="str">
        <f>IF($I163="","",IFERROR(INDEX(ACTIVITES!$G$56:$G$105,MATCH($I163,ACTIVITES!$A$56:$A$105,0)),""))</f>
        <v/>
      </c>
      <c r="K163" s="135"/>
      <c r="L163" s="133" t="str">
        <f>IF($K163="","",IFERROR(INDEX(DONATEURS!$B$56:$B$205,MATCH($K163,DONATEURS!$A$56:$A$205,0)),""))</f>
        <v/>
      </c>
      <c r="M163" s="136"/>
      <c r="N163" s="136"/>
      <c r="O163" s="135"/>
      <c r="P163" s="135"/>
      <c r="Q163" s="135"/>
      <c r="R163" s="136"/>
      <c r="S163" s="135"/>
      <c r="T163" s="135"/>
      <c r="U163" s="136"/>
      <c r="V163" s="136"/>
      <c r="W163" s="136"/>
      <c r="X163" s="137"/>
      <c r="Y163" s="135"/>
      <c r="Z163" s="137"/>
      <c r="AA163" s="132" t="str">
        <f t="shared" si="25"/>
        <v/>
      </c>
      <c r="AB163" s="137"/>
      <c r="AC163" s="137"/>
      <c r="AD163" s="132" t="str">
        <f t="shared" si="31"/>
        <v/>
      </c>
      <c r="AE163" s="135"/>
      <c r="AF163" s="138"/>
      <c r="AG163" s="132" t="str">
        <f t="shared" si="32"/>
        <v/>
      </c>
      <c r="AH163" s="135"/>
      <c r="AI163" s="136"/>
      <c r="AJ163" s="136"/>
      <c r="AK163" s="135"/>
      <c r="AL163" s="136"/>
      <c r="AM163" s="136"/>
      <c r="AN163" s="139"/>
      <c r="AO163" s="136"/>
      <c r="AP163" s="136"/>
      <c r="AQ163" s="139"/>
      <c r="AR163" s="135"/>
      <c r="AS163" s="135"/>
      <c r="AT163" s="139"/>
      <c r="AU163" s="137"/>
      <c r="AV163" s="136"/>
      <c r="AW163" s="135"/>
      <c r="AX163" s="139"/>
      <c r="AY163" s="137"/>
      <c r="AZ163" s="132" t="str">
        <f t="shared" si="26"/>
        <v/>
      </c>
      <c r="BA163" s="135"/>
      <c r="BB163" s="136"/>
      <c r="BC163" s="139"/>
      <c r="BD163" s="135"/>
      <c r="BE163" s="136"/>
      <c r="BF163" s="130" t="str">
        <f t="shared" si="27"/>
        <v/>
      </c>
      <c r="BG163" s="135"/>
      <c r="BH163" s="139"/>
      <c r="BI163" s="136"/>
      <c r="BJ163" s="136"/>
      <c r="BK163" s="136"/>
      <c r="BL163" s="139"/>
      <c r="BM163" s="130" t="str">
        <f t="shared" si="28"/>
        <v/>
      </c>
      <c r="BN163" s="140" t="str">
        <f>IF($BL163="","",INDEX(PARAMETRES!$C$53:$C$65,MONTH($BL163)))</f>
        <v/>
      </c>
      <c r="BO163" s="79" t="str">
        <f>IF($BL163="","",INDEX(PARAMETRES!$B$53:$B$65,MONTH($BL163)))</f>
        <v/>
      </c>
      <c r="BP163" s="132" t="str">
        <f>IFERROR(INDEX(BUDGET!$AL$28:$AL$67,MATCH($B163,BUDGET!$A$28:$A$67,0)),"")</f>
        <v/>
      </c>
      <c r="BQ163" s="132" t="str">
        <f t="shared" si="29"/>
        <v/>
      </c>
      <c r="BR163" s="134" t="str">
        <f>IFERROR($AG163/INDEX(BUDGET!$AK$28:$AK$67,MATCH($B163,BUDGET!$A$28:$A$67,0)),"")</f>
        <v/>
      </c>
      <c r="BS163" s="130" t="str">
        <f t="shared" si="30"/>
        <v/>
      </c>
      <c r="BT163" s="136"/>
      <c r="BU163" s="130" t="str">
        <f>IF($E163="","",COUNTIFS($E$119:E163,$E163))</f>
        <v/>
      </c>
      <c r="BV163" s="130" t="str">
        <f>IF($D163="","",COUNTIFS($D$119:D163,$D163))</f>
        <v/>
      </c>
    </row>
    <row r="164" spans="1:74" ht="15" customHeight="1">
      <c r="A164" s="130" t="str">
        <f t="shared" si="24"/>
        <v/>
      </c>
      <c r="B164" s="135"/>
      <c r="C164" s="133" t="str">
        <f>IF($B164="","",IFERROR(INDEX(BUDGET!$T$28:$T$67,MATCH($B164,BUDGET!$A$28:$A$67,0)),""))</f>
        <v/>
      </c>
      <c r="D164" s="133" t="str">
        <f>IF($B164="","",IFERROR(INDEX(BUDGET!$S$28:$S$67,MATCH($B164,BUDGET!$A$28:$A$67,0)),""))</f>
        <v/>
      </c>
      <c r="E164" s="135"/>
      <c r="F164" s="133" t="str">
        <f>IF($E164="","",IFERROR(INDEX(PROJETS!$C$56:$C$95,MATCH($E164,PROJETS!$A$56:$A$95,0)),""))</f>
        <v/>
      </c>
      <c r="G164" s="133" t="str">
        <f>IF($E164="","",IFERROR(INDEX(PROJETS!$J$56:$J$95,MATCH($E164,PROJETS!$A$56:$A$95,0)),""))</f>
        <v/>
      </c>
      <c r="H164" s="133" t="str">
        <f>IF($E164="","",IFERROR(INDEX(PROJETS!$N$56:$N$95,MATCH($E164,PROJETS!$A$56:$A$95,0)),""))</f>
        <v/>
      </c>
      <c r="I164" s="135"/>
      <c r="J164" s="133" t="str">
        <f>IF($I164="","",IFERROR(INDEX(ACTIVITES!$G$56:$G$105,MATCH($I164,ACTIVITES!$A$56:$A$105,0)),""))</f>
        <v/>
      </c>
      <c r="K164" s="135"/>
      <c r="L164" s="133" t="str">
        <f>IF($K164="","",IFERROR(INDEX(DONATEURS!$B$56:$B$205,MATCH($K164,DONATEURS!$A$56:$A$205,0)),""))</f>
        <v/>
      </c>
      <c r="M164" s="136"/>
      <c r="N164" s="136"/>
      <c r="O164" s="135"/>
      <c r="P164" s="135"/>
      <c r="Q164" s="135"/>
      <c r="R164" s="136"/>
      <c r="S164" s="135"/>
      <c r="T164" s="135"/>
      <c r="U164" s="136"/>
      <c r="V164" s="136"/>
      <c r="W164" s="136"/>
      <c r="X164" s="137"/>
      <c r="Y164" s="135"/>
      <c r="Z164" s="137"/>
      <c r="AA164" s="132" t="str">
        <f t="shared" si="25"/>
        <v/>
      </c>
      <c r="AB164" s="137"/>
      <c r="AC164" s="137"/>
      <c r="AD164" s="132" t="str">
        <f t="shared" si="31"/>
        <v/>
      </c>
      <c r="AE164" s="135"/>
      <c r="AF164" s="138"/>
      <c r="AG164" s="132" t="str">
        <f t="shared" si="32"/>
        <v/>
      </c>
      <c r="AH164" s="135"/>
      <c r="AI164" s="136"/>
      <c r="AJ164" s="136"/>
      <c r="AK164" s="135"/>
      <c r="AL164" s="136"/>
      <c r="AM164" s="136"/>
      <c r="AN164" s="139"/>
      <c r="AO164" s="136"/>
      <c r="AP164" s="136"/>
      <c r="AQ164" s="139"/>
      <c r="AR164" s="135"/>
      <c r="AS164" s="135"/>
      <c r="AT164" s="139"/>
      <c r="AU164" s="137"/>
      <c r="AV164" s="136"/>
      <c r="AW164" s="135"/>
      <c r="AX164" s="139"/>
      <c r="AY164" s="137"/>
      <c r="AZ164" s="132" t="str">
        <f t="shared" si="26"/>
        <v/>
      </c>
      <c r="BA164" s="135"/>
      <c r="BB164" s="136"/>
      <c r="BC164" s="139"/>
      <c r="BD164" s="135"/>
      <c r="BE164" s="136"/>
      <c r="BF164" s="130" t="str">
        <f t="shared" si="27"/>
        <v/>
      </c>
      <c r="BG164" s="135"/>
      <c r="BH164" s="139"/>
      <c r="BI164" s="136"/>
      <c r="BJ164" s="136"/>
      <c r="BK164" s="136"/>
      <c r="BL164" s="139"/>
      <c r="BM164" s="130" t="str">
        <f t="shared" si="28"/>
        <v/>
      </c>
      <c r="BN164" s="140" t="str">
        <f>IF($BL164="","",INDEX(PARAMETRES!$C$53:$C$65,MONTH($BL164)))</f>
        <v/>
      </c>
      <c r="BO164" s="79" t="str">
        <f>IF($BL164="","",INDEX(PARAMETRES!$B$53:$B$65,MONTH($BL164)))</f>
        <v/>
      </c>
      <c r="BP164" s="132" t="str">
        <f>IFERROR(INDEX(BUDGET!$AL$28:$AL$67,MATCH($B164,BUDGET!$A$28:$A$67,0)),"")</f>
        <v/>
      </c>
      <c r="BQ164" s="132" t="str">
        <f t="shared" si="29"/>
        <v/>
      </c>
      <c r="BR164" s="134" t="str">
        <f>IFERROR($AG164/INDEX(BUDGET!$AK$28:$AK$67,MATCH($B164,BUDGET!$A$28:$A$67,0)),"")</f>
        <v/>
      </c>
      <c r="BS164" s="130" t="str">
        <f t="shared" si="30"/>
        <v/>
      </c>
      <c r="BT164" s="136"/>
      <c r="BU164" s="130" t="str">
        <f>IF($E164="","",COUNTIFS($E$119:E164,$E164))</f>
        <v/>
      </c>
      <c r="BV164" s="130" t="str">
        <f>IF($D164="","",COUNTIFS($D$119:D164,$D164))</f>
        <v/>
      </c>
    </row>
    <row r="165" spans="1:74" ht="15" customHeight="1">
      <c r="A165" s="130" t="str">
        <f t="shared" si="24"/>
        <v/>
      </c>
      <c r="B165" s="135"/>
      <c r="C165" s="133" t="str">
        <f>IF($B165="","",IFERROR(INDEX(BUDGET!$T$28:$T$67,MATCH($B165,BUDGET!$A$28:$A$67,0)),""))</f>
        <v/>
      </c>
      <c r="D165" s="133" t="str">
        <f>IF($B165="","",IFERROR(INDEX(BUDGET!$S$28:$S$67,MATCH($B165,BUDGET!$A$28:$A$67,0)),""))</f>
        <v/>
      </c>
      <c r="E165" s="135"/>
      <c r="F165" s="133" t="str">
        <f>IF($E165="","",IFERROR(INDEX(PROJETS!$C$56:$C$95,MATCH($E165,PROJETS!$A$56:$A$95,0)),""))</f>
        <v/>
      </c>
      <c r="G165" s="133" t="str">
        <f>IF($E165="","",IFERROR(INDEX(PROJETS!$J$56:$J$95,MATCH($E165,PROJETS!$A$56:$A$95,0)),""))</f>
        <v/>
      </c>
      <c r="H165" s="133" t="str">
        <f>IF($E165="","",IFERROR(INDEX(PROJETS!$N$56:$N$95,MATCH($E165,PROJETS!$A$56:$A$95,0)),""))</f>
        <v/>
      </c>
      <c r="I165" s="135"/>
      <c r="J165" s="133" t="str">
        <f>IF($I165="","",IFERROR(INDEX(ACTIVITES!$G$56:$G$105,MATCH($I165,ACTIVITES!$A$56:$A$105,0)),""))</f>
        <v/>
      </c>
      <c r="K165" s="135"/>
      <c r="L165" s="133" t="str">
        <f>IF($K165="","",IFERROR(INDEX(DONATEURS!$B$56:$B$205,MATCH($K165,DONATEURS!$A$56:$A$205,0)),""))</f>
        <v/>
      </c>
      <c r="M165" s="136"/>
      <c r="N165" s="136"/>
      <c r="O165" s="135"/>
      <c r="P165" s="135"/>
      <c r="Q165" s="135"/>
      <c r="R165" s="136"/>
      <c r="S165" s="135"/>
      <c r="T165" s="135"/>
      <c r="U165" s="136"/>
      <c r="V165" s="136"/>
      <c r="W165" s="136"/>
      <c r="X165" s="137"/>
      <c r="Y165" s="135"/>
      <c r="Z165" s="137"/>
      <c r="AA165" s="132" t="str">
        <f t="shared" si="25"/>
        <v/>
      </c>
      <c r="AB165" s="137"/>
      <c r="AC165" s="137"/>
      <c r="AD165" s="132" t="str">
        <f t="shared" si="31"/>
        <v/>
      </c>
      <c r="AE165" s="135"/>
      <c r="AF165" s="138"/>
      <c r="AG165" s="132" t="str">
        <f t="shared" si="32"/>
        <v/>
      </c>
      <c r="AH165" s="135"/>
      <c r="AI165" s="136"/>
      <c r="AJ165" s="136"/>
      <c r="AK165" s="135"/>
      <c r="AL165" s="136"/>
      <c r="AM165" s="136"/>
      <c r="AN165" s="139"/>
      <c r="AO165" s="136"/>
      <c r="AP165" s="136"/>
      <c r="AQ165" s="139"/>
      <c r="AR165" s="135"/>
      <c r="AS165" s="135"/>
      <c r="AT165" s="139"/>
      <c r="AU165" s="137"/>
      <c r="AV165" s="136"/>
      <c r="AW165" s="135"/>
      <c r="AX165" s="139"/>
      <c r="AY165" s="137"/>
      <c r="AZ165" s="132" t="str">
        <f t="shared" si="26"/>
        <v/>
      </c>
      <c r="BA165" s="135"/>
      <c r="BB165" s="136"/>
      <c r="BC165" s="139"/>
      <c r="BD165" s="135"/>
      <c r="BE165" s="136"/>
      <c r="BF165" s="130" t="str">
        <f t="shared" si="27"/>
        <v/>
      </c>
      <c r="BG165" s="135"/>
      <c r="BH165" s="139"/>
      <c r="BI165" s="136"/>
      <c r="BJ165" s="136"/>
      <c r="BK165" s="136"/>
      <c r="BL165" s="139"/>
      <c r="BM165" s="130" t="str">
        <f t="shared" si="28"/>
        <v/>
      </c>
      <c r="BN165" s="140" t="str">
        <f>IF($BL165="","",INDEX(PARAMETRES!$C$53:$C$65,MONTH($BL165)))</f>
        <v/>
      </c>
      <c r="BO165" s="79" t="str">
        <f>IF($BL165="","",INDEX(PARAMETRES!$B$53:$B$65,MONTH($BL165)))</f>
        <v/>
      </c>
      <c r="BP165" s="132" t="str">
        <f>IFERROR(INDEX(BUDGET!$AL$28:$AL$67,MATCH($B165,BUDGET!$A$28:$A$67,0)),"")</f>
        <v/>
      </c>
      <c r="BQ165" s="132" t="str">
        <f t="shared" si="29"/>
        <v/>
      </c>
      <c r="BR165" s="134" t="str">
        <f>IFERROR($AG165/INDEX(BUDGET!$AK$28:$AK$67,MATCH($B165,BUDGET!$A$28:$A$67,0)),"")</f>
        <v/>
      </c>
      <c r="BS165" s="130" t="str">
        <f t="shared" si="30"/>
        <v/>
      </c>
      <c r="BT165" s="136"/>
      <c r="BU165" s="130" t="str">
        <f>IF($E165="","",COUNTIFS($E$119:E165,$E165))</f>
        <v/>
      </c>
      <c r="BV165" s="130" t="str">
        <f>IF($D165="","",COUNTIFS($D$119:D165,$D165))</f>
        <v/>
      </c>
    </row>
    <row r="166" spans="1:74" ht="15" customHeight="1">
      <c r="A166" s="130" t="str">
        <f t="shared" si="24"/>
        <v/>
      </c>
      <c r="B166" s="135"/>
      <c r="C166" s="133" t="str">
        <f>IF($B166="","",IFERROR(INDEX(BUDGET!$T$28:$T$67,MATCH($B166,BUDGET!$A$28:$A$67,0)),""))</f>
        <v/>
      </c>
      <c r="D166" s="133" t="str">
        <f>IF($B166="","",IFERROR(INDEX(BUDGET!$S$28:$S$67,MATCH($B166,BUDGET!$A$28:$A$67,0)),""))</f>
        <v/>
      </c>
      <c r="E166" s="135"/>
      <c r="F166" s="133" t="str">
        <f>IF($E166="","",IFERROR(INDEX(PROJETS!$C$56:$C$95,MATCH($E166,PROJETS!$A$56:$A$95,0)),""))</f>
        <v/>
      </c>
      <c r="G166" s="133" t="str">
        <f>IF($E166="","",IFERROR(INDEX(PROJETS!$J$56:$J$95,MATCH($E166,PROJETS!$A$56:$A$95,0)),""))</f>
        <v/>
      </c>
      <c r="H166" s="133" t="str">
        <f>IF($E166="","",IFERROR(INDEX(PROJETS!$N$56:$N$95,MATCH($E166,PROJETS!$A$56:$A$95,0)),""))</f>
        <v/>
      </c>
      <c r="I166" s="135"/>
      <c r="J166" s="133" t="str">
        <f>IF($I166="","",IFERROR(INDEX(ACTIVITES!$G$56:$G$105,MATCH($I166,ACTIVITES!$A$56:$A$105,0)),""))</f>
        <v/>
      </c>
      <c r="K166" s="135"/>
      <c r="L166" s="133" t="str">
        <f>IF($K166="","",IFERROR(INDEX(DONATEURS!$B$56:$B$205,MATCH($K166,DONATEURS!$A$56:$A$205,0)),""))</f>
        <v/>
      </c>
      <c r="M166" s="136"/>
      <c r="N166" s="136"/>
      <c r="O166" s="135"/>
      <c r="P166" s="135"/>
      <c r="Q166" s="135"/>
      <c r="R166" s="136"/>
      <c r="S166" s="135"/>
      <c r="T166" s="135"/>
      <c r="U166" s="136"/>
      <c r="V166" s="136"/>
      <c r="W166" s="136"/>
      <c r="X166" s="137"/>
      <c r="Y166" s="135"/>
      <c r="Z166" s="137"/>
      <c r="AA166" s="132" t="str">
        <f t="shared" si="25"/>
        <v/>
      </c>
      <c r="AB166" s="137"/>
      <c r="AC166" s="137"/>
      <c r="AD166" s="132" t="str">
        <f t="shared" si="31"/>
        <v/>
      </c>
      <c r="AE166" s="135"/>
      <c r="AF166" s="138"/>
      <c r="AG166" s="132" t="str">
        <f t="shared" si="32"/>
        <v/>
      </c>
      <c r="AH166" s="135"/>
      <c r="AI166" s="136"/>
      <c r="AJ166" s="136"/>
      <c r="AK166" s="135"/>
      <c r="AL166" s="136"/>
      <c r="AM166" s="136"/>
      <c r="AN166" s="139"/>
      <c r="AO166" s="136"/>
      <c r="AP166" s="136"/>
      <c r="AQ166" s="139"/>
      <c r="AR166" s="135"/>
      <c r="AS166" s="135"/>
      <c r="AT166" s="139"/>
      <c r="AU166" s="137"/>
      <c r="AV166" s="136"/>
      <c r="AW166" s="135"/>
      <c r="AX166" s="139"/>
      <c r="AY166" s="137"/>
      <c r="AZ166" s="132" t="str">
        <f t="shared" si="26"/>
        <v/>
      </c>
      <c r="BA166" s="135"/>
      <c r="BB166" s="136"/>
      <c r="BC166" s="139"/>
      <c r="BD166" s="135"/>
      <c r="BE166" s="136"/>
      <c r="BF166" s="130" t="str">
        <f t="shared" si="27"/>
        <v/>
      </c>
      <c r="BG166" s="135"/>
      <c r="BH166" s="139"/>
      <c r="BI166" s="136"/>
      <c r="BJ166" s="136"/>
      <c r="BK166" s="136"/>
      <c r="BL166" s="139"/>
      <c r="BM166" s="130" t="str">
        <f t="shared" si="28"/>
        <v/>
      </c>
      <c r="BN166" s="140" t="str">
        <f>IF($BL166="","",INDEX(PARAMETRES!$C$53:$C$65,MONTH($BL166)))</f>
        <v/>
      </c>
      <c r="BO166" s="79" t="str">
        <f>IF($BL166="","",INDEX(PARAMETRES!$B$53:$B$65,MONTH($BL166)))</f>
        <v/>
      </c>
      <c r="BP166" s="132" t="str">
        <f>IFERROR(INDEX(BUDGET!$AL$28:$AL$67,MATCH($B166,BUDGET!$A$28:$A$67,0)),"")</f>
        <v/>
      </c>
      <c r="BQ166" s="132" t="str">
        <f t="shared" si="29"/>
        <v/>
      </c>
      <c r="BR166" s="134" t="str">
        <f>IFERROR($AG166/INDEX(BUDGET!$AK$28:$AK$67,MATCH($B166,BUDGET!$A$28:$A$67,0)),"")</f>
        <v/>
      </c>
      <c r="BS166" s="130" t="str">
        <f t="shared" si="30"/>
        <v/>
      </c>
      <c r="BT166" s="136"/>
      <c r="BU166" s="130" t="str">
        <f>IF($E166="","",COUNTIFS($E$119:E166,$E166))</f>
        <v/>
      </c>
      <c r="BV166" s="130" t="str">
        <f>IF($D166="","",COUNTIFS($D$119:D166,$D166))</f>
        <v/>
      </c>
    </row>
    <row r="167" spans="1:74" ht="15" customHeight="1">
      <c r="A167" s="130" t="str">
        <f t="shared" si="24"/>
        <v/>
      </c>
      <c r="B167" s="135"/>
      <c r="C167" s="133" t="str">
        <f>IF($B167="","",IFERROR(INDEX(BUDGET!$T$28:$T$67,MATCH($B167,BUDGET!$A$28:$A$67,0)),""))</f>
        <v/>
      </c>
      <c r="D167" s="133" t="str">
        <f>IF($B167="","",IFERROR(INDEX(BUDGET!$S$28:$S$67,MATCH($B167,BUDGET!$A$28:$A$67,0)),""))</f>
        <v/>
      </c>
      <c r="E167" s="135"/>
      <c r="F167" s="133" t="str">
        <f>IF($E167="","",IFERROR(INDEX(PROJETS!$C$56:$C$95,MATCH($E167,PROJETS!$A$56:$A$95,0)),""))</f>
        <v/>
      </c>
      <c r="G167" s="133" t="str">
        <f>IF($E167="","",IFERROR(INDEX(PROJETS!$J$56:$J$95,MATCH($E167,PROJETS!$A$56:$A$95,0)),""))</f>
        <v/>
      </c>
      <c r="H167" s="133" t="str">
        <f>IF($E167="","",IFERROR(INDEX(PROJETS!$N$56:$N$95,MATCH($E167,PROJETS!$A$56:$A$95,0)),""))</f>
        <v/>
      </c>
      <c r="I167" s="135"/>
      <c r="J167" s="133" t="str">
        <f>IF($I167="","",IFERROR(INDEX(ACTIVITES!$G$56:$G$105,MATCH($I167,ACTIVITES!$A$56:$A$105,0)),""))</f>
        <v/>
      </c>
      <c r="K167" s="135"/>
      <c r="L167" s="133" t="str">
        <f>IF($K167="","",IFERROR(INDEX(DONATEURS!$B$56:$B$205,MATCH($K167,DONATEURS!$A$56:$A$205,0)),""))</f>
        <v/>
      </c>
      <c r="M167" s="136"/>
      <c r="N167" s="136"/>
      <c r="O167" s="135"/>
      <c r="P167" s="135"/>
      <c r="Q167" s="135"/>
      <c r="R167" s="136"/>
      <c r="S167" s="135"/>
      <c r="T167" s="135"/>
      <c r="U167" s="136"/>
      <c r="V167" s="136"/>
      <c r="W167" s="136"/>
      <c r="X167" s="137"/>
      <c r="Y167" s="135"/>
      <c r="Z167" s="137"/>
      <c r="AA167" s="132" t="str">
        <f t="shared" si="25"/>
        <v/>
      </c>
      <c r="AB167" s="137"/>
      <c r="AC167" s="137"/>
      <c r="AD167" s="132" t="str">
        <f t="shared" si="31"/>
        <v/>
      </c>
      <c r="AE167" s="135"/>
      <c r="AF167" s="138"/>
      <c r="AG167" s="132" t="str">
        <f t="shared" si="32"/>
        <v/>
      </c>
      <c r="AH167" s="135"/>
      <c r="AI167" s="136"/>
      <c r="AJ167" s="136"/>
      <c r="AK167" s="135"/>
      <c r="AL167" s="136"/>
      <c r="AM167" s="136"/>
      <c r="AN167" s="139"/>
      <c r="AO167" s="136"/>
      <c r="AP167" s="136"/>
      <c r="AQ167" s="139"/>
      <c r="AR167" s="135"/>
      <c r="AS167" s="135"/>
      <c r="AT167" s="139"/>
      <c r="AU167" s="137"/>
      <c r="AV167" s="136"/>
      <c r="AW167" s="135"/>
      <c r="AX167" s="139"/>
      <c r="AY167" s="137"/>
      <c r="AZ167" s="132" t="str">
        <f t="shared" si="26"/>
        <v/>
      </c>
      <c r="BA167" s="135"/>
      <c r="BB167" s="136"/>
      <c r="BC167" s="139"/>
      <c r="BD167" s="135"/>
      <c r="BE167" s="136"/>
      <c r="BF167" s="130" t="str">
        <f t="shared" si="27"/>
        <v/>
      </c>
      <c r="BG167" s="135"/>
      <c r="BH167" s="139"/>
      <c r="BI167" s="136"/>
      <c r="BJ167" s="136"/>
      <c r="BK167" s="136"/>
      <c r="BL167" s="139"/>
      <c r="BM167" s="130" t="str">
        <f t="shared" si="28"/>
        <v/>
      </c>
      <c r="BN167" s="140" t="str">
        <f>IF($BL167="","",INDEX(PARAMETRES!$C$53:$C$65,MONTH($BL167)))</f>
        <v/>
      </c>
      <c r="BO167" s="79" t="str">
        <f>IF($BL167="","",INDEX(PARAMETRES!$B$53:$B$65,MONTH($BL167)))</f>
        <v/>
      </c>
      <c r="BP167" s="132" t="str">
        <f>IFERROR(INDEX(BUDGET!$AL$28:$AL$67,MATCH($B167,BUDGET!$A$28:$A$67,0)),"")</f>
        <v/>
      </c>
      <c r="BQ167" s="132" t="str">
        <f t="shared" si="29"/>
        <v/>
      </c>
      <c r="BR167" s="134" t="str">
        <f>IFERROR($AG167/INDEX(BUDGET!$AK$28:$AK$67,MATCH($B167,BUDGET!$A$28:$A$67,0)),"")</f>
        <v/>
      </c>
      <c r="BS167" s="130" t="str">
        <f t="shared" si="30"/>
        <v/>
      </c>
      <c r="BT167" s="136"/>
      <c r="BU167" s="130" t="str">
        <f>IF($E167="","",COUNTIFS($E$119:E167,$E167))</f>
        <v/>
      </c>
      <c r="BV167" s="130" t="str">
        <f>IF($D167="","",COUNTIFS($D$119:D167,$D167))</f>
        <v/>
      </c>
    </row>
    <row r="168" spans="1:74" ht="15" customHeight="1">
      <c r="A168" s="130" t="str">
        <f t="shared" si="24"/>
        <v/>
      </c>
      <c r="B168" s="135"/>
      <c r="C168" s="133" t="str">
        <f>IF($B168="","",IFERROR(INDEX(BUDGET!$T$28:$T$67,MATCH($B168,BUDGET!$A$28:$A$67,0)),""))</f>
        <v/>
      </c>
      <c r="D168" s="133" t="str">
        <f>IF($B168="","",IFERROR(INDEX(BUDGET!$S$28:$S$67,MATCH($B168,BUDGET!$A$28:$A$67,0)),""))</f>
        <v/>
      </c>
      <c r="E168" s="135"/>
      <c r="F168" s="133" t="str">
        <f>IF($E168="","",IFERROR(INDEX(PROJETS!$C$56:$C$95,MATCH($E168,PROJETS!$A$56:$A$95,0)),""))</f>
        <v/>
      </c>
      <c r="G168" s="133" t="str">
        <f>IF($E168="","",IFERROR(INDEX(PROJETS!$J$56:$J$95,MATCH($E168,PROJETS!$A$56:$A$95,0)),""))</f>
        <v/>
      </c>
      <c r="H168" s="133" t="str">
        <f>IF($E168="","",IFERROR(INDEX(PROJETS!$N$56:$N$95,MATCH($E168,PROJETS!$A$56:$A$95,0)),""))</f>
        <v/>
      </c>
      <c r="I168" s="135"/>
      <c r="J168" s="133" t="str">
        <f>IF($I168="","",IFERROR(INDEX(ACTIVITES!$G$56:$G$105,MATCH($I168,ACTIVITES!$A$56:$A$105,0)),""))</f>
        <v/>
      </c>
      <c r="K168" s="135"/>
      <c r="L168" s="133" t="str">
        <f>IF($K168="","",IFERROR(INDEX(DONATEURS!$B$56:$B$205,MATCH($K168,DONATEURS!$A$56:$A$205,0)),""))</f>
        <v/>
      </c>
      <c r="M168" s="136"/>
      <c r="N168" s="136"/>
      <c r="O168" s="135"/>
      <c r="P168" s="135"/>
      <c r="Q168" s="135"/>
      <c r="R168" s="136"/>
      <c r="S168" s="135"/>
      <c r="T168" s="135"/>
      <c r="U168" s="136"/>
      <c r="V168" s="136"/>
      <c r="W168" s="136"/>
      <c r="X168" s="137"/>
      <c r="Y168" s="135"/>
      <c r="Z168" s="137"/>
      <c r="AA168" s="132" t="str">
        <f t="shared" si="25"/>
        <v/>
      </c>
      <c r="AB168" s="137"/>
      <c r="AC168" s="137"/>
      <c r="AD168" s="132" t="str">
        <f t="shared" si="31"/>
        <v/>
      </c>
      <c r="AE168" s="135"/>
      <c r="AF168" s="138"/>
      <c r="AG168" s="132" t="str">
        <f t="shared" si="32"/>
        <v/>
      </c>
      <c r="AH168" s="135"/>
      <c r="AI168" s="136"/>
      <c r="AJ168" s="136"/>
      <c r="AK168" s="135"/>
      <c r="AL168" s="136"/>
      <c r="AM168" s="136"/>
      <c r="AN168" s="139"/>
      <c r="AO168" s="136"/>
      <c r="AP168" s="136"/>
      <c r="AQ168" s="139"/>
      <c r="AR168" s="135"/>
      <c r="AS168" s="135"/>
      <c r="AT168" s="139"/>
      <c r="AU168" s="137"/>
      <c r="AV168" s="136"/>
      <c r="AW168" s="135"/>
      <c r="AX168" s="139"/>
      <c r="AY168" s="137"/>
      <c r="AZ168" s="132" t="str">
        <f t="shared" si="26"/>
        <v/>
      </c>
      <c r="BA168" s="135"/>
      <c r="BB168" s="136"/>
      <c r="BC168" s="139"/>
      <c r="BD168" s="135"/>
      <c r="BE168" s="136"/>
      <c r="BF168" s="130" t="str">
        <f t="shared" si="27"/>
        <v/>
      </c>
      <c r="BG168" s="135"/>
      <c r="BH168" s="139"/>
      <c r="BI168" s="136"/>
      <c r="BJ168" s="136"/>
      <c r="BK168" s="136"/>
      <c r="BL168" s="139"/>
      <c r="BM168" s="130" t="str">
        <f t="shared" si="28"/>
        <v/>
      </c>
      <c r="BN168" s="140" t="str">
        <f>IF($BL168="","",INDEX(PARAMETRES!$C$53:$C$65,MONTH($BL168)))</f>
        <v/>
      </c>
      <c r="BO168" s="79" t="str">
        <f>IF($BL168="","",INDEX(PARAMETRES!$B$53:$B$65,MONTH($BL168)))</f>
        <v/>
      </c>
      <c r="BP168" s="132" t="str">
        <f>IFERROR(INDEX(BUDGET!$AL$28:$AL$67,MATCH($B168,BUDGET!$A$28:$A$67,0)),"")</f>
        <v/>
      </c>
      <c r="BQ168" s="132" t="str">
        <f t="shared" si="29"/>
        <v/>
      </c>
      <c r="BR168" s="134" t="str">
        <f>IFERROR($AG168/INDEX(BUDGET!$AK$28:$AK$67,MATCH($B168,BUDGET!$A$28:$A$67,0)),"")</f>
        <v/>
      </c>
      <c r="BS168" s="130" t="str">
        <f t="shared" si="30"/>
        <v/>
      </c>
      <c r="BT168" s="136"/>
      <c r="BU168" s="130" t="str">
        <f>IF($E168="","",COUNTIFS($E$119:E168,$E168))</f>
        <v/>
      </c>
      <c r="BV168" s="130" t="str">
        <f>IF($D168="","",COUNTIFS($D$119:D168,$D168))</f>
        <v/>
      </c>
    </row>
  </sheetData>
  <mergeCells count="10">
    <mergeCell ref="A117:BV117"/>
    <mergeCell ref="A102:C102"/>
    <mergeCell ref="A2:U2"/>
    <mergeCell ref="A1:P1"/>
    <mergeCell ref="A56:F56"/>
    <mergeCell ref="A6:I6"/>
    <mergeCell ref="A43:C43"/>
    <mergeCell ref="A79:E79"/>
    <mergeCell ref="A10:P10"/>
    <mergeCell ref="A4:U4"/>
  </mergeCells>
  <conditionalFormatting sqref="BQ119:BQ168">
    <cfRule type="cellIs" dxfId="45" priority="11" operator="lessThan">
      <formula>0</formula>
    </cfRule>
  </conditionalFormatting>
  <conditionalFormatting sqref="BS119:BS168">
    <cfRule type="cellIs" dxfId="44" priority="2" operator="equal">
      <formula>"Depassement budgetaire"</formula>
    </cfRule>
    <cfRule type="cellIs" dxfId="43" priority="3" operator="equal">
      <formula>"Pieces manquantes"</formula>
    </cfRule>
    <cfRule type="cellIs" dxfId="42" priority="4" operator="equal">
      <formula>"Depense non validee"</formula>
    </cfRule>
    <cfRule type="cellIs" dxfId="41" priority="5" operator="equal">
      <formula>"Engagement non paye"</formula>
    </cfRule>
    <cfRule type="cellIs" dxfId="40" priority="6" operator="equal">
      <formula>"Paiement en attente"</formula>
    </cfRule>
    <cfRule type="cellIs" dxfId="39" priority="7" operator="equal">
      <formula>"Paiement partiel"</formula>
    </cfRule>
    <cfRule type="cellIs" dxfId="38" priority="8" operator="equal">
      <formula>"Rapprochement manquant"</formula>
    </cfRule>
    <cfRule type="cellIs" dxfId="37" priority="9" operator="equal">
      <formula>"Normal"</formula>
    </cfRule>
    <cfRule type="cellIs" dxfId="36" priority="10" operator="equal">
      <formula>"Dossier complet et paye"</formula>
    </cfRule>
  </conditionalFormatting>
  <dataValidations count="17">
    <dataValidation type="decimal" operator="greaterThanOrEqual" allowBlank="1" sqref="X119:X168 Z119:Z168 AB119:AC168 AF119:AF168 AU119:AU168 AY119:AY168">
      <formula1>0</formula1>
      <formula2>0</formula2>
    </dataValidation>
    <dataValidation type="list" allowBlank="1" sqref="B119:B168">
      <formula1>Liste_BudgetLignesID</formula1>
      <formula2>0</formula2>
    </dataValidation>
    <dataValidation type="list" allowBlank="1" sqref="E119:E168">
      <formula1>Liste_ActivitesIDProjets</formula1>
      <formula2>0</formula2>
    </dataValidation>
    <dataValidation type="list" allowBlank="1" sqref="I119:I168">
      <formula1>Liste_ActivitesID</formula1>
      <formula2>0</formula2>
    </dataValidation>
    <dataValidation type="list" allowBlank="1" sqref="K119:K168">
      <formula1>Liste_DonateursID</formula1>
      <formula2>0</formula2>
    </dataValidation>
    <dataValidation type="list" allowBlank="1" sqref="O119:O168">
      <formula1>Liste_SourcesFinancement</formula1>
      <formula2>0</formula2>
    </dataValidation>
    <dataValidation type="list" allowBlank="1" sqref="P119:P168">
      <formula1>Liste_CategoriesDepenses</formula1>
      <formula2>0</formula2>
    </dataValidation>
    <dataValidation type="list" allowBlank="1" sqref="Q119:Q168">
      <formula1>"Administration,Projet,Programme,Activite,Fonctionnement,Investissement,Autre"</formula1>
      <formula2>0</formula2>
    </dataValidation>
    <dataValidation type="list" allowBlank="1" sqref="S119:S168">
      <formula1>"Fournisseur,Prestataire,Employe,Consultant,Partenaire,Institution,Autre"</formula1>
      <formula2>0</formula2>
    </dataValidation>
    <dataValidation type="list" allowBlank="1" sqref="Y119:Y168">
      <formula1>Liste_UnitesMesure</formula1>
      <formula2>0</formula2>
    </dataValidation>
    <dataValidation type="list" allowBlank="1" sqref="AE119:AE168">
      <formula1>"FCFA,EUR,USD,GBP,Autre"</formula1>
      <formula2>0</formula2>
    </dataValidation>
    <dataValidation type="list" allowBlank="1" sqref="AH119:AH168">
      <formula1>Liste_ModesPaiement</formula1>
      <formula2>0</formula2>
    </dataValidation>
    <dataValidation type="list" allowBlank="1" sqref="AK119:AK168">
      <formula1>"Brouillon,Demande soumise,En validation,Validee,Engagee,Partiellement payee,Payee,Rejetee,Annulee,Rapprochee"</formula1>
      <formula2>0</formula2>
    </dataValidation>
    <dataValidation type="list" allowBlank="1" sqref="AR119:AR168">
      <formula1>"Approuvee,Refusee,A corriger,En attente"</formula1>
      <formula2>0</formula2>
    </dataValidation>
    <dataValidation type="list" allowBlank="1" sqref="AS119:AS168 AW119:AW168 BD119:BD168 BG119:BG168">
      <formula1>"Oui,Non"</formula1>
      <formula2>0</formula2>
    </dataValidation>
    <dataValidation type="list" allowBlank="1" sqref="BA119:BA168">
      <formula1>"Facture,Recu,Bon de commande,Bon de livraison,Contrat,Proces-verbal,Note de frais,Ordre de mission,Preuve de paiement,Autre"</formula1>
      <formula2>0</formula2>
    </dataValidation>
    <dataValidation type="list" allowBlank="1" showInputMessage="1" showErrorMessage="1" sqref="I8">
      <formula1>Liste_AnneesFiltre</formula1>
      <formula2>0</formula2>
    </dataValidation>
  </dataValidation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483"/>
  <sheetViews>
    <sheetView showGridLines="0" zoomScaleNormal="100" workbookViewId="0">
      <selection activeCell="G7" sqref="G7"/>
    </sheetView>
  </sheetViews>
  <sheetFormatPr baseColWidth="10" defaultColWidth="9.140625" defaultRowHeight="15" customHeight="1"/>
  <cols>
    <col min="1" max="1" width="12" customWidth="1"/>
    <col min="2" max="4" width="16" customWidth="1"/>
    <col min="5" max="5" width="26" customWidth="1"/>
    <col min="6" max="6" width="12" customWidth="1"/>
    <col min="7" max="7" width="14" customWidth="1"/>
    <col min="8" max="8" width="8" customWidth="1"/>
    <col min="9" max="10" width="14" customWidth="1"/>
    <col min="11" max="11" width="16" customWidth="1"/>
    <col min="12" max="13" width="22" customWidth="1"/>
    <col min="14" max="14" width="14" customWidth="1"/>
    <col min="15" max="15" width="18" customWidth="1"/>
    <col min="16" max="16" width="14" customWidth="1"/>
    <col min="17" max="17" width="20" customWidth="1"/>
    <col min="18" max="18" width="22" customWidth="1"/>
    <col min="19" max="19" width="26" customWidth="1"/>
    <col min="20" max="21" width="18" customWidth="1"/>
    <col min="22" max="22" width="14" customWidth="1"/>
    <col min="23" max="23" width="12" customWidth="1"/>
    <col min="24" max="26" width="16" customWidth="1"/>
    <col min="27" max="29" width="14" customWidth="1"/>
    <col min="30" max="30" width="12" customWidth="1"/>
    <col min="31" max="32" width="18" customWidth="1"/>
    <col min="33" max="33" width="10" customWidth="1"/>
    <col min="34" max="34" width="16" customWidth="1"/>
    <col min="35" max="36" width="14" customWidth="1"/>
    <col min="37" max="37" width="16" customWidth="1"/>
    <col min="38" max="38" width="18" customWidth="1"/>
    <col min="39" max="40" width="16" customWidth="1"/>
    <col min="41" max="41" width="14" customWidth="1"/>
    <col min="42" max="42" width="16" customWidth="1"/>
    <col min="43" max="43" width="26" customWidth="1"/>
  </cols>
  <sheetData>
    <row r="1" spans="1:21" ht="25.5" customHeight="1">
      <c r="A1" s="292" t="s">
        <v>2318</v>
      </c>
      <c r="B1" s="262"/>
      <c r="C1" s="262"/>
      <c r="D1" s="262"/>
      <c r="E1" s="262"/>
      <c r="F1" s="262"/>
      <c r="G1" s="262"/>
      <c r="H1" s="262"/>
      <c r="I1" s="262"/>
      <c r="J1" s="262"/>
      <c r="K1" s="262"/>
      <c r="L1" s="262"/>
      <c r="M1" s="262"/>
      <c r="N1" s="262"/>
      <c r="O1" s="262"/>
      <c r="P1" s="262"/>
      <c r="Q1" s="19" t="s">
        <v>1526</v>
      </c>
      <c r="R1" s="19" t="s">
        <v>1761</v>
      </c>
      <c r="S1" s="19" t="s">
        <v>1855</v>
      </c>
      <c r="T1" s="19" t="s">
        <v>2177</v>
      </c>
      <c r="U1" s="19" t="s">
        <v>2319</v>
      </c>
    </row>
    <row r="2" spans="1:21" ht="15" customHeight="1">
      <c r="A2" s="294" t="s">
        <v>2320</v>
      </c>
      <c r="B2" s="262"/>
      <c r="C2" s="262"/>
      <c r="D2" s="262"/>
      <c r="E2" s="262"/>
      <c r="F2" s="262"/>
      <c r="G2" s="262"/>
      <c r="H2" s="262"/>
      <c r="I2" s="262"/>
      <c r="J2" s="262"/>
      <c r="K2" s="262"/>
      <c r="L2" s="262"/>
      <c r="M2" s="262"/>
      <c r="N2" s="262"/>
      <c r="O2" s="262"/>
      <c r="P2" s="262"/>
      <c r="Q2" s="262"/>
      <c r="R2" s="262"/>
    </row>
    <row r="3" spans="1:21" ht="15" customHeight="1">
      <c r="A3" s="141" t="s">
        <v>1524</v>
      </c>
      <c r="C3" s="142">
        <f ca="1">TODAY()</f>
        <v>46305</v>
      </c>
    </row>
    <row r="4" spans="1:21" ht="15" customHeight="1">
      <c r="A4" s="306" t="s">
        <v>2321</v>
      </c>
      <c r="B4" s="262"/>
      <c r="C4" s="262"/>
      <c r="D4" s="262"/>
      <c r="E4" s="262"/>
      <c r="F4" s="262"/>
      <c r="G4" s="262"/>
      <c r="H4" s="262"/>
      <c r="I4" s="262"/>
      <c r="J4" s="262"/>
      <c r="K4" s="262"/>
      <c r="L4" s="262"/>
      <c r="M4" s="262"/>
      <c r="N4" s="262"/>
      <c r="O4" s="262"/>
      <c r="P4" s="262"/>
      <c r="Q4" s="262"/>
      <c r="R4" s="262"/>
    </row>
    <row r="6" spans="1:21" ht="15.75" customHeight="1">
      <c r="A6" s="296" t="s">
        <v>2322</v>
      </c>
      <c r="B6" s="262"/>
      <c r="C6" s="262"/>
      <c r="D6" s="262"/>
      <c r="E6" s="262"/>
      <c r="F6" s="262"/>
      <c r="G6" s="262"/>
      <c r="H6" s="262"/>
      <c r="I6" s="262"/>
      <c r="J6" s="262"/>
      <c r="K6" s="262"/>
      <c r="L6" s="262"/>
      <c r="M6" s="262"/>
      <c r="N6" s="262"/>
      <c r="O6" s="262"/>
      <c r="P6" s="262"/>
      <c r="Q6" s="262"/>
      <c r="R6" s="262"/>
    </row>
    <row r="7" spans="1:21" ht="24" customHeight="1">
      <c r="A7" s="56" t="s">
        <v>116</v>
      </c>
      <c r="B7" s="56" t="s">
        <v>1537</v>
      </c>
      <c r="C7" s="56" t="s">
        <v>2323</v>
      </c>
      <c r="D7" s="56" t="s">
        <v>2324</v>
      </c>
      <c r="E7" s="56" t="s">
        <v>2325</v>
      </c>
      <c r="F7" s="56" t="s">
        <v>2326</v>
      </c>
      <c r="G7" s="56" t="s">
        <v>1415</v>
      </c>
      <c r="H7" s="56" t="s">
        <v>118</v>
      </c>
      <c r="I7" s="56" t="s">
        <v>117</v>
      </c>
      <c r="J7" s="56" t="s">
        <v>2327</v>
      </c>
      <c r="K7" s="56" t="s">
        <v>2328</v>
      </c>
      <c r="L7" s="56" t="s">
        <v>2081</v>
      </c>
    </row>
    <row r="8" spans="1:21" ht="15" customHeight="1">
      <c r="A8" s="143">
        <f>IF($L$8="Total",COUNTIF($A$27:$A$76,"RH*"),COUNTIFS($A$27:$A$76,"RH*",$W$27:$W$76,VALUE($L$8)))</f>
        <v>0</v>
      </c>
      <c r="B8" s="143">
        <f>IF($L$8="Total",COUNTIFS($A$27:$A$76,"RH*",$P$27:$P$76,"Actif"),COUNTIFS($A$27:$A$76,"RH*",$P$27:$P$76,"Actif",$W$27:$W$76,VALUE($L$8)))</f>
        <v>0</v>
      </c>
      <c r="C8" s="143">
        <f>IF($L$8="Total",COUNTIFS($Y$27:$Y$76,"CDI"),COUNTIFS($Y$27:$Y$76,"CDI",$W$27:$W$76,VALUE($L$8)))</f>
        <v>0</v>
      </c>
      <c r="D8" s="143">
        <f>IF($L$8="Total",COUNTIFS($Y$27:$Y$76,"CDD"),COUNTIFS($Y$27:$Y$76,"CDD",$W$27:$W$76,VALUE($L$8)))</f>
        <v>0</v>
      </c>
      <c r="E8" s="143">
        <f>IF($L$8="Total",COUNTIFS($Y$27:$Y$76,"Consultant")+COUNTIFS($Y$27:$Y$76,"Prestataire"),COUNTIFS($Y$27:$Y$76,"Consultant",$W$27:$W$76,VALUE($L$8))+COUNTIFS($Y$27:$Y$76,"Prestataire",$W$27:$W$76,VALUE($L$8)))</f>
        <v>0</v>
      </c>
      <c r="F8" s="143">
        <f>IF($L$8="Total",COUNTIFS($Y$27:$Y$76,"Benevolat")+COUNTIFS($Y$27:$Y$76,"Volontariat"),COUNTIFS($Y$27:$Y$76,"Benevolat",$W$27:$W$76,VALUE($L$8))+COUNTIFS($Y$27:$Y$76,"Volontariat",$W$27:$W$76,VALUE($L$8)))</f>
        <v>0</v>
      </c>
      <c r="G8" s="143">
        <f>IF($L$8="Total",COUNTIFS($Y$27:$Y$76,"Stage"),COUNTIFS($Y$27:$Y$76,"Stage",$W$27:$W$76,VALUE($L$8)))</f>
        <v>0</v>
      </c>
      <c r="H8" s="143">
        <f>IF($L$8="Total",COUNTIFS($F$27:$F$76,"Masculin"),COUNTIFS($F$27:$F$76,"Masculin",$W$27:$W$76,VALUE($L$8)))</f>
        <v>0</v>
      </c>
      <c r="I8" s="143">
        <f>IF($L$8="Total",COUNTIFS($F$27:$F$76,"Feminin"),COUNTIFS($F$27:$F$76,"Feminin",$W$27:$W$76,VALUE($L$8)))</f>
        <v>0</v>
      </c>
      <c r="J8" s="143">
        <f ca="1">COUNTIFS($V$27:$V$76,"&gt;="&amp;EDATE(TODAY(),-12),$V$27:$V$76,"&lt;="&amp;TODAY())</f>
        <v>0</v>
      </c>
      <c r="K8" s="143">
        <f ca="1">COUNTIFS($AE$27:$AE$76,"A renouveler bientot")</f>
        <v>0</v>
      </c>
      <c r="L8" s="57" t="s">
        <v>2329</v>
      </c>
    </row>
    <row r="10" spans="1:21" ht="15.75" customHeight="1">
      <c r="A10" s="289" t="s">
        <v>1644</v>
      </c>
      <c r="B10" s="262"/>
      <c r="C10" s="262"/>
      <c r="D10" s="262"/>
      <c r="E10" s="262"/>
      <c r="F10" s="262"/>
      <c r="G10" s="262"/>
      <c r="H10" s="262"/>
      <c r="I10" s="262"/>
      <c r="J10" s="262"/>
      <c r="K10" s="262"/>
      <c r="L10" s="262"/>
      <c r="M10" s="262"/>
      <c r="N10" s="262"/>
      <c r="O10" s="262"/>
      <c r="P10" s="262"/>
      <c r="Q10" s="262"/>
      <c r="R10" s="262"/>
    </row>
    <row r="11" spans="1:21" ht="15" customHeight="1">
      <c r="A11" s="14" t="s">
        <v>2330</v>
      </c>
      <c r="B11" s="14" t="s">
        <v>2189</v>
      </c>
      <c r="D11" s="14" t="s">
        <v>2331</v>
      </c>
      <c r="E11" s="14" t="s">
        <v>2189</v>
      </c>
      <c r="G11" s="14" t="s">
        <v>2332</v>
      </c>
      <c r="H11" s="14" t="s">
        <v>2189</v>
      </c>
      <c r="J11" s="14" t="s">
        <v>2333</v>
      </c>
      <c r="K11" s="14" t="s">
        <v>2189</v>
      </c>
    </row>
    <row r="12" spans="1:21" ht="15" customHeight="1">
      <c r="A12" s="33" t="s">
        <v>177</v>
      </c>
      <c r="B12" s="144">
        <f t="shared" ref="B12:B18" si="0">COUNTIFS($P$27:$P$76,A12)</f>
        <v>0</v>
      </c>
      <c r="D12" s="33" t="s">
        <v>706</v>
      </c>
      <c r="E12" s="144">
        <f t="shared" ref="E12:E21" si="1">COUNTIFS($Y$27:$Y$76,D12)</f>
        <v>0</v>
      </c>
      <c r="G12" s="33" t="s">
        <v>1176</v>
      </c>
      <c r="H12" s="144">
        <f t="shared" ref="H12:H22" si="2">COUNTIFS($S$27:$S$76,G12)</f>
        <v>0</v>
      </c>
      <c r="J12" s="33" t="s">
        <v>2334</v>
      </c>
      <c r="K12" s="144">
        <f ca="1">COUNTIFS($AE$27:$AE$76,"Expire")</f>
        <v>0</v>
      </c>
    </row>
    <row r="13" spans="1:21" ht="15" customHeight="1">
      <c r="A13" s="33" t="s">
        <v>1165</v>
      </c>
      <c r="B13" s="144">
        <f t="shared" si="0"/>
        <v>0</v>
      </c>
      <c r="D13" s="33" t="s">
        <v>708</v>
      </c>
      <c r="E13" s="144">
        <f t="shared" si="1"/>
        <v>0</v>
      </c>
      <c r="G13" s="33" t="s">
        <v>1178</v>
      </c>
      <c r="H13" s="144">
        <f t="shared" si="2"/>
        <v>0</v>
      </c>
      <c r="J13" s="33" t="s">
        <v>2328</v>
      </c>
      <c r="K13" s="144">
        <f ca="1">COUNTIFS($AE$27:$AE$76,"A renouveler bientot")</f>
        <v>0</v>
      </c>
    </row>
    <row r="14" spans="1:21" ht="15" customHeight="1">
      <c r="A14" s="33" t="s">
        <v>21</v>
      </c>
      <c r="B14" s="144">
        <f t="shared" si="0"/>
        <v>0</v>
      </c>
      <c r="D14" s="33" t="s">
        <v>710</v>
      </c>
      <c r="E14" s="144">
        <f t="shared" si="1"/>
        <v>0</v>
      </c>
      <c r="G14" s="33" t="s">
        <v>1180</v>
      </c>
      <c r="H14" s="144">
        <f t="shared" si="2"/>
        <v>0</v>
      </c>
      <c r="J14" s="33" t="s">
        <v>2335</v>
      </c>
      <c r="K14" s="144">
        <f>COUNTIFS(tbl_RH_Documents[Disponible],"Non")</f>
        <v>0</v>
      </c>
    </row>
    <row r="15" spans="1:21" ht="15" customHeight="1">
      <c r="A15" s="33" t="s">
        <v>1168</v>
      </c>
      <c r="B15" s="144">
        <f t="shared" si="0"/>
        <v>0</v>
      </c>
      <c r="D15" s="33" t="s">
        <v>712</v>
      </c>
      <c r="E15" s="144">
        <f t="shared" si="1"/>
        <v>0</v>
      </c>
      <c r="G15" s="33" t="s">
        <v>667</v>
      </c>
      <c r="H15" s="144">
        <f t="shared" si="2"/>
        <v>0</v>
      </c>
      <c r="J15" s="33" t="s">
        <v>2336</v>
      </c>
      <c r="K15" s="144">
        <f ca="1">SUMPRODUCT((tbl_RH_Competences[Date expiration]&lt;&gt;"")*(tbl_RH_Competences[Date expiration]&lt;=TODAY()+60)*(tbl_RH_Competences[Date expiration]&gt;=TODAY()))</f>
        <v>0</v>
      </c>
    </row>
    <row r="16" spans="1:21" ht="15" customHeight="1">
      <c r="A16" s="33" t="s">
        <v>1170</v>
      </c>
      <c r="B16" s="144">
        <f t="shared" si="0"/>
        <v>0</v>
      </c>
      <c r="D16" s="33" t="s">
        <v>714</v>
      </c>
      <c r="E16" s="144">
        <f t="shared" si="1"/>
        <v>0</v>
      </c>
      <c r="G16" s="33" t="s">
        <v>1183</v>
      </c>
      <c r="H16" s="144">
        <f t="shared" si="2"/>
        <v>0</v>
      </c>
      <c r="J16" s="33" t="s">
        <v>2337</v>
      </c>
      <c r="K16" s="144">
        <f>COUNTIFS(tbl_RH_Conges[Statut],"Demande")</f>
        <v>0</v>
      </c>
    </row>
    <row r="17" spans="1:43" ht="15" customHeight="1">
      <c r="A17" s="33" t="s">
        <v>1172</v>
      </c>
      <c r="B17" s="144">
        <f t="shared" si="0"/>
        <v>0</v>
      </c>
      <c r="D17" s="33" t="s">
        <v>716</v>
      </c>
      <c r="E17" s="144">
        <f t="shared" si="1"/>
        <v>0</v>
      </c>
      <c r="G17" s="33" t="s">
        <v>439</v>
      </c>
      <c r="H17" s="144">
        <f t="shared" si="2"/>
        <v>0</v>
      </c>
      <c r="J17" s="33" t="s">
        <v>2338</v>
      </c>
      <c r="K17" s="144">
        <f>COUNTIFS($P$27:$P$76,"Actif",$AE$27:$AE$76,"&lt;&gt;Expire")</f>
        <v>0</v>
      </c>
    </row>
    <row r="18" spans="1:43" ht="15" customHeight="1">
      <c r="A18" s="33" t="s">
        <v>1108</v>
      </c>
      <c r="B18" s="144">
        <f t="shared" si="0"/>
        <v>0</v>
      </c>
      <c r="D18" s="33" t="s">
        <v>718</v>
      </c>
      <c r="E18" s="144">
        <f t="shared" si="1"/>
        <v>0</v>
      </c>
      <c r="G18" s="33" t="s">
        <v>665</v>
      </c>
      <c r="H18" s="144">
        <f t="shared" si="2"/>
        <v>0</v>
      </c>
    </row>
    <row r="19" spans="1:43" ht="15" customHeight="1">
      <c r="D19" s="33" t="s">
        <v>720</v>
      </c>
      <c r="E19" s="144">
        <f t="shared" si="1"/>
        <v>0</v>
      </c>
      <c r="G19" s="33" t="s">
        <v>1187</v>
      </c>
      <c r="H19" s="144">
        <f t="shared" si="2"/>
        <v>0</v>
      </c>
    </row>
    <row r="20" spans="1:43" ht="15" customHeight="1">
      <c r="D20" s="33" t="s">
        <v>722</v>
      </c>
      <c r="E20" s="144">
        <f t="shared" si="1"/>
        <v>0</v>
      </c>
      <c r="G20" s="33" t="s">
        <v>1189</v>
      </c>
      <c r="H20" s="144">
        <f t="shared" si="2"/>
        <v>0</v>
      </c>
    </row>
    <row r="21" spans="1:43" ht="15" customHeight="1">
      <c r="D21" s="33" t="s">
        <v>383</v>
      </c>
      <c r="E21" s="144">
        <f t="shared" si="1"/>
        <v>0</v>
      </c>
      <c r="G21" s="33" t="s">
        <v>1191</v>
      </c>
      <c r="H21" s="144">
        <f t="shared" si="2"/>
        <v>0</v>
      </c>
    </row>
    <row r="22" spans="1:43" ht="15" customHeight="1">
      <c r="G22" s="33" t="s">
        <v>383</v>
      </c>
      <c r="H22" s="144">
        <f t="shared" si="2"/>
        <v>0</v>
      </c>
    </row>
    <row r="25" spans="1:43" ht="15.75" customHeight="1">
      <c r="A25" s="289" t="s">
        <v>2339</v>
      </c>
      <c r="B25" s="262"/>
      <c r="C25" s="262"/>
      <c r="D25" s="262"/>
      <c r="E25" s="262"/>
      <c r="F25" s="262"/>
      <c r="G25" s="262"/>
      <c r="H25" s="262"/>
      <c r="I25" s="262"/>
      <c r="J25" s="262"/>
      <c r="K25" s="262"/>
      <c r="L25" s="262"/>
      <c r="M25" s="262"/>
      <c r="N25" s="262"/>
      <c r="O25" s="262"/>
      <c r="P25" s="262"/>
      <c r="Q25" s="262"/>
      <c r="R25" s="262"/>
      <c r="S25" s="262"/>
      <c r="T25" s="262"/>
      <c r="U25" s="262"/>
      <c r="V25" s="262"/>
      <c r="W25" s="262"/>
      <c r="X25" s="262"/>
      <c r="Y25" s="262"/>
      <c r="Z25" s="262"/>
      <c r="AA25" s="262"/>
      <c r="AB25" s="262"/>
      <c r="AC25" s="262"/>
      <c r="AD25" s="262"/>
      <c r="AE25" s="262"/>
      <c r="AF25" s="262"/>
      <c r="AG25" s="262"/>
      <c r="AH25" s="262"/>
      <c r="AI25" s="262"/>
      <c r="AJ25" s="262"/>
      <c r="AK25" s="262"/>
      <c r="AL25" s="262"/>
      <c r="AM25" s="262"/>
      <c r="AN25" s="262"/>
      <c r="AO25" s="262"/>
      <c r="AP25" s="262"/>
      <c r="AQ25" s="262"/>
    </row>
    <row r="26" spans="1:43" ht="15" customHeight="1">
      <c r="A26" s="145" t="s">
        <v>2340</v>
      </c>
      <c r="B26" s="145" t="s">
        <v>1512</v>
      </c>
      <c r="C26" s="145" t="s">
        <v>1548</v>
      </c>
      <c r="D26" s="145" t="s">
        <v>1549</v>
      </c>
      <c r="E26" s="145" t="s">
        <v>1372</v>
      </c>
      <c r="F26" s="145" t="s">
        <v>10</v>
      </c>
      <c r="G26" s="145" t="s">
        <v>1514</v>
      </c>
      <c r="H26" s="145" t="s">
        <v>1550</v>
      </c>
      <c r="I26" s="145" t="s">
        <v>1553</v>
      </c>
      <c r="J26" s="145" t="s">
        <v>2341</v>
      </c>
      <c r="K26" s="145" t="s">
        <v>1368</v>
      </c>
      <c r="L26" s="145" t="s">
        <v>1369</v>
      </c>
      <c r="M26" s="145" t="s">
        <v>1989</v>
      </c>
      <c r="N26" s="145" t="s">
        <v>1009</v>
      </c>
      <c r="O26" s="145" t="s">
        <v>2331</v>
      </c>
      <c r="P26" s="145" t="s">
        <v>175</v>
      </c>
      <c r="Q26" s="145" t="s">
        <v>1371</v>
      </c>
      <c r="R26" s="145" t="s">
        <v>2342</v>
      </c>
      <c r="S26" s="145" t="s">
        <v>2343</v>
      </c>
      <c r="T26" s="145" t="s">
        <v>2344</v>
      </c>
      <c r="U26" s="145" t="s">
        <v>2345</v>
      </c>
      <c r="V26" s="145" t="s">
        <v>2346</v>
      </c>
      <c r="W26" s="145" t="s">
        <v>2347</v>
      </c>
      <c r="X26" s="145" t="s">
        <v>2348</v>
      </c>
      <c r="Y26" s="145" t="s">
        <v>2349</v>
      </c>
      <c r="Z26" s="145" t="s">
        <v>1816</v>
      </c>
      <c r="AA26" s="145" t="s">
        <v>2350</v>
      </c>
      <c r="AB26" s="145" t="s">
        <v>2351</v>
      </c>
      <c r="AC26" s="145" t="s">
        <v>2352</v>
      </c>
      <c r="AD26" s="145" t="s">
        <v>2353</v>
      </c>
      <c r="AE26" s="145" t="s">
        <v>2354</v>
      </c>
      <c r="AF26" s="145" t="s">
        <v>2355</v>
      </c>
      <c r="AG26" s="145" t="s">
        <v>1439</v>
      </c>
      <c r="AH26" s="145" t="s">
        <v>2356</v>
      </c>
      <c r="AI26" s="145" t="s">
        <v>2357</v>
      </c>
      <c r="AJ26" s="145" t="s">
        <v>2358</v>
      </c>
      <c r="AK26" s="145" t="s">
        <v>2359</v>
      </c>
      <c r="AL26" s="145" t="s">
        <v>2360</v>
      </c>
      <c r="AM26" s="145" t="s">
        <v>2361</v>
      </c>
      <c r="AN26" s="145" t="s">
        <v>2362</v>
      </c>
      <c r="AO26" s="145" t="s">
        <v>2363</v>
      </c>
      <c r="AP26" s="145" t="s">
        <v>2364</v>
      </c>
      <c r="AQ26" s="145" t="s">
        <v>1611</v>
      </c>
    </row>
    <row r="27" spans="1:43" ht="15.75" customHeight="1">
      <c r="A27" s="146" t="str">
        <f t="shared" ref="A27:A58" si="3">IF(B27="","","RH"&amp;TEXT(ROW()-26,"00000"))</f>
        <v/>
      </c>
      <c r="B27" s="147"/>
      <c r="C27" s="147"/>
      <c r="D27" s="147"/>
      <c r="E27" s="146" t="str">
        <f t="shared" ref="E27:E58" si="4">IF(B27="","",TRIM(B27&amp;" "&amp;C27&amp;" "&amp;D27))</f>
        <v/>
      </c>
      <c r="F27" s="147"/>
      <c r="G27" s="148"/>
      <c r="H27" s="146" t="str">
        <f t="shared" ref="H27:H58" ca="1" si="5">IF(G27="","",DATEDIF(G27,TODAY(),"y"))</f>
        <v/>
      </c>
      <c r="I27" s="147"/>
      <c r="J27" s="147"/>
      <c r="K27" s="147"/>
      <c r="L27" s="149"/>
      <c r="M27" s="149"/>
      <c r="N27" s="147"/>
      <c r="O27" s="147"/>
      <c r="P27" s="147"/>
      <c r="Q27" s="147"/>
      <c r="R27" s="147"/>
      <c r="S27" s="147"/>
      <c r="T27" s="147"/>
      <c r="U27" s="147"/>
      <c r="V27" s="148"/>
      <c r="W27" s="146" t="str">
        <f t="shared" ref="W27:W58" si="6">IF(V27="","",YEAR(V27))</f>
        <v/>
      </c>
      <c r="X27" s="146" t="str">
        <f t="shared" ref="X27:X58" ca="1" si="7">IF(V27="","",DATEDIF(V27,TODAY(),"y")&amp;" ans "&amp;DATEDIF(V27,TODAY(),"ym")&amp;" mois")</f>
        <v/>
      </c>
      <c r="Y27" s="147"/>
      <c r="Z27" s="147"/>
      <c r="AA27" s="148"/>
      <c r="AB27" s="148"/>
      <c r="AC27" s="146" t="str">
        <f t="shared" ref="AC27:AC58" si="8">IF(OR(AA27="",AB27=""),"",DATEDIF(AA27,AB27,"m")&amp;" mois")</f>
        <v/>
      </c>
      <c r="AD27" s="147"/>
      <c r="AE27" s="146" t="str">
        <f t="shared" ref="AE27:AE58" ca="1" si="9">IF(Y27="","",IF(Y27="CDI","Indetermine (CDI)",IF(AB27="","Non renseigne",IF(AB27&lt;TODAY(),"Expire",IF(AB27-TODAY()&lt;=60,"A renouveler bientot","Actif")))))</f>
        <v/>
      </c>
      <c r="AF27" s="150"/>
      <c r="AG27" s="147"/>
      <c r="AH27" s="147"/>
      <c r="AI27" s="150"/>
      <c r="AJ27" s="150"/>
      <c r="AK27" s="151" t="str">
        <f t="shared" ref="AK27:AK58" si="10">IF(AF27="","",AF27+IF(AI27="",0,AI27)+IF(AJ27="",0,AJ27))</f>
        <v/>
      </c>
      <c r="AL27" s="147"/>
      <c r="AM27" s="147"/>
      <c r="AN27" s="147"/>
      <c r="AO27" s="148"/>
      <c r="AP27" s="147"/>
      <c r="AQ27" s="149"/>
    </row>
    <row r="28" spans="1:43" ht="15.75" customHeight="1">
      <c r="A28" s="146" t="str">
        <f t="shared" si="3"/>
        <v/>
      </c>
      <c r="B28" s="147"/>
      <c r="C28" s="147"/>
      <c r="D28" s="147"/>
      <c r="E28" s="146" t="str">
        <f t="shared" si="4"/>
        <v/>
      </c>
      <c r="F28" s="147"/>
      <c r="G28" s="148"/>
      <c r="H28" s="146" t="str">
        <f t="shared" ca="1" si="5"/>
        <v/>
      </c>
      <c r="I28" s="147"/>
      <c r="J28" s="147"/>
      <c r="K28" s="147"/>
      <c r="L28" s="149"/>
      <c r="M28" s="149"/>
      <c r="N28" s="147"/>
      <c r="O28" s="147"/>
      <c r="P28" s="147"/>
      <c r="Q28" s="147"/>
      <c r="R28" s="147"/>
      <c r="S28" s="147"/>
      <c r="T28" s="147"/>
      <c r="U28" s="147"/>
      <c r="V28" s="148"/>
      <c r="W28" s="146" t="str">
        <f t="shared" si="6"/>
        <v/>
      </c>
      <c r="X28" s="146" t="str">
        <f t="shared" ca="1" si="7"/>
        <v/>
      </c>
      <c r="Y28" s="147"/>
      <c r="Z28" s="147"/>
      <c r="AA28" s="148"/>
      <c r="AB28" s="148"/>
      <c r="AC28" s="146" t="str">
        <f t="shared" si="8"/>
        <v/>
      </c>
      <c r="AD28" s="147"/>
      <c r="AE28" s="146" t="str">
        <f t="shared" ca="1" si="9"/>
        <v/>
      </c>
      <c r="AF28" s="150"/>
      <c r="AG28" s="147"/>
      <c r="AH28" s="147"/>
      <c r="AI28" s="150"/>
      <c r="AJ28" s="150"/>
      <c r="AK28" s="151" t="str">
        <f t="shared" si="10"/>
        <v/>
      </c>
      <c r="AL28" s="147"/>
      <c r="AM28" s="147"/>
      <c r="AN28" s="147"/>
      <c r="AO28" s="148"/>
      <c r="AP28" s="147"/>
      <c r="AQ28" s="149"/>
    </row>
    <row r="29" spans="1:43" ht="15.75" customHeight="1">
      <c r="A29" s="146" t="str">
        <f t="shared" si="3"/>
        <v/>
      </c>
      <c r="B29" s="147"/>
      <c r="C29" s="147"/>
      <c r="D29" s="147"/>
      <c r="E29" s="146" t="str">
        <f t="shared" si="4"/>
        <v/>
      </c>
      <c r="F29" s="147"/>
      <c r="G29" s="148"/>
      <c r="H29" s="146" t="str">
        <f t="shared" ca="1" si="5"/>
        <v/>
      </c>
      <c r="I29" s="147"/>
      <c r="J29" s="147"/>
      <c r="K29" s="147"/>
      <c r="L29" s="149"/>
      <c r="M29" s="149"/>
      <c r="N29" s="147"/>
      <c r="O29" s="147"/>
      <c r="P29" s="147"/>
      <c r="Q29" s="147"/>
      <c r="R29" s="147"/>
      <c r="S29" s="147"/>
      <c r="T29" s="147"/>
      <c r="U29" s="147"/>
      <c r="V29" s="148"/>
      <c r="W29" s="146" t="str">
        <f t="shared" si="6"/>
        <v/>
      </c>
      <c r="X29" s="146" t="str">
        <f t="shared" ca="1" si="7"/>
        <v/>
      </c>
      <c r="Y29" s="147"/>
      <c r="Z29" s="147"/>
      <c r="AA29" s="148"/>
      <c r="AB29" s="148"/>
      <c r="AC29" s="146" t="str">
        <f t="shared" si="8"/>
        <v/>
      </c>
      <c r="AD29" s="147"/>
      <c r="AE29" s="146" t="str">
        <f t="shared" ca="1" si="9"/>
        <v/>
      </c>
      <c r="AF29" s="150"/>
      <c r="AG29" s="147"/>
      <c r="AH29" s="147"/>
      <c r="AI29" s="150"/>
      <c r="AJ29" s="150"/>
      <c r="AK29" s="151" t="str">
        <f t="shared" si="10"/>
        <v/>
      </c>
      <c r="AL29" s="147"/>
      <c r="AM29" s="147"/>
      <c r="AN29" s="147"/>
      <c r="AO29" s="148"/>
      <c r="AP29" s="147"/>
      <c r="AQ29" s="149"/>
    </row>
    <row r="30" spans="1:43" ht="15.75" customHeight="1">
      <c r="A30" s="146" t="str">
        <f t="shared" si="3"/>
        <v/>
      </c>
      <c r="B30" s="147"/>
      <c r="C30" s="147"/>
      <c r="D30" s="147"/>
      <c r="E30" s="146" t="str">
        <f t="shared" si="4"/>
        <v/>
      </c>
      <c r="F30" s="147"/>
      <c r="G30" s="148"/>
      <c r="H30" s="146" t="str">
        <f t="shared" ca="1" si="5"/>
        <v/>
      </c>
      <c r="I30" s="147"/>
      <c r="J30" s="147"/>
      <c r="K30" s="147"/>
      <c r="L30" s="149"/>
      <c r="M30" s="149"/>
      <c r="N30" s="147"/>
      <c r="O30" s="147"/>
      <c r="P30" s="147"/>
      <c r="Q30" s="147"/>
      <c r="R30" s="147"/>
      <c r="S30" s="147"/>
      <c r="T30" s="147"/>
      <c r="U30" s="147"/>
      <c r="V30" s="148"/>
      <c r="W30" s="146" t="str">
        <f t="shared" si="6"/>
        <v/>
      </c>
      <c r="X30" s="146" t="str">
        <f t="shared" ca="1" si="7"/>
        <v/>
      </c>
      <c r="Y30" s="147"/>
      <c r="Z30" s="147"/>
      <c r="AA30" s="148"/>
      <c r="AB30" s="148"/>
      <c r="AC30" s="146" t="str">
        <f t="shared" si="8"/>
        <v/>
      </c>
      <c r="AD30" s="147"/>
      <c r="AE30" s="146" t="str">
        <f t="shared" ca="1" si="9"/>
        <v/>
      </c>
      <c r="AF30" s="150"/>
      <c r="AG30" s="147"/>
      <c r="AH30" s="147"/>
      <c r="AI30" s="150"/>
      <c r="AJ30" s="150"/>
      <c r="AK30" s="151" t="str">
        <f t="shared" si="10"/>
        <v/>
      </c>
      <c r="AL30" s="147"/>
      <c r="AM30" s="147"/>
      <c r="AN30" s="147"/>
      <c r="AO30" s="148"/>
      <c r="AP30" s="147"/>
      <c r="AQ30" s="149"/>
    </row>
    <row r="31" spans="1:43" ht="15.75" customHeight="1">
      <c r="A31" s="146" t="str">
        <f t="shared" si="3"/>
        <v/>
      </c>
      <c r="B31" s="147"/>
      <c r="C31" s="147"/>
      <c r="D31" s="147"/>
      <c r="E31" s="146" t="str">
        <f t="shared" si="4"/>
        <v/>
      </c>
      <c r="F31" s="147"/>
      <c r="G31" s="148"/>
      <c r="H31" s="146" t="str">
        <f t="shared" ca="1" si="5"/>
        <v/>
      </c>
      <c r="I31" s="147"/>
      <c r="J31" s="147"/>
      <c r="K31" s="147"/>
      <c r="L31" s="149"/>
      <c r="M31" s="149"/>
      <c r="N31" s="147"/>
      <c r="O31" s="147"/>
      <c r="P31" s="147"/>
      <c r="Q31" s="147"/>
      <c r="R31" s="147"/>
      <c r="S31" s="147"/>
      <c r="T31" s="147"/>
      <c r="U31" s="147"/>
      <c r="V31" s="148"/>
      <c r="W31" s="146" t="str">
        <f t="shared" si="6"/>
        <v/>
      </c>
      <c r="X31" s="146" t="str">
        <f t="shared" ca="1" si="7"/>
        <v/>
      </c>
      <c r="Y31" s="147"/>
      <c r="Z31" s="147"/>
      <c r="AA31" s="148"/>
      <c r="AB31" s="148"/>
      <c r="AC31" s="146" t="str">
        <f t="shared" si="8"/>
        <v/>
      </c>
      <c r="AD31" s="147"/>
      <c r="AE31" s="146" t="str">
        <f t="shared" ca="1" si="9"/>
        <v/>
      </c>
      <c r="AF31" s="150"/>
      <c r="AG31" s="147"/>
      <c r="AH31" s="147"/>
      <c r="AI31" s="150"/>
      <c r="AJ31" s="150"/>
      <c r="AK31" s="151" t="str">
        <f t="shared" si="10"/>
        <v/>
      </c>
      <c r="AL31" s="147"/>
      <c r="AM31" s="147"/>
      <c r="AN31" s="147"/>
      <c r="AO31" s="148"/>
      <c r="AP31" s="147"/>
      <c r="AQ31" s="149"/>
    </row>
    <row r="32" spans="1:43" ht="15.75" customHeight="1">
      <c r="A32" s="146" t="str">
        <f t="shared" si="3"/>
        <v/>
      </c>
      <c r="B32" s="147"/>
      <c r="C32" s="147"/>
      <c r="D32" s="147"/>
      <c r="E32" s="146" t="str">
        <f t="shared" si="4"/>
        <v/>
      </c>
      <c r="F32" s="147"/>
      <c r="G32" s="148"/>
      <c r="H32" s="146" t="str">
        <f t="shared" ca="1" si="5"/>
        <v/>
      </c>
      <c r="I32" s="147"/>
      <c r="J32" s="147"/>
      <c r="K32" s="147"/>
      <c r="L32" s="149"/>
      <c r="M32" s="149"/>
      <c r="N32" s="147"/>
      <c r="O32" s="147"/>
      <c r="P32" s="147"/>
      <c r="Q32" s="147"/>
      <c r="R32" s="147"/>
      <c r="S32" s="147"/>
      <c r="T32" s="147"/>
      <c r="U32" s="147"/>
      <c r="V32" s="148"/>
      <c r="W32" s="146" t="str">
        <f t="shared" si="6"/>
        <v/>
      </c>
      <c r="X32" s="146" t="str">
        <f t="shared" ca="1" si="7"/>
        <v/>
      </c>
      <c r="Y32" s="147"/>
      <c r="Z32" s="147"/>
      <c r="AA32" s="148"/>
      <c r="AB32" s="148"/>
      <c r="AC32" s="146" t="str">
        <f t="shared" si="8"/>
        <v/>
      </c>
      <c r="AD32" s="147"/>
      <c r="AE32" s="146" t="str">
        <f t="shared" ca="1" si="9"/>
        <v/>
      </c>
      <c r="AF32" s="150"/>
      <c r="AG32" s="147"/>
      <c r="AH32" s="147"/>
      <c r="AI32" s="150"/>
      <c r="AJ32" s="150"/>
      <c r="AK32" s="151" t="str">
        <f t="shared" si="10"/>
        <v/>
      </c>
      <c r="AL32" s="147"/>
      <c r="AM32" s="147"/>
      <c r="AN32" s="147"/>
      <c r="AO32" s="148"/>
      <c r="AP32" s="147"/>
      <c r="AQ32" s="149"/>
    </row>
    <row r="33" spans="1:43" ht="15.75" customHeight="1">
      <c r="A33" s="146" t="str">
        <f t="shared" si="3"/>
        <v/>
      </c>
      <c r="B33" s="147"/>
      <c r="C33" s="147"/>
      <c r="D33" s="147"/>
      <c r="E33" s="146" t="str">
        <f t="shared" si="4"/>
        <v/>
      </c>
      <c r="F33" s="147"/>
      <c r="G33" s="148"/>
      <c r="H33" s="146" t="str">
        <f t="shared" ca="1" si="5"/>
        <v/>
      </c>
      <c r="I33" s="147"/>
      <c r="J33" s="147"/>
      <c r="K33" s="147"/>
      <c r="L33" s="149"/>
      <c r="M33" s="149"/>
      <c r="N33" s="147"/>
      <c r="O33" s="147"/>
      <c r="P33" s="147"/>
      <c r="Q33" s="147"/>
      <c r="R33" s="147"/>
      <c r="S33" s="147"/>
      <c r="T33" s="147"/>
      <c r="U33" s="147"/>
      <c r="V33" s="148"/>
      <c r="W33" s="146" t="str">
        <f t="shared" si="6"/>
        <v/>
      </c>
      <c r="X33" s="146" t="str">
        <f t="shared" ca="1" si="7"/>
        <v/>
      </c>
      <c r="Y33" s="147"/>
      <c r="Z33" s="147"/>
      <c r="AA33" s="148"/>
      <c r="AB33" s="148"/>
      <c r="AC33" s="146" t="str">
        <f t="shared" si="8"/>
        <v/>
      </c>
      <c r="AD33" s="147"/>
      <c r="AE33" s="146" t="str">
        <f t="shared" ca="1" si="9"/>
        <v/>
      </c>
      <c r="AF33" s="150"/>
      <c r="AG33" s="147"/>
      <c r="AH33" s="147"/>
      <c r="AI33" s="150"/>
      <c r="AJ33" s="150"/>
      <c r="AK33" s="151" t="str">
        <f t="shared" si="10"/>
        <v/>
      </c>
      <c r="AL33" s="147"/>
      <c r="AM33" s="147"/>
      <c r="AN33" s="147"/>
      <c r="AO33" s="148"/>
      <c r="AP33" s="147"/>
      <c r="AQ33" s="149"/>
    </row>
    <row r="34" spans="1:43" ht="15.75" customHeight="1">
      <c r="A34" s="146" t="str">
        <f t="shared" si="3"/>
        <v/>
      </c>
      <c r="B34" s="147"/>
      <c r="C34" s="147"/>
      <c r="D34" s="147"/>
      <c r="E34" s="146" t="str">
        <f t="shared" si="4"/>
        <v/>
      </c>
      <c r="F34" s="147"/>
      <c r="G34" s="148"/>
      <c r="H34" s="146" t="str">
        <f t="shared" ca="1" si="5"/>
        <v/>
      </c>
      <c r="I34" s="147"/>
      <c r="J34" s="147"/>
      <c r="K34" s="147"/>
      <c r="L34" s="149"/>
      <c r="M34" s="149"/>
      <c r="N34" s="147"/>
      <c r="O34" s="147"/>
      <c r="P34" s="147"/>
      <c r="Q34" s="147"/>
      <c r="R34" s="147"/>
      <c r="S34" s="147"/>
      <c r="T34" s="147"/>
      <c r="U34" s="147"/>
      <c r="V34" s="148"/>
      <c r="W34" s="146" t="str">
        <f t="shared" si="6"/>
        <v/>
      </c>
      <c r="X34" s="146" t="str">
        <f t="shared" ca="1" si="7"/>
        <v/>
      </c>
      <c r="Y34" s="147"/>
      <c r="Z34" s="147"/>
      <c r="AA34" s="148"/>
      <c r="AB34" s="148"/>
      <c r="AC34" s="146" t="str">
        <f t="shared" si="8"/>
        <v/>
      </c>
      <c r="AD34" s="147"/>
      <c r="AE34" s="146" t="str">
        <f t="shared" ca="1" si="9"/>
        <v/>
      </c>
      <c r="AF34" s="150"/>
      <c r="AG34" s="147"/>
      <c r="AH34" s="147"/>
      <c r="AI34" s="150"/>
      <c r="AJ34" s="150"/>
      <c r="AK34" s="151" t="str">
        <f t="shared" si="10"/>
        <v/>
      </c>
      <c r="AL34" s="147"/>
      <c r="AM34" s="147"/>
      <c r="AN34" s="147"/>
      <c r="AO34" s="148"/>
      <c r="AP34" s="147"/>
      <c r="AQ34" s="149"/>
    </row>
    <row r="35" spans="1:43" ht="15.75" customHeight="1">
      <c r="A35" s="146" t="str">
        <f t="shared" si="3"/>
        <v/>
      </c>
      <c r="B35" s="147"/>
      <c r="C35" s="147"/>
      <c r="D35" s="147"/>
      <c r="E35" s="146" t="str">
        <f t="shared" si="4"/>
        <v/>
      </c>
      <c r="F35" s="147"/>
      <c r="G35" s="148"/>
      <c r="H35" s="146" t="str">
        <f t="shared" ca="1" si="5"/>
        <v/>
      </c>
      <c r="I35" s="147"/>
      <c r="J35" s="147"/>
      <c r="K35" s="147"/>
      <c r="L35" s="149"/>
      <c r="M35" s="149"/>
      <c r="N35" s="147"/>
      <c r="O35" s="147"/>
      <c r="P35" s="147"/>
      <c r="Q35" s="147"/>
      <c r="R35" s="147"/>
      <c r="S35" s="147"/>
      <c r="T35" s="147"/>
      <c r="U35" s="147"/>
      <c r="V35" s="148"/>
      <c r="W35" s="146" t="str">
        <f t="shared" si="6"/>
        <v/>
      </c>
      <c r="X35" s="146" t="str">
        <f t="shared" ca="1" si="7"/>
        <v/>
      </c>
      <c r="Y35" s="147"/>
      <c r="Z35" s="147"/>
      <c r="AA35" s="148"/>
      <c r="AB35" s="148"/>
      <c r="AC35" s="146" t="str">
        <f t="shared" si="8"/>
        <v/>
      </c>
      <c r="AD35" s="147"/>
      <c r="AE35" s="146" t="str">
        <f t="shared" ca="1" si="9"/>
        <v/>
      </c>
      <c r="AF35" s="150"/>
      <c r="AG35" s="147"/>
      <c r="AH35" s="147"/>
      <c r="AI35" s="150"/>
      <c r="AJ35" s="150"/>
      <c r="AK35" s="151" t="str">
        <f t="shared" si="10"/>
        <v/>
      </c>
      <c r="AL35" s="147"/>
      <c r="AM35" s="147"/>
      <c r="AN35" s="147"/>
      <c r="AO35" s="148"/>
      <c r="AP35" s="147"/>
      <c r="AQ35" s="149"/>
    </row>
    <row r="36" spans="1:43" ht="15.75" customHeight="1">
      <c r="A36" s="146" t="str">
        <f t="shared" si="3"/>
        <v/>
      </c>
      <c r="B36" s="147"/>
      <c r="C36" s="147"/>
      <c r="D36" s="147"/>
      <c r="E36" s="146" t="str">
        <f t="shared" si="4"/>
        <v/>
      </c>
      <c r="F36" s="147"/>
      <c r="G36" s="148"/>
      <c r="H36" s="146" t="str">
        <f t="shared" ca="1" si="5"/>
        <v/>
      </c>
      <c r="I36" s="147"/>
      <c r="J36" s="147"/>
      <c r="K36" s="147"/>
      <c r="L36" s="149"/>
      <c r="M36" s="149"/>
      <c r="N36" s="147"/>
      <c r="O36" s="147"/>
      <c r="P36" s="147"/>
      <c r="Q36" s="147"/>
      <c r="R36" s="147"/>
      <c r="S36" s="147"/>
      <c r="T36" s="147"/>
      <c r="U36" s="147"/>
      <c r="V36" s="148"/>
      <c r="W36" s="146" t="str">
        <f t="shared" si="6"/>
        <v/>
      </c>
      <c r="X36" s="146" t="str">
        <f t="shared" ca="1" si="7"/>
        <v/>
      </c>
      <c r="Y36" s="147"/>
      <c r="Z36" s="147"/>
      <c r="AA36" s="148"/>
      <c r="AB36" s="148"/>
      <c r="AC36" s="146" t="str">
        <f t="shared" si="8"/>
        <v/>
      </c>
      <c r="AD36" s="147"/>
      <c r="AE36" s="146" t="str">
        <f t="shared" ca="1" si="9"/>
        <v/>
      </c>
      <c r="AF36" s="150"/>
      <c r="AG36" s="147"/>
      <c r="AH36" s="147"/>
      <c r="AI36" s="150"/>
      <c r="AJ36" s="150"/>
      <c r="AK36" s="151" t="str">
        <f t="shared" si="10"/>
        <v/>
      </c>
      <c r="AL36" s="147"/>
      <c r="AM36" s="147"/>
      <c r="AN36" s="147"/>
      <c r="AO36" s="148"/>
      <c r="AP36" s="147"/>
      <c r="AQ36" s="149"/>
    </row>
    <row r="37" spans="1:43" ht="15.75" customHeight="1">
      <c r="A37" s="146" t="str">
        <f t="shared" si="3"/>
        <v/>
      </c>
      <c r="B37" s="147"/>
      <c r="C37" s="147"/>
      <c r="D37" s="147"/>
      <c r="E37" s="146" t="str">
        <f t="shared" si="4"/>
        <v/>
      </c>
      <c r="F37" s="147"/>
      <c r="G37" s="148"/>
      <c r="H37" s="146" t="str">
        <f t="shared" ca="1" si="5"/>
        <v/>
      </c>
      <c r="I37" s="147"/>
      <c r="J37" s="147"/>
      <c r="K37" s="147"/>
      <c r="L37" s="149"/>
      <c r="M37" s="149"/>
      <c r="N37" s="147"/>
      <c r="O37" s="147"/>
      <c r="P37" s="147"/>
      <c r="Q37" s="147"/>
      <c r="R37" s="147"/>
      <c r="S37" s="147"/>
      <c r="T37" s="147"/>
      <c r="U37" s="147"/>
      <c r="V37" s="148"/>
      <c r="W37" s="146" t="str">
        <f t="shared" si="6"/>
        <v/>
      </c>
      <c r="X37" s="146" t="str">
        <f t="shared" ca="1" si="7"/>
        <v/>
      </c>
      <c r="Y37" s="147"/>
      <c r="Z37" s="147"/>
      <c r="AA37" s="148"/>
      <c r="AB37" s="148"/>
      <c r="AC37" s="146" t="str">
        <f t="shared" si="8"/>
        <v/>
      </c>
      <c r="AD37" s="147"/>
      <c r="AE37" s="146" t="str">
        <f t="shared" ca="1" si="9"/>
        <v/>
      </c>
      <c r="AF37" s="150"/>
      <c r="AG37" s="147"/>
      <c r="AH37" s="147"/>
      <c r="AI37" s="150"/>
      <c r="AJ37" s="150"/>
      <c r="AK37" s="151" t="str">
        <f t="shared" si="10"/>
        <v/>
      </c>
      <c r="AL37" s="147"/>
      <c r="AM37" s="147"/>
      <c r="AN37" s="147"/>
      <c r="AO37" s="148"/>
      <c r="AP37" s="147"/>
      <c r="AQ37" s="149"/>
    </row>
    <row r="38" spans="1:43" ht="15.75" customHeight="1">
      <c r="A38" s="146" t="str">
        <f t="shared" si="3"/>
        <v/>
      </c>
      <c r="B38" s="147"/>
      <c r="C38" s="147"/>
      <c r="D38" s="147"/>
      <c r="E38" s="146" t="str">
        <f t="shared" si="4"/>
        <v/>
      </c>
      <c r="F38" s="147"/>
      <c r="G38" s="148"/>
      <c r="H38" s="146" t="str">
        <f t="shared" ca="1" si="5"/>
        <v/>
      </c>
      <c r="I38" s="147"/>
      <c r="J38" s="147"/>
      <c r="K38" s="147"/>
      <c r="L38" s="149"/>
      <c r="M38" s="149"/>
      <c r="N38" s="147"/>
      <c r="O38" s="147"/>
      <c r="P38" s="147"/>
      <c r="Q38" s="147"/>
      <c r="R38" s="147"/>
      <c r="S38" s="147"/>
      <c r="T38" s="147"/>
      <c r="U38" s="147"/>
      <c r="V38" s="148"/>
      <c r="W38" s="146" t="str">
        <f t="shared" si="6"/>
        <v/>
      </c>
      <c r="X38" s="146" t="str">
        <f t="shared" ca="1" si="7"/>
        <v/>
      </c>
      <c r="Y38" s="147"/>
      <c r="Z38" s="147"/>
      <c r="AA38" s="148"/>
      <c r="AB38" s="148"/>
      <c r="AC38" s="146" t="str">
        <f t="shared" si="8"/>
        <v/>
      </c>
      <c r="AD38" s="147"/>
      <c r="AE38" s="146" t="str">
        <f t="shared" ca="1" si="9"/>
        <v/>
      </c>
      <c r="AF38" s="150"/>
      <c r="AG38" s="147"/>
      <c r="AH38" s="147"/>
      <c r="AI38" s="150"/>
      <c r="AJ38" s="150"/>
      <c r="AK38" s="151" t="str">
        <f t="shared" si="10"/>
        <v/>
      </c>
      <c r="AL38" s="147"/>
      <c r="AM38" s="147"/>
      <c r="AN38" s="147"/>
      <c r="AO38" s="148"/>
      <c r="AP38" s="147"/>
      <c r="AQ38" s="149"/>
    </row>
    <row r="39" spans="1:43" ht="15.75" customHeight="1">
      <c r="A39" s="146" t="str">
        <f t="shared" si="3"/>
        <v/>
      </c>
      <c r="B39" s="147"/>
      <c r="C39" s="147"/>
      <c r="D39" s="147"/>
      <c r="E39" s="146" t="str">
        <f t="shared" si="4"/>
        <v/>
      </c>
      <c r="F39" s="147"/>
      <c r="G39" s="148"/>
      <c r="H39" s="146" t="str">
        <f t="shared" ca="1" si="5"/>
        <v/>
      </c>
      <c r="I39" s="147"/>
      <c r="J39" s="147"/>
      <c r="K39" s="147"/>
      <c r="L39" s="149"/>
      <c r="M39" s="149"/>
      <c r="N39" s="147"/>
      <c r="O39" s="147"/>
      <c r="P39" s="147"/>
      <c r="Q39" s="147"/>
      <c r="R39" s="147"/>
      <c r="S39" s="147"/>
      <c r="T39" s="147"/>
      <c r="U39" s="147"/>
      <c r="V39" s="148"/>
      <c r="W39" s="146" t="str">
        <f t="shared" si="6"/>
        <v/>
      </c>
      <c r="X39" s="146" t="str">
        <f t="shared" ca="1" si="7"/>
        <v/>
      </c>
      <c r="Y39" s="147"/>
      <c r="Z39" s="147"/>
      <c r="AA39" s="148"/>
      <c r="AB39" s="148"/>
      <c r="AC39" s="146" t="str">
        <f t="shared" si="8"/>
        <v/>
      </c>
      <c r="AD39" s="147"/>
      <c r="AE39" s="146" t="str">
        <f t="shared" ca="1" si="9"/>
        <v/>
      </c>
      <c r="AF39" s="150"/>
      <c r="AG39" s="147"/>
      <c r="AH39" s="147"/>
      <c r="AI39" s="150"/>
      <c r="AJ39" s="150"/>
      <c r="AK39" s="151" t="str">
        <f t="shared" si="10"/>
        <v/>
      </c>
      <c r="AL39" s="147"/>
      <c r="AM39" s="147"/>
      <c r="AN39" s="147"/>
      <c r="AO39" s="148"/>
      <c r="AP39" s="147"/>
      <c r="AQ39" s="149"/>
    </row>
    <row r="40" spans="1:43" ht="15.75" customHeight="1">
      <c r="A40" s="146" t="str">
        <f t="shared" si="3"/>
        <v/>
      </c>
      <c r="B40" s="147"/>
      <c r="C40" s="147"/>
      <c r="D40" s="147"/>
      <c r="E40" s="146" t="str">
        <f t="shared" si="4"/>
        <v/>
      </c>
      <c r="F40" s="147"/>
      <c r="G40" s="148"/>
      <c r="H40" s="146" t="str">
        <f t="shared" ca="1" si="5"/>
        <v/>
      </c>
      <c r="I40" s="147"/>
      <c r="J40" s="147"/>
      <c r="K40" s="147"/>
      <c r="L40" s="149"/>
      <c r="M40" s="149"/>
      <c r="N40" s="147"/>
      <c r="O40" s="147"/>
      <c r="P40" s="147"/>
      <c r="Q40" s="147"/>
      <c r="R40" s="147"/>
      <c r="S40" s="147"/>
      <c r="T40" s="147"/>
      <c r="U40" s="147"/>
      <c r="V40" s="148"/>
      <c r="W40" s="146" t="str">
        <f t="shared" si="6"/>
        <v/>
      </c>
      <c r="X40" s="146" t="str">
        <f t="shared" ca="1" si="7"/>
        <v/>
      </c>
      <c r="Y40" s="147"/>
      <c r="Z40" s="147"/>
      <c r="AA40" s="148"/>
      <c r="AB40" s="148"/>
      <c r="AC40" s="146" t="str">
        <f t="shared" si="8"/>
        <v/>
      </c>
      <c r="AD40" s="147"/>
      <c r="AE40" s="146" t="str">
        <f t="shared" ca="1" si="9"/>
        <v/>
      </c>
      <c r="AF40" s="150"/>
      <c r="AG40" s="147"/>
      <c r="AH40" s="147"/>
      <c r="AI40" s="150"/>
      <c r="AJ40" s="150"/>
      <c r="AK40" s="151" t="str">
        <f t="shared" si="10"/>
        <v/>
      </c>
      <c r="AL40" s="147"/>
      <c r="AM40" s="147"/>
      <c r="AN40" s="147"/>
      <c r="AO40" s="148"/>
      <c r="AP40" s="147"/>
      <c r="AQ40" s="149"/>
    </row>
    <row r="41" spans="1:43" ht="15.75" customHeight="1">
      <c r="A41" s="146" t="str">
        <f t="shared" si="3"/>
        <v/>
      </c>
      <c r="B41" s="147"/>
      <c r="C41" s="147"/>
      <c r="D41" s="147"/>
      <c r="E41" s="146" t="str">
        <f t="shared" si="4"/>
        <v/>
      </c>
      <c r="F41" s="147"/>
      <c r="G41" s="148"/>
      <c r="H41" s="146" t="str">
        <f t="shared" ca="1" si="5"/>
        <v/>
      </c>
      <c r="I41" s="147"/>
      <c r="J41" s="147"/>
      <c r="K41" s="147"/>
      <c r="L41" s="149"/>
      <c r="M41" s="149"/>
      <c r="N41" s="147"/>
      <c r="O41" s="147"/>
      <c r="P41" s="147"/>
      <c r="Q41" s="147"/>
      <c r="R41" s="147"/>
      <c r="S41" s="147"/>
      <c r="T41" s="147"/>
      <c r="U41" s="147"/>
      <c r="V41" s="148"/>
      <c r="W41" s="146" t="str">
        <f t="shared" si="6"/>
        <v/>
      </c>
      <c r="X41" s="146" t="str">
        <f t="shared" ca="1" si="7"/>
        <v/>
      </c>
      <c r="Y41" s="147"/>
      <c r="Z41" s="147"/>
      <c r="AA41" s="148"/>
      <c r="AB41" s="148"/>
      <c r="AC41" s="146" t="str">
        <f t="shared" si="8"/>
        <v/>
      </c>
      <c r="AD41" s="147"/>
      <c r="AE41" s="146" t="str">
        <f t="shared" ca="1" si="9"/>
        <v/>
      </c>
      <c r="AF41" s="150"/>
      <c r="AG41" s="147"/>
      <c r="AH41" s="147"/>
      <c r="AI41" s="150"/>
      <c r="AJ41" s="150"/>
      <c r="AK41" s="151" t="str">
        <f t="shared" si="10"/>
        <v/>
      </c>
      <c r="AL41" s="147"/>
      <c r="AM41" s="147"/>
      <c r="AN41" s="147"/>
      <c r="AO41" s="148"/>
      <c r="AP41" s="147"/>
      <c r="AQ41" s="149"/>
    </row>
    <row r="42" spans="1:43" ht="15.75" customHeight="1">
      <c r="A42" s="146" t="str">
        <f t="shared" si="3"/>
        <v/>
      </c>
      <c r="B42" s="147"/>
      <c r="C42" s="147"/>
      <c r="D42" s="147"/>
      <c r="E42" s="146" t="str">
        <f t="shared" si="4"/>
        <v/>
      </c>
      <c r="F42" s="147"/>
      <c r="G42" s="148"/>
      <c r="H42" s="146" t="str">
        <f t="shared" ca="1" si="5"/>
        <v/>
      </c>
      <c r="I42" s="147"/>
      <c r="J42" s="147"/>
      <c r="K42" s="147"/>
      <c r="L42" s="149"/>
      <c r="M42" s="149"/>
      <c r="N42" s="147"/>
      <c r="O42" s="147"/>
      <c r="P42" s="147"/>
      <c r="Q42" s="147"/>
      <c r="R42" s="147"/>
      <c r="S42" s="147"/>
      <c r="T42" s="147"/>
      <c r="U42" s="147"/>
      <c r="V42" s="148"/>
      <c r="W42" s="146" t="str">
        <f t="shared" si="6"/>
        <v/>
      </c>
      <c r="X42" s="146" t="str">
        <f t="shared" ca="1" si="7"/>
        <v/>
      </c>
      <c r="Y42" s="147"/>
      <c r="Z42" s="147"/>
      <c r="AA42" s="148"/>
      <c r="AB42" s="148"/>
      <c r="AC42" s="146" t="str">
        <f t="shared" si="8"/>
        <v/>
      </c>
      <c r="AD42" s="147"/>
      <c r="AE42" s="146" t="str">
        <f t="shared" ca="1" si="9"/>
        <v/>
      </c>
      <c r="AF42" s="150"/>
      <c r="AG42" s="147"/>
      <c r="AH42" s="147"/>
      <c r="AI42" s="150"/>
      <c r="AJ42" s="150"/>
      <c r="AK42" s="151" t="str">
        <f t="shared" si="10"/>
        <v/>
      </c>
      <c r="AL42" s="147"/>
      <c r="AM42" s="147"/>
      <c r="AN42" s="147"/>
      <c r="AO42" s="148"/>
      <c r="AP42" s="147"/>
      <c r="AQ42" s="149"/>
    </row>
    <row r="43" spans="1:43" ht="15.75" customHeight="1">
      <c r="A43" s="146" t="str">
        <f t="shared" si="3"/>
        <v/>
      </c>
      <c r="B43" s="147"/>
      <c r="C43" s="147"/>
      <c r="D43" s="147"/>
      <c r="E43" s="146" t="str">
        <f t="shared" si="4"/>
        <v/>
      </c>
      <c r="F43" s="147"/>
      <c r="G43" s="148"/>
      <c r="H43" s="146" t="str">
        <f t="shared" ca="1" si="5"/>
        <v/>
      </c>
      <c r="I43" s="147"/>
      <c r="J43" s="147"/>
      <c r="K43" s="147"/>
      <c r="L43" s="149"/>
      <c r="M43" s="149"/>
      <c r="N43" s="147"/>
      <c r="O43" s="147"/>
      <c r="P43" s="147"/>
      <c r="Q43" s="147"/>
      <c r="R43" s="147"/>
      <c r="S43" s="147"/>
      <c r="T43" s="147"/>
      <c r="U43" s="147"/>
      <c r="V43" s="148"/>
      <c r="W43" s="146" t="str">
        <f t="shared" si="6"/>
        <v/>
      </c>
      <c r="X43" s="146" t="str">
        <f t="shared" ca="1" si="7"/>
        <v/>
      </c>
      <c r="Y43" s="147"/>
      <c r="Z43" s="147"/>
      <c r="AA43" s="148"/>
      <c r="AB43" s="148"/>
      <c r="AC43" s="146" t="str">
        <f t="shared" si="8"/>
        <v/>
      </c>
      <c r="AD43" s="147"/>
      <c r="AE43" s="146" t="str">
        <f t="shared" ca="1" si="9"/>
        <v/>
      </c>
      <c r="AF43" s="150"/>
      <c r="AG43" s="147"/>
      <c r="AH43" s="147"/>
      <c r="AI43" s="150"/>
      <c r="AJ43" s="150"/>
      <c r="AK43" s="151" t="str">
        <f t="shared" si="10"/>
        <v/>
      </c>
      <c r="AL43" s="147"/>
      <c r="AM43" s="147"/>
      <c r="AN43" s="147"/>
      <c r="AO43" s="148"/>
      <c r="AP43" s="147"/>
      <c r="AQ43" s="149"/>
    </row>
    <row r="44" spans="1:43" ht="15.75" customHeight="1">
      <c r="A44" s="146" t="str">
        <f t="shared" si="3"/>
        <v/>
      </c>
      <c r="B44" s="147"/>
      <c r="C44" s="147"/>
      <c r="D44" s="147"/>
      <c r="E44" s="146" t="str">
        <f t="shared" si="4"/>
        <v/>
      </c>
      <c r="F44" s="147"/>
      <c r="G44" s="148"/>
      <c r="H44" s="146" t="str">
        <f t="shared" ca="1" si="5"/>
        <v/>
      </c>
      <c r="I44" s="147"/>
      <c r="J44" s="147"/>
      <c r="K44" s="147"/>
      <c r="L44" s="149"/>
      <c r="M44" s="149"/>
      <c r="N44" s="147"/>
      <c r="O44" s="147"/>
      <c r="P44" s="147"/>
      <c r="Q44" s="147"/>
      <c r="R44" s="147"/>
      <c r="S44" s="147"/>
      <c r="T44" s="147"/>
      <c r="U44" s="147"/>
      <c r="V44" s="148"/>
      <c r="W44" s="146" t="str">
        <f t="shared" si="6"/>
        <v/>
      </c>
      <c r="X44" s="146" t="str">
        <f t="shared" ca="1" si="7"/>
        <v/>
      </c>
      <c r="Y44" s="147"/>
      <c r="Z44" s="147"/>
      <c r="AA44" s="148"/>
      <c r="AB44" s="148"/>
      <c r="AC44" s="146" t="str">
        <f t="shared" si="8"/>
        <v/>
      </c>
      <c r="AD44" s="147"/>
      <c r="AE44" s="146" t="str">
        <f t="shared" ca="1" si="9"/>
        <v/>
      </c>
      <c r="AF44" s="150"/>
      <c r="AG44" s="147"/>
      <c r="AH44" s="147"/>
      <c r="AI44" s="150"/>
      <c r="AJ44" s="150"/>
      <c r="AK44" s="151" t="str">
        <f t="shared" si="10"/>
        <v/>
      </c>
      <c r="AL44" s="147"/>
      <c r="AM44" s="147"/>
      <c r="AN44" s="147"/>
      <c r="AO44" s="148"/>
      <c r="AP44" s="147"/>
      <c r="AQ44" s="149"/>
    </row>
    <row r="45" spans="1:43" ht="15.75" customHeight="1">
      <c r="A45" s="146" t="str">
        <f t="shared" si="3"/>
        <v/>
      </c>
      <c r="B45" s="147"/>
      <c r="C45" s="147"/>
      <c r="D45" s="147"/>
      <c r="E45" s="146" t="str">
        <f t="shared" si="4"/>
        <v/>
      </c>
      <c r="F45" s="147"/>
      <c r="G45" s="148"/>
      <c r="H45" s="146" t="str">
        <f t="shared" ca="1" si="5"/>
        <v/>
      </c>
      <c r="I45" s="147"/>
      <c r="J45" s="147"/>
      <c r="K45" s="147"/>
      <c r="L45" s="149"/>
      <c r="M45" s="149"/>
      <c r="N45" s="147"/>
      <c r="O45" s="147"/>
      <c r="P45" s="147"/>
      <c r="Q45" s="147"/>
      <c r="R45" s="147"/>
      <c r="S45" s="147"/>
      <c r="T45" s="147"/>
      <c r="U45" s="147"/>
      <c r="V45" s="148"/>
      <c r="W45" s="146" t="str">
        <f t="shared" si="6"/>
        <v/>
      </c>
      <c r="X45" s="146" t="str">
        <f t="shared" ca="1" si="7"/>
        <v/>
      </c>
      <c r="Y45" s="147"/>
      <c r="Z45" s="147"/>
      <c r="AA45" s="148"/>
      <c r="AB45" s="148"/>
      <c r="AC45" s="146" t="str">
        <f t="shared" si="8"/>
        <v/>
      </c>
      <c r="AD45" s="147"/>
      <c r="AE45" s="146" t="str">
        <f t="shared" ca="1" si="9"/>
        <v/>
      </c>
      <c r="AF45" s="150"/>
      <c r="AG45" s="147"/>
      <c r="AH45" s="147"/>
      <c r="AI45" s="150"/>
      <c r="AJ45" s="150"/>
      <c r="AK45" s="151" t="str">
        <f t="shared" si="10"/>
        <v/>
      </c>
      <c r="AL45" s="147"/>
      <c r="AM45" s="147"/>
      <c r="AN45" s="147"/>
      <c r="AO45" s="148"/>
      <c r="AP45" s="147"/>
      <c r="AQ45" s="149"/>
    </row>
    <row r="46" spans="1:43" ht="15.75" customHeight="1">
      <c r="A46" s="146" t="str">
        <f t="shared" si="3"/>
        <v/>
      </c>
      <c r="B46" s="147"/>
      <c r="C46" s="147"/>
      <c r="D46" s="147"/>
      <c r="E46" s="146" t="str">
        <f t="shared" si="4"/>
        <v/>
      </c>
      <c r="F46" s="147"/>
      <c r="G46" s="148"/>
      <c r="H46" s="146" t="str">
        <f t="shared" ca="1" si="5"/>
        <v/>
      </c>
      <c r="I46" s="147"/>
      <c r="J46" s="147"/>
      <c r="K46" s="147"/>
      <c r="L46" s="149"/>
      <c r="M46" s="149"/>
      <c r="N46" s="147"/>
      <c r="O46" s="147"/>
      <c r="P46" s="147"/>
      <c r="Q46" s="147"/>
      <c r="R46" s="147"/>
      <c r="S46" s="147"/>
      <c r="T46" s="147"/>
      <c r="U46" s="147"/>
      <c r="V46" s="148"/>
      <c r="W46" s="146" t="str">
        <f t="shared" si="6"/>
        <v/>
      </c>
      <c r="X46" s="146" t="str">
        <f t="shared" ca="1" si="7"/>
        <v/>
      </c>
      <c r="Y46" s="147"/>
      <c r="Z46" s="147"/>
      <c r="AA46" s="148"/>
      <c r="AB46" s="148"/>
      <c r="AC46" s="146" t="str">
        <f t="shared" si="8"/>
        <v/>
      </c>
      <c r="AD46" s="147"/>
      <c r="AE46" s="146" t="str">
        <f t="shared" ca="1" si="9"/>
        <v/>
      </c>
      <c r="AF46" s="150"/>
      <c r="AG46" s="147"/>
      <c r="AH46" s="147"/>
      <c r="AI46" s="150"/>
      <c r="AJ46" s="150"/>
      <c r="AK46" s="151" t="str">
        <f t="shared" si="10"/>
        <v/>
      </c>
      <c r="AL46" s="147"/>
      <c r="AM46" s="147"/>
      <c r="AN46" s="147"/>
      <c r="AO46" s="148"/>
      <c r="AP46" s="147"/>
      <c r="AQ46" s="149"/>
    </row>
    <row r="47" spans="1:43" ht="15.75" customHeight="1">
      <c r="A47" s="146" t="str">
        <f t="shared" si="3"/>
        <v/>
      </c>
      <c r="B47" s="147"/>
      <c r="C47" s="147"/>
      <c r="D47" s="147"/>
      <c r="E47" s="146" t="str">
        <f t="shared" si="4"/>
        <v/>
      </c>
      <c r="F47" s="147"/>
      <c r="G47" s="148"/>
      <c r="H47" s="146" t="str">
        <f t="shared" ca="1" si="5"/>
        <v/>
      </c>
      <c r="I47" s="147"/>
      <c r="J47" s="147"/>
      <c r="K47" s="147"/>
      <c r="L47" s="149"/>
      <c r="M47" s="149"/>
      <c r="N47" s="147"/>
      <c r="O47" s="147"/>
      <c r="P47" s="147"/>
      <c r="Q47" s="147"/>
      <c r="R47" s="147"/>
      <c r="S47" s="147"/>
      <c r="T47" s="147"/>
      <c r="U47" s="147"/>
      <c r="V47" s="148"/>
      <c r="W47" s="146" t="str">
        <f t="shared" si="6"/>
        <v/>
      </c>
      <c r="X47" s="146" t="str">
        <f t="shared" ca="1" si="7"/>
        <v/>
      </c>
      <c r="Y47" s="147"/>
      <c r="Z47" s="147"/>
      <c r="AA47" s="148"/>
      <c r="AB47" s="148"/>
      <c r="AC47" s="146" t="str">
        <f t="shared" si="8"/>
        <v/>
      </c>
      <c r="AD47" s="147"/>
      <c r="AE47" s="146" t="str">
        <f t="shared" ca="1" si="9"/>
        <v/>
      </c>
      <c r="AF47" s="150"/>
      <c r="AG47" s="147"/>
      <c r="AH47" s="147"/>
      <c r="AI47" s="150"/>
      <c r="AJ47" s="150"/>
      <c r="AK47" s="151" t="str">
        <f t="shared" si="10"/>
        <v/>
      </c>
      <c r="AL47" s="147"/>
      <c r="AM47" s="147"/>
      <c r="AN47" s="147"/>
      <c r="AO47" s="148"/>
      <c r="AP47" s="147"/>
      <c r="AQ47" s="149"/>
    </row>
    <row r="48" spans="1:43" ht="15.75" customHeight="1">
      <c r="A48" s="146" t="str">
        <f t="shared" si="3"/>
        <v/>
      </c>
      <c r="B48" s="147"/>
      <c r="C48" s="147"/>
      <c r="D48" s="147"/>
      <c r="E48" s="146" t="str">
        <f t="shared" si="4"/>
        <v/>
      </c>
      <c r="F48" s="147"/>
      <c r="G48" s="148"/>
      <c r="H48" s="146" t="str">
        <f t="shared" ca="1" si="5"/>
        <v/>
      </c>
      <c r="I48" s="147"/>
      <c r="J48" s="147"/>
      <c r="K48" s="147"/>
      <c r="L48" s="149"/>
      <c r="M48" s="149"/>
      <c r="N48" s="147"/>
      <c r="O48" s="147"/>
      <c r="P48" s="147"/>
      <c r="Q48" s="147"/>
      <c r="R48" s="147"/>
      <c r="S48" s="147"/>
      <c r="T48" s="147"/>
      <c r="U48" s="147"/>
      <c r="V48" s="148"/>
      <c r="W48" s="146" t="str">
        <f t="shared" si="6"/>
        <v/>
      </c>
      <c r="X48" s="146" t="str">
        <f t="shared" ca="1" si="7"/>
        <v/>
      </c>
      <c r="Y48" s="147"/>
      <c r="Z48" s="147"/>
      <c r="AA48" s="148"/>
      <c r="AB48" s="148"/>
      <c r="AC48" s="146" t="str">
        <f t="shared" si="8"/>
        <v/>
      </c>
      <c r="AD48" s="147"/>
      <c r="AE48" s="146" t="str">
        <f t="shared" ca="1" si="9"/>
        <v/>
      </c>
      <c r="AF48" s="150"/>
      <c r="AG48" s="147"/>
      <c r="AH48" s="147"/>
      <c r="AI48" s="150"/>
      <c r="AJ48" s="150"/>
      <c r="AK48" s="151" t="str">
        <f t="shared" si="10"/>
        <v/>
      </c>
      <c r="AL48" s="147"/>
      <c r="AM48" s="147"/>
      <c r="AN48" s="147"/>
      <c r="AO48" s="148"/>
      <c r="AP48" s="147"/>
      <c r="AQ48" s="149"/>
    </row>
    <row r="49" spans="1:43" ht="15.75" customHeight="1">
      <c r="A49" s="146" t="str">
        <f t="shared" si="3"/>
        <v/>
      </c>
      <c r="B49" s="147"/>
      <c r="C49" s="147"/>
      <c r="D49" s="147"/>
      <c r="E49" s="146" t="str">
        <f t="shared" si="4"/>
        <v/>
      </c>
      <c r="F49" s="147"/>
      <c r="G49" s="148"/>
      <c r="H49" s="146" t="str">
        <f t="shared" ca="1" si="5"/>
        <v/>
      </c>
      <c r="I49" s="147"/>
      <c r="J49" s="147"/>
      <c r="K49" s="147"/>
      <c r="L49" s="149"/>
      <c r="M49" s="149"/>
      <c r="N49" s="147"/>
      <c r="O49" s="147"/>
      <c r="P49" s="147"/>
      <c r="Q49" s="147"/>
      <c r="R49" s="147"/>
      <c r="S49" s="147"/>
      <c r="T49" s="147"/>
      <c r="U49" s="147"/>
      <c r="V49" s="148"/>
      <c r="W49" s="146" t="str">
        <f t="shared" si="6"/>
        <v/>
      </c>
      <c r="X49" s="146" t="str">
        <f t="shared" ca="1" si="7"/>
        <v/>
      </c>
      <c r="Y49" s="147"/>
      <c r="Z49" s="147"/>
      <c r="AA49" s="148"/>
      <c r="AB49" s="148"/>
      <c r="AC49" s="146" t="str">
        <f t="shared" si="8"/>
        <v/>
      </c>
      <c r="AD49" s="147"/>
      <c r="AE49" s="146" t="str">
        <f t="shared" ca="1" si="9"/>
        <v/>
      </c>
      <c r="AF49" s="150"/>
      <c r="AG49" s="147"/>
      <c r="AH49" s="147"/>
      <c r="AI49" s="150"/>
      <c r="AJ49" s="150"/>
      <c r="AK49" s="151" t="str">
        <f t="shared" si="10"/>
        <v/>
      </c>
      <c r="AL49" s="147"/>
      <c r="AM49" s="147"/>
      <c r="AN49" s="147"/>
      <c r="AO49" s="148"/>
      <c r="AP49" s="147"/>
      <c r="AQ49" s="149"/>
    </row>
    <row r="50" spans="1:43" ht="15.75" customHeight="1">
      <c r="A50" s="146" t="str">
        <f t="shared" si="3"/>
        <v/>
      </c>
      <c r="B50" s="147"/>
      <c r="C50" s="147"/>
      <c r="D50" s="147"/>
      <c r="E50" s="146" t="str">
        <f t="shared" si="4"/>
        <v/>
      </c>
      <c r="F50" s="147"/>
      <c r="G50" s="148"/>
      <c r="H50" s="146" t="str">
        <f t="shared" ca="1" si="5"/>
        <v/>
      </c>
      <c r="I50" s="147"/>
      <c r="J50" s="147"/>
      <c r="K50" s="147"/>
      <c r="L50" s="149"/>
      <c r="M50" s="149"/>
      <c r="N50" s="147"/>
      <c r="O50" s="147"/>
      <c r="P50" s="147"/>
      <c r="Q50" s="147"/>
      <c r="R50" s="147"/>
      <c r="S50" s="147"/>
      <c r="T50" s="147"/>
      <c r="U50" s="147"/>
      <c r="V50" s="148"/>
      <c r="W50" s="146" t="str">
        <f t="shared" si="6"/>
        <v/>
      </c>
      <c r="X50" s="146" t="str">
        <f t="shared" ca="1" si="7"/>
        <v/>
      </c>
      <c r="Y50" s="147"/>
      <c r="Z50" s="147"/>
      <c r="AA50" s="148"/>
      <c r="AB50" s="148"/>
      <c r="AC50" s="146" t="str">
        <f t="shared" si="8"/>
        <v/>
      </c>
      <c r="AD50" s="147"/>
      <c r="AE50" s="146" t="str">
        <f t="shared" ca="1" si="9"/>
        <v/>
      </c>
      <c r="AF50" s="150"/>
      <c r="AG50" s="147"/>
      <c r="AH50" s="147"/>
      <c r="AI50" s="150"/>
      <c r="AJ50" s="150"/>
      <c r="AK50" s="151" t="str">
        <f t="shared" si="10"/>
        <v/>
      </c>
      <c r="AL50" s="147"/>
      <c r="AM50" s="147"/>
      <c r="AN50" s="147"/>
      <c r="AO50" s="148"/>
      <c r="AP50" s="147"/>
      <c r="AQ50" s="149"/>
    </row>
    <row r="51" spans="1:43" ht="15.75" customHeight="1">
      <c r="A51" s="146" t="str">
        <f t="shared" si="3"/>
        <v/>
      </c>
      <c r="B51" s="147"/>
      <c r="C51" s="147"/>
      <c r="D51" s="147"/>
      <c r="E51" s="146" t="str">
        <f t="shared" si="4"/>
        <v/>
      </c>
      <c r="F51" s="147"/>
      <c r="G51" s="148"/>
      <c r="H51" s="146" t="str">
        <f t="shared" ca="1" si="5"/>
        <v/>
      </c>
      <c r="I51" s="147"/>
      <c r="J51" s="147"/>
      <c r="K51" s="147"/>
      <c r="L51" s="149"/>
      <c r="M51" s="149"/>
      <c r="N51" s="147"/>
      <c r="O51" s="147"/>
      <c r="P51" s="147"/>
      <c r="Q51" s="147"/>
      <c r="R51" s="147"/>
      <c r="S51" s="147"/>
      <c r="T51" s="147"/>
      <c r="U51" s="147"/>
      <c r="V51" s="148"/>
      <c r="W51" s="146" t="str">
        <f t="shared" si="6"/>
        <v/>
      </c>
      <c r="X51" s="146" t="str">
        <f t="shared" ca="1" si="7"/>
        <v/>
      </c>
      <c r="Y51" s="147"/>
      <c r="Z51" s="147"/>
      <c r="AA51" s="148"/>
      <c r="AB51" s="148"/>
      <c r="AC51" s="146" t="str">
        <f t="shared" si="8"/>
        <v/>
      </c>
      <c r="AD51" s="147"/>
      <c r="AE51" s="146" t="str">
        <f t="shared" ca="1" si="9"/>
        <v/>
      </c>
      <c r="AF51" s="150"/>
      <c r="AG51" s="147"/>
      <c r="AH51" s="147"/>
      <c r="AI51" s="150"/>
      <c r="AJ51" s="150"/>
      <c r="AK51" s="151" t="str">
        <f t="shared" si="10"/>
        <v/>
      </c>
      <c r="AL51" s="147"/>
      <c r="AM51" s="147"/>
      <c r="AN51" s="147"/>
      <c r="AO51" s="148"/>
      <c r="AP51" s="147"/>
      <c r="AQ51" s="149"/>
    </row>
    <row r="52" spans="1:43" ht="15.75" customHeight="1">
      <c r="A52" s="146" t="str">
        <f t="shared" si="3"/>
        <v/>
      </c>
      <c r="B52" s="147"/>
      <c r="C52" s="147"/>
      <c r="D52" s="147"/>
      <c r="E52" s="146" t="str">
        <f t="shared" si="4"/>
        <v/>
      </c>
      <c r="F52" s="147"/>
      <c r="G52" s="148"/>
      <c r="H52" s="146" t="str">
        <f t="shared" ca="1" si="5"/>
        <v/>
      </c>
      <c r="I52" s="147"/>
      <c r="J52" s="147"/>
      <c r="K52" s="147"/>
      <c r="L52" s="149"/>
      <c r="M52" s="149"/>
      <c r="N52" s="147"/>
      <c r="O52" s="147"/>
      <c r="P52" s="147"/>
      <c r="Q52" s="147"/>
      <c r="R52" s="147"/>
      <c r="S52" s="147"/>
      <c r="T52" s="147"/>
      <c r="U52" s="147"/>
      <c r="V52" s="148"/>
      <c r="W52" s="146" t="str">
        <f t="shared" si="6"/>
        <v/>
      </c>
      <c r="X52" s="146" t="str">
        <f t="shared" ca="1" si="7"/>
        <v/>
      </c>
      <c r="Y52" s="147"/>
      <c r="Z52" s="147"/>
      <c r="AA52" s="148"/>
      <c r="AB52" s="148"/>
      <c r="AC52" s="146" t="str">
        <f t="shared" si="8"/>
        <v/>
      </c>
      <c r="AD52" s="147"/>
      <c r="AE52" s="146" t="str">
        <f t="shared" ca="1" si="9"/>
        <v/>
      </c>
      <c r="AF52" s="150"/>
      <c r="AG52" s="147"/>
      <c r="AH52" s="147"/>
      <c r="AI52" s="150"/>
      <c r="AJ52" s="150"/>
      <c r="AK52" s="151" t="str">
        <f t="shared" si="10"/>
        <v/>
      </c>
      <c r="AL52" s="147"/>
      <c r="AM52" s="147"/>
      <c r="AN52" s="147"/>
      <c r="AO52" s="148"/>
      <c r="AP52" s="147"/>
      <c r="AQ52" s="149"/>
    </row>
    <row r="53" spans="1:43" ht="15.75" customHeight="1">
      <c r="A53" s="146" t="str">
        <f t="shared" si="3"/>
        <v/>
      </c>
      <c r="B53" s="147"/>
      <c r="C53" s="147"/>
      <c r="D53" s="147"/>
      <c r="E53" s="146" t="str">
        <f t="shared" si="4"/>
        <v/>
      </c>
      <c r="F53" s="147"/>
      <c r="G53" s="148"/>
      <c r="H53" s="146" t="str">
        <f t="shared" ca="1" si="5"/>
        <v/>
      </c>
      <c r="I53" s="147"/>
      <c r="J53" s="147"/>
      <c r="K53" s="147"/>
      <c r="L53" s="149"/>
      <c r="M53" s="149"/>
      <c r="N53" s="147"/>
      <c r="O53" s="147"/>
      <c r="P53" s="147"/>
      <c r="Q53" s="147"/>
      <c r="R53" s="147"/>
      <c r="S53" s="147"/>
      <c r="T53" s="147"/>
      <c r="U53" s="147"/>
      <c r="V53" s="148"/>
      <c r="W53" s="146" t="str">
        <f t="shared" si="6"/>
        <v/>
      </c>
      <c r="X53" s="146" t="str">
        <f t="shared" ca="1" si="7"/>
        <v/>
      </c>
      <c r="Y53" s="147"/>
      <c r="Z53" s="147"/>
      <c r="AA53" s="148"/>
      <c r="AB53" s="148"/>
      <c r="AC53" s="146" t="str">
        <f t="shared" si="8"/>
        <v/>
      </c>
      <c r="AD53" s="147"/>
      <c r="AE53" s="146" t="str">
        <f t="shared" ca="1" si="9"/>
        <v/>
      </c>
      <c r="AF53" s="150"/>
      <c r="AG53" s="147"/>
      <c r="AH53" s="147"/>
      <c r="AI53" s="150"/>
      <c r="AJ53" s="150"/>
      <c r="AK53" s="151" t="str">
        <f t="shared" si="10"/>
        <v/>
      </c>
      <c r="AL53" s="147"/>
      <c r="AM53" s="147"/>
      <c r="AN53" s="147"/>
      <c r="AO53" s="148"/>
      <c r="AP53" s="147"/>
      <c r="AQ53" s="149"/>
    </row>
    <row r="54" spans="1:43" ht="15.75" customHeight="1">
      <c r="A54" s="146" t="str">
        <f t="shared" si="3"/>
        <v/>
      </c>
      <c r="B54" s="147"/>
      <c r="C54" s="147"/>
      <c r="D54" s="147"/>
      <c r="E54" s="146" t="str">
        <f t="shared" si="4"/>
        <v/>
      </c>
      <c r="F54" s="147"/>
      <c r="G54" s="148"/>
      <c r="H54" s="146" t="str">
        <f t="shared" ca="1" si="5"/>
        <v/>
      </c>
      <c r="I54" s="147"/>
      <c r="J54" s="147"/>
      <c r="K54" s="147"/>
      <c r="L54" s="149"/>
      <c r="M54" s="149"/>
      <c r="N54" s="147"/>
      <c r="O54" s="147"/>
      <c r="P54" s="147"/>
      <c r="Q54" s="147"/>
      <c r="R54" s="147"/>
      <c r="S54" s="147"/>
      <c r="T54" s="147"/>
      <c r="U54" s="147"/>
      <c r="V54" s="148"/>
      <c r="W54" s="146" t="str">
        <f t="shared" si="6"/>
        <v/>
      </c>
      <c r="X54" s="146" t="str">
        <f t="shared" ca="1" si="7"/>
        <v/>
      </c>
      <c r="Y54" s="147"/>
      <c r="Z54" s="147"/>
      <c r="AA54" s="148"/>
      <c r="AB54" s="148"/>
      <c r="AC54" s="146" t="str">
        <f t="shared" si="8"/>
        <v/>
      </c>
      <c r="AD54" s="147"/>
      <c r="AE54" s="146" t="str">
        <f t="shared" ca="1" si="9"/>
        <v/>
      </c>
      <c r="AF54" s="150"/>
      <c r="AG54" s="147"/>
      <c r="AH54" s="147"/>
      <c r="AI54" s="150"/>
      <c r="AJ54" s="150"/>
      <c r="AK54" s="151" t="str">
        <f t="shared" si="10"/>
        <v/>
      </c>
      <c r="AL54" s="147"/>
      <c r="AM54" s="147"/>
      <c r="AN54" s="147"/>
      <c r="AO54" s="148"/>
      <c r="AP54" s="147"/>
      <c r="AQ54" s="149"/>
    </row>
    <row r="55" spans="1:43" ht="15.75" customHeight="1">
      <c r="A55" s="146" t="str">
        <f t="shared" si="3"/>
        <v/>
      </c>
      <c r="B55" s="147"/>
      <c r="C55" s="147"/>
      <c r="D55" s="147"/>
      <c r="E55" s="146" t="str">
        <f t="shared" si="4"/>
        <v/>
      </c>
      <c r="F55" s="147"/>
      <c r="G55" s="148"/>
      <c r="H55" s="146" t="str">
        <f t="shared" ca="1" si="5"/>
        <v/>
      </c>
      <c r="I55" s="147"/>
      <c r="J55" s="147"/>
      <c r="K55" s="147"/>
      <c r="L55" s="149"/>
      <c r="M55" s="149"/>
      <c r="N55" s="147"/>
      <c r="O55" s="147"/>
      <c r="P55" s="147"/>
      <c r="Q55" s="147"/>
      <c r="R55" s="147"/>
      <c r="S55" s="147"/>
      <c r="T55" s="147"/>
      <c r="U55" s="147"/>
      <c r="V55" s="148"/>
      <c r="W55" s="146" t="str">
        <f t="shared" si="6"/>
        <v/>
      </c>
      <c r="X55" s="146" t="str">
        <f t="shared" ca="1" si="7"/>
        <v/>
      </c>
      <c r="Y55" s="147"/>
      <c r="Z55" s="147"/>
      <c r="AA55" s="148"/>
      <c r="AB55" s="148"/>
      <c r="AC55" s="146" t="str">
        <f t="shared" si="8"/>
        <v/>
      </c>
      <c r="AD55" s="147"/>
      <c r="AE55" s="146" t="str">
        <f t="shared" ca="1" si="9"/>
        <v/>
      </c>
      <c r="AF55" s="150"/>
      <c r="AG55" s="147"/>
      <c r="AH55" s="147"/>
      <c r="AI55" s="150"/>
      <c r="AJ55" s="150"/>
      <c r="AK55" s="151" t="str">
        <f t="shared" si="10"/>
        <v/>
      </c>
      <c r="AL55" s="147"/>
      <c r="AM55" s="147"/>
      <c r="AN55" s="147"/>
      <c r="AO55" s="148"/>
      <c r="AP55" s="147"/>
      <c r="AQ55" s="149"/>
    </row>
    <row r="56" spans="1:43" ht="15.75" customHeight="1">
      <c r="A56" s="146" t="str">
        <f t="shared" si="3"/>
        <v/>
      </c>
      <c r="B56" s="147"/>
      <c r="C56" s="147"/>
      <c r="D56" s="147"/>
      <c r="E56" s="146" t="str">
        <f t="shared" si="4"/>
        <v/>
      </c>
      <c r="F56" s="147"/>
      <c r="G56" s="148"/>
      <c r="H56" s="146" t="str">
        <f t="shared" ca="1" si="5"/>
        <v/>
      </c>
      <c r="I56" s="147"/>
      <c r="J56" s="147"/>
      <c r="K56" s="147"/>
      <c r="L56" s="149"/>
      <c r="M56" s="149"/>
      <c r="N56" s="147"/>
      <c r="O56" s="147"/>
      <c r="P56" s="147"/>
      <c r="Q56" s="147"/>
      <c r="R56" s="147"/>
      <c r="S56" s="147"/>
      <c r="T56" s="147"/>
      <c r="U56" s="147"/>
      <c r="V56" s="148"/>
      <c r="W56" s="146" t="str">
        <f t="shared" si="6"/>
        <v/>
      </c>
      <c r="X56" s="146" t="str">
        <f t="shared" ca="1" si="7"/>
        <v/>
      </c>
      <c r="Y56" s="147"/>
      <c r="Z56" s="147"/>
      <c r="AA56" s="148"/>
      <c r="AB56" s="148"/>
      <c r="AC56" s="146" t="str">
        <f t="shared" si="8"/>
        <v/>
      </c>
      <c r="AD56" s="147"/>
      <c r="AE56" s="146" t="str">
        <f t="shared" ca="1" si="9"/>
        <v/>
      </c>
      <c r="AF56" s="150"/>
      <c r="AG56" s="147"/>
      <c r="AH56" s="147"/>
      <c r="AI56" s="150"/>
      <c r="AJ56" s="150"/>
      <c r="AK56" s="151" t="str">
        <f t="shared" si="10"/>
        <v/>
      </c>
      <c r="AL56" s="147"/>
      <c r="AM56" s="147"/>
      <c r="AN56" s="147"/>
      <c r="AO56" s="148"/>
      <c r="AP56" s="147"/>
      <c r="AQ56" s="149"/>
    </row>
    <row r="57" spans="1:43" ht="15.75" customHeight="1">
      <c r="A57" s="146" t="str">
        <f t="shared" si="3"/>
        <v/>
      </c>
      <c r="B57" s="147"/>
      <c r="C57" s="147"/>
      <c r="D57" s="147"/>
      <c r="E57" s="146" t="str">
        <f t="shared" si="4"/>
        <v/>
      </c>
      <c r="F57" s="147"/>
      <c r="G57" s="148"/>
      <c r="H57" s="146" t="str">
        <f t="shared" ca="1" si="5"/>
        <v/>
      </c>
      <c r="I57" s="147"/>
      <c r="J57" s="147"/>
      <c r="K57" s="147"/>
      <c r="L57" s="149"/>
      <c r="M57" s="149"/>
      <c r="N57" s="147"/>
      <c r="O57" s="147"/>
      <c r="P57" s="147"/>
      <c r="Q57" s="147"/>
      <c r="R57" s="147"/>
      <c r="S57" s="147"/>
      <c r="T57" s="147"/>
      <c r="U57" s="147"/>
      <c r="V57" s="148"/>
      <c r="W57" s="146" t="str">
        <f t="shared" si="6"/>
        <v/>
      </c>
      <c r="X57" s="146" t="str">
        <f t="shared" ca="1" si="7"/>
        <v/>
      </c>
      <c r="Y57" s="147"/>
      <c r="Z57" s="147"/>
      <c r="AA57" s="148"/>
      <c r="AB57" s="148"/>
      <c r="AC57" s="146" t="str">
        <f t="shared" si="8"/>
        <v/>
      </c>
      <c r="AD57" s="147"/>
      <c r="AE57" s="146" t="str">
        <f t="shared" ca="1" si="9"/>
        <v/>
      </c>
      <c r="AF57" s="150"/>
      <c r="AG57" s="147"/>
      <c r="AH57" s="147"/>
      <c r="AI57" s="150"/>
      <c r="AJ57" s="150"/>
      <c r="AK57" s="151" t="str">
        <f t="shared" si="10"/>
        <v/>
      </c>
      <c r="AL57" s="147"/>
      <c r="AM57" s="147"/>
      <c r="AN57" s="147"/>
      <c r="AO57" s="148"/>
      <c r="AP57" s="147"/>
      <c r="AQ57" s="149"/>
    </row>
    <row r="58" spans="1:43" ht="15.75" customHeight="1">
      <c r="A58" s="146" t="str">
        <f t="shared" si="3"/>
        <v/>
      </c>
      <c r="B58" s="147"/>
      <c r="C58" s="147"/>
      <c r="D58" s="147"/>
      <c r="E58" s="146" t="str">
        <f t="shared" si="4"/>
        <v/>
      </c>
      <c r="F58" s="147"/>
      <c r="G58" s="148"/>
      <c r="H58" s="146" t="str">
        <f t="shared" ca="1" si="5"/>
        <v/>
      </c>
      <c r="I58" s="147"/>
      <c r="J58" s="147"/>
      <c r="K58" s="147"/>
      <c r="L58" s="149"/>
      <c r="M58" s="149"/>
      <c r="N58" s="147"/>
      <c r="O58" s="147"/>
      <c r="P58" s="147"/>
      <c r="Q58" s="147"/>
      <c r="R58" s="147"/>
      <c r="S58" s="147"/>
      <c r="T58" s="147"/>
      <c r="U58" s="147"/>
      <c r="V58" s="148"/>
      <c r="W58" s="146" t="str">
        <f t="shared" si="6"/>
        <v/>
      </c>
      <c r="X58" s="146" t="str">
        <f t="shared" ca="1" si="7"/>
        <v/>
      </c>
      <c r="Y58" s="147"/>
      <c r="Z58" s="147"/>
      <c r="AA58" s="148"/>
      <c r="AB58" s="148"/>
      <c r="AC58" s="146" t="str">
        <f t="shared" si="8"/>
        <v/>
      </c>
      <c r="AD58" s="147"/>
      <c r="AE58" s="146" t="str">
        <f t="shared" ca="1" si="9"/>
        <v/>
      </c>
      <c r="AF58" s="150"/>
      <c r="AG58" s="147"/>
      <c r="AH58" s="147"/>
      <c r="AI58" s="150"/>
      <c r="AJ58" s="150"/>
      <c r="AK58" s="151" t="str">
        <f t="shared" si="10"/>
        <v/>
      </c>
      <c r="AL58" s="147"/>
      <c r="AM58" s="147"/>
      <c r="AN58" s="147"/>
      <c r="AO58" s="148"/>
      <c r="AP58" s="147"/>
      <c r="AQ58" s="149"/>
    </row>
    <row r="59" spans="1:43" ht="15.75" customHeight="1">
      <c r="A59" s="146" t="str">
        <f t="shared" ref="A59:A76" si="11">IF(B59="","","RH"&amp;TEXT(ROW()-26,"00000"))</f>
        <v/>
      </c>
      <c r="B59" s="147"/>
      <c r="C59" s="147"/>
      <c r="D59" s="147"/>
      <c r="E59" s="146" t="str">
        <f t="shared" ref="E59:E76" si="12">IF(B59="","",TRIM(B59&amp;" "&amp;C59&amp;" "&amp;D59))</f>
        <v/>
      </c>
      <c r="F59" s="147"/>
      <c r="G59" s="148"/>
      <c r="H59" s="146" t="str">
        <f t="shared" ref="H59:H76" ca="1" si="13">IF(G59="","",DATEDIF(G59,TODAY(),"y"))</f>
        <v/>
      </c>
      <c r="I59" s="147"/>
      <c r="J59" s="147"/>
      <c r="K59" s="147"/>
      <c r="L59" s="149"/>
      <c r="M59" s="149"/>
      <c r="N59" s="147"/>
      <c r="O59" s="147"/>
      <c r="P59" s="147"/>
      <c r="Q59" s="147"/>
      <c r="R59" s="147"/>
      <c r="S59" s="147"/>
      <c r="T59" s="147"/>
      <c r="U59" s="147"/>
      <c r="V59" s="148"/>
      <c r="W59" s="146" t="str">
        <f t="shared" ref="W59:W76" si="14">IF(V59="","",YEAR(V59))</f>
        <v/>
      </c>
      <c r="X59" s="146" t="str">
        <f t="shared" ref="X59:X76" ca="1" si="15">IF(V59="","",DATEDIF(V59,TODAY(),"y")&amp;" ans "&amp;DATEDIF(V59,TODAY(),"ym")&amp;" mois")</f>
        <v/>
      </c>
      <c r="Y59" s="147"/>
      <c r="Z59" s="147"/>
      <c r="AA59" s="148"/>
      <c r="AB59" s="148"/>
      <c r="AC59" s="146" t="str">
        <f t="shared" ref="AC59:AC76" si="16">IF(OR(AA59="",AB59=""),"",DATEDIF(AA59,AB59,"m")&amp;" mois")</f>
        <v/>
      </c>
      <c r="AD59" s="147"/>
      <c r="AE59" s="146" t="str">
        <f t="shared" ref="AE59:AE76" ca="1" si="17">IF(Y59="","",IF(Y59="CDI","Indetermine (CDI)",IF(AB59="","Non renseigne",IF(AB59&lt;TODAY(),"Expire",IF(AB59-TODAY()&lt;=60,"A renouveler bientot","Actif")))))</f>
        <v/>
      </c>
      <c r="AF59" s="150"/>
      <c r="AG59" s="147"/>
      <c r="AH59" s="147"/>
      <c r="AI59" s="150"/>
      <c r="AJ59" s="150"/>
      <c r="AK59" s="151" t="str">
        <f t="shared" ref="AK59:AK76" si="18">IF(AF59="","",AF59+IF(AI59="",0,AI59)+IF(AJ59="",0,AJ59))</f>
        <v/>
      </c>
      <c r="AL59" s="147"/>
      <c r="AM59" s="147"/>
      <c r="AN59" s="147"/>
      <c r="AO59" s="148"/>
      <c r="AP59" s="147"/>
      <c r="AQ59" s="149"/>
    </row>
    <row r="60" spans="1:43" ht="15.75" customHeight="1">
      <c r="A60" s="146" t="str">
        <f t="shared" si="11"/>
        <v/>
      </c>
      <c r="B60" s="147"/>
      <c r="C60" s="147"/>
      <c r="D60" s="147"/>
      <c r="E60" s="146" t="str">
        <f t="shared" si="12"/>
        <v/>
      </c>
      <c r="F60" s="147"/>
      <c r="G60" s="148"/>
      <c r="H60" s="146" t="str">
        <f t="shared" ca="1" si="13"/>
        <v/>
      </c>
      <c r="I60" s="147"/>
      <c r="J60" s="147"/>
      <c r="K60" s="147"/>
      <c r="L60" s="149"/>
      <c r="M60" s="149"/>
      <c r="N60" s="147"/>
      <c r="O60" s="147"/>
      <c r="P60" s="147"/>
      <c r="Q60" s="147"/>
      <c r="R60" s="147"/>
      <c r="S60" s="147"/>
      <c r="T60" s="147"/>
      <c r="U60" s="147"/>
      <c r="V60" s="148"/>
      <c r="W60" s="146" t="str">
        <f t="shared" si="14"/>
        <v/>
      </c>
      <c r="X60" s="146" t="str">
        <f t="shared" ca="1" si="15"/>
        <v/>
      </c>
      <c r="Y60" s="147"/>
      <c r="Z60" s="147"/>
      <c r="AA60" s="148"/>
      <c r="AB60" s="148"/>
      <c r="AC60" s="146" t="str">
        <f t="shared" si="16"/>
        <v/>
      </c>
      <c r="AD60" s="147"/>
      <c r="AE60" s="146" t="str">
        <f t="shared" ca="1" si="17"/>
        <v/>
      </c>
      <c r="AF60" s="150"/>
      <c r="AG60" s="147"/>
      <c r="AH60" s="147"/>
      <c r="AI60" s="150"/>
      <c r="AJ60" s="150"/>
      <c r="AK60" s="151" t="str">
        <f t="shared" si="18"/>
        <v/>
      </c>
      <c r="AL60" s="147"/>
      <c r="AM60" s="147"/>
      <c r="AN60" s="147"/>
      <c r="AO60" s="148"/>
      <c r="AP60" s="147"/>
      <c r="AQ60" s="149"/>
    </row>
    <row r="61" spans="1:43" ht="15.75" customHeight="1">
      <c r="A61" s="146" t="str">
        <f t="shared" si="11"/>
        <v/>
      </c>
      <c r="B61" s="147"/>
      <c r="C61" s="147"/>
      <c r="D61" s="147"/>
      <c r="E61" s="146" t="str">
        <f t="shared" si="12"/>
        <v/>
      </c>
      <c r="F61" s="147"/>
      <c r="G61" s="148"/>
      <c r="H61" s="146" t="str">
        <f t="shared" ca="1" si="13"/>
        <v/>
      </c>
      <c r="I61" s="147"/>
      <c r="J61" s="147"/>
      <c r="K61" s="147"/>
      <c r="L61" s="149"/>
      <c r="M61" s="149"/>
      <c r="N61" s="147"/>
      <c r="O61" s="147"/>
      <c r="P61" s="147"/>
      <c r="Q61" s="147"/>
      <c r="R61" s="147"/>
      <c r="S61" s="147"/>
      <c r="T61" s="147"/>
      <c r="U61" s="147"/>
      <c r="V61" s="148"/>
      <c r="W61" s="146" t="str">
        <f t="shared" si="14"/>
        <v/>
      </c>
      <c r="X61" s="146" t="str">
        <f t="shared" ca="1" si="15"/>
        <v/>
      </c>
      <c r="Y61" s="147"/>
      <c r="Z61" s="147"/>
      <c r="AA61" s="148"/>
      <c r="AB61" s="148"/>
      <c r="AC61" s="146" t="str">
        <f t="shared" si="16"/>
        <v/>
      </c>
      <c r="AD61" s="147"/>
      <c r="AE61" s="146" t="str">
        <f t="shared" ca="1" si="17"/>
        <v/>
      </c>
      <c r="AF61" s="150"/>
      <c r="AG61" s="147"/>
      <c r="AH61" s="147"/>
      <c r="AI61" s="150"/>
      <c r="AJ61" s="150"/>
      <c r="AK61" s="151" t="str">
        <f t="shared" si="18"/>
        <v/>
      </c>
      <c r="AL61" s="147"/>
      <c r="AM61" s="147"/>
      <c r="AN61" s="147"/>
      <c r="AO61" s="148"/>
      <c r="AP61" s="147"/>
      <c r="AQ61" s="149"/>
    </row>
    <row r="62" spans="1:43" ht="15.75" customHeight="1">
      <c r="A62" s="146" t="str">
        <f t="shared" si="11"/>
        <v/>
      </c>
      <c r="B62" s="147"/>
      <c r="C62" s="147"/>
      <c r="D62" s="147"/>
      <c r="E62" s="146" t="str">
        <f t="shared" si="12"/>
        <v/>
      </c>
      <c r="F62" s="147"/>
      <c r="G62" s="148"/>
      <c r="H62" s="146" t="str">
        <f t="shared" ca="1" si="13"/>
        <v/>
      </c>
      <c r="I62" s="147"/>
      <c r="J62" s="147"/>
      <c r="K62" s="147"/>
      <c r="L62" s="149"/>
      <c r="M62" s="149"/>
      <c r="N62" s="147"/>
      <c r="O62" s="147"/>
      <c r="P62" s="147"/>
      <c r="Q62" s="147"/>
      <c r="R62" s="147"/>
      <c r="S62" s="147"/>
      <c r="T62" s="147"/>
      <c r="U62" s="147"/>
      <c r="V62" s="148"/>
      <c r="W62" s="146" t="str">
        <f t="shared" si="14"/>
        <v/>
      </c>
      <c r="X62" s="146" t="str">
        <f t="shared" ca="1" si="15"/>
        <v/>
      </c>
      <c r="Y62" s="147"/>
      <c r="Z62" s="147"/>
      <c r="AA62" s="148"/>
      <c r="AB62" s="148"/>
      <c r="AC62" s="146" t="str">
        <f t="shared" si="16"/>
        <v/>
      </c>
      <c r="AD62" s="147"/>
      <c r="AE62" s="146" t="str">
        <f t="shared" ca="1" si="17"/>
        <v/>
      </c>
      <c r="AF62" s="150"/>
      <c r="AG62" s="147"/>
      <c r="AH62" s="147"/>
      <c r="AI62" s="150"/>
      <c r="AJ62" s="150"/>
      <c r="AK62" s="151" t="str">
        <f t="shared" si="18"/>
        <v/>
      </c>
      <c r="AL62" s="147"/>
      <c r="AM62" s="147"/>
      <c r="AN62" s="147"/>
      <c r="AO62" s="148"/>
      <c r="AP62" s="147"/>
      <c r="AQ62" s="149"/>
    </row>
    <row r="63" spans="1:43" ht="15.75" customHeight="1">
      <c r="A63" s="146" t="str">
        <f t="shared" si="11"/>
        <v/>
      </c>
      <c r="B63" s="147"/>
      <c r="C63" s="147"/>
      <c r="D63" s="147"/>
      <c r="E63" s="146" t="str">
        <f t="shared" si="12"/>
        <v/>
      </c>
      <c r="F63" s="147"/>
      <c r="G63" s="148"/>
      <c r="H63" s="146" t="str">
        <f t="shared" ca="1" si="13"/>
        <v/>
      </c>
      <c r="I63" s="147"/>
      <c r="J63" s="147"/>
      <c r="K63" s="147"/>
      <c r="L63" s="149"/>
      <c r="M63" s="149"/>
      <c r="N63" s="147"/>
      <c r="O63" s="147"/>
      <c r="P63" s="147"/>
      <c r="Q63" s="147"/>
      <c r="R63" s="147"/>
      <c r="S63" s="147"/>
      <c r="T63" s="147"/>
      <c r="U63" s="147"/>
      <c r="V63" s="148"/>
      <c r="W63" s="146" t="str">
        <f t="shared" si="14"/>
        <v/>
      </c>
      <c r="X63" s="146" t="str">
        <f t="shared" ca="1" si="15"/>
        <v/>
      </c>
      <c r="Y63" s="147"/>
      <c r="Z63" s="147"/>
      <c r="AA63" s="148"/>
      <c r="AB63" s="148"/>
      <c r="AC63" s="146" t="str">
        <f t="shared" si="16"/>
        <v/>
      </c>
      <c r="AD63" s="147"/>
      <c r="AE63" s="146" t="str">
        <f t="shared" ca="1" si="17"/>
        <v/>
      </c>
      <c r="AF63" s="150"/>
      <c r="AG63" s="147"/>
      <c r="AH63" s="147"/>
      <c r="AI63" s="150"/>
      <c r="AJ63" s="150"/>
      <c r="AK63" s="151" t="str">
        <f t="shared" si="18"/>
        <v/>
      </c>
      <c r="AL63" s="147"/>
      <c r="AM63" s="147"/>
      <c r="AN63" s="147"/>
      <c r="AO63" s="148"/>
      <c r="AP63" s="147"/>
      <c r="AQ63" s="149"/>
    </row>
    <row r="64" spans="1:43" ht="15.75" customHeight="1">
      <c r="A64" s="146" t="str">
        <f t="shared" si="11"/>
        <v/>
      </c>
      <c r="B64" s="147"/>
      <c r="C64" s="147"/>
      <c r="D64" s="147"/>
      <c r="E64" s="146" t="str">
        <f t="shared" si="12"/>
        <v/>
      </c>
      <c r="F64" s="147"/>
      <c r="G64" s="148"/>
      <c r="H64" s="146" t="str">
        <f t="shared" ca="1" si="13"/>
        <v/>
      </c>
      <c r="I64" s="147"/>
      <c r="J64" s="147"/>
      <c r="K64" s="147"/>
      <c r="L64" s="149"/>
      <c r="M64" s="149"/>
      <c r="N64" s="147"/>
      <c r="O64" s="147"/>
      <c r="P64" s="147"/>
      <c r="Q64" s="147"/>
      <c r="R64" s="147"/>
      <c r="S64" s="147"/>
      <c r="T64" s="147"/>
      <c r="U64" s="147"/>
      <c r="V64" s="148"/>
      <c r="W64" s="146" t="str">
        <f t="shared" si="14"/>
        <v/>
      </c>
      <c r="X64" s="146" t="str">
        <f t="shared" ca="1" si="15"/>
        <v/>
      </c>
      <c r="Y64" s="147"/>
      <c r="Z64" s="147"/>
      <c r="AA64" s="148"/>
      <c r="AB64" s="148"/>
      <c r="AC64" s="146" t="str">
        <f t="shared" si="16"/>
        <v/>
      </c>
      <c r="AD64" s="147"/>
      <c r="AE64" s="146" t="str">
        <f t="shared" ca="1" si="17"/>
        <v/>
      </c>
      <c r="AF64" s="150"/>
      <c r="AG64" s="147"/>
      <c r="AH64" s="147"/>
      <c r="AI64" s="150"/>
      <c r="AJ64" s="150"/>
      <c r="AK64" s="151" t="str">
        <f t="shared" si="18"/>
        <v/>
      </c>
      <c r="AL64" s="147"/>
      <c r="AM64" s="147"/>
      <c r="AN64" s="147"/>
      <c r="AO64" s="148"/>
      <c r="AP64" s="147"/>
      <c r="AQ64" s="149"/>
    </row>
    <row r="65" spans="1:43" ht="15.75" customHeight="1">
      <c r="A65" s="146" t="str">
        <f t="shared" si="11"/>
        <v/>
      </c>
      <c r="B65" s="147"/>
      <c r="C65" s="147"/>
      <c r="D65" s="147"/>
      <c r="E65" s="146" t="str">
        <f t="shared" si="12"/>
        <v/>
      </c>
      <c r="F65" s="147"/>
      <c r="G65" s="148"/>
      <c r="H65" s="146" t="str">
        <f t="shared" ca="1" si="13"/>
        <v/>
      </c>
      <c r="I65" s="147"/>
      <c r="J65" s="147"/>
      <c r="K65" s="147"/>
      <c r="L65" s="149"/>
      <c r="M65" s="149"/>
      <c r="N65" s="147"/>
      <c r="O65" s="147"/>
      <c r="P65" s="147"/>
      <c r="Q65" s="147"/>
      <c r="R65" s="147"/>
      <c r="S65" s="147"/>
      <c r="T65" s="147"/>
      <c r="U65" s="147"/>
      <c r="V65" s="148"/>
      <c r="W65" s="146" t="str">
        <f t="shared" si="14"/>
        <v/>
      </c>
      <c r="X65" s="146" t="str">
        <f t="shared" ca="1" si="15"/>
        <v/>
      </c>
      <c r="Y65" s="147"/>
      <c r="Z65" s="147"/>
      <c r="AA65" s="148"/>
      <c r="AB65" s="148"/>
      <c r="AC65" s="146" t="str">
        <f t="shared" si="16"/>
        <v/>
      </c>
      <c r="AD65" s="147"/>
      <c r="AE65" s="146" t="str">
        <f t="shared" ca="1" si="17"/>
        <v/>
      </c>
      <c r="AF65" s="150"/>
      <c r="AG65" s="147"/>
      <c r="AH65" s="147"/>
      <c r="AI65" s="150"/>
      <c r="AJ65" s="150"/>
      <c r="AK65" s="151" t="str">
        <f t="shared" si="18"/>
        <v/>
      </c>
      <c r="AL65" s="147"/>
      <c r="AM65" s="147"/>
      <c r="AN65" s="147"/>
      <c r="AO65" s="148"/>
      <c r="AP65" s="147"/>
      <c r="AQ65" s="149"/>
    </row>
    <row r="66" spans="1:43" ht="15.75" customHeight="1">
      <c r="A66" s="146" t="str">
        <f t="shared" si="11"/>
        <v/>
      </c>
      <c r="B66" s="147"/>
      <c r="C66" s="147"/>
      <c r="D66" s="147"/>
      <c r="E66" s="146" t="str">
        <f t="shared" si="12"/>
        <v/>
      </c>
      <c r="F66" s="147"/>
      <c r="G66" s="148"/>
      <c r="H66" s="146" t="str">
        <f t="shared" ca="1" si="13"/>
        <v/>
      </c>
      <c r="I66" s="147"/>
      <c r="J66" s="147"/>
      <c r="K66" s="147"/>
      <c r="L66" s="149"/>
      <c r="M66" s="149"/>
      <c r="N66" s="147"/>
      <c r="O66" s="147"/>
      <c r="P66" s="147"/>
      <c r="Q66" s="147"/>
      <c r="R66" s="147"/>
      <c r="S66" s="147"/>
      <c r="T66" s="147"/>
      <c r="U66" s="147"/>
      <c r="V66" s="148"/>
      <c r="W66" s="146" t="str">
        <f t="shared" si="14"/>
        <v/>
      </c>
      <c r="X66" s="146" t="str">
        <f t="shared" ca="1" si="15"/>
        <v/>
      </c>
      <c r="Y66" s="147"/>
      <c r="Z66" s="147"/>
      <c r="AA66" s="148"/>
      <c r="AB66" s="148"/>
      <c r="AC66" s="146" t="str">
        <f t="shared" si="16"/>
        <v/>
      </c>
      <c r="AD66" s="147"/>
      <c r="AE66" s="146" t="str">
        <f t="shared" ca="1" si="17"/>
        <v/>
      </c>
      <c r="AF66" s="150"/>
      <c r="AG66" s="147"/>
      <c r="AH66" s="147"/>
      <c r="AI66" s="150"/>
      <c r="AJ66" s="150"/>
      <c r="AK66" s="151" t="str">
        <f t="shared" si="18"/>
        <v/>
      </c>
      <c r="AL66" s="147"/>
      <c r="AM66" s="147"/>
      <c r="AN66" s="147"/>
      <c r="AO66" s="148"/>
      <c r="AP66" s="147"/>
      <c r="AQ66" s="149"/>
    </row>
    <row r="67" spans="1:43" ht="15.75" customHeight="1">
      <c r="A67" s="146" t="str">
        <f t="shared" si="11"/>
        <v/>
      </c>
      <c r="B67" s="147"/>
      <c r="C67" s="147"/>
      <c r="D67" s="147"/>
      <c r="E67" s="146" t="str">
        <f t="shared" si="12"/>
        <v/>
      </c>
      <c r="F67" s="147"/>
      <c r="G67" s="148"/>
      <c r="H67" s="146" t="str">
        <f t="shared" ca="1" si="13"/>
        <v/>
      </c>
      <c r="I67" s="147"/>
      <c r="J67" s="147"/>
      <c r="K67" s="147"/>
      <c r="L67" s="149"/>
      <c r="M67" s="149"/>
      <c r="N67" s="147"/>
      <c r="O67" s="147"/>
      <c r="P67" s="147"/>
      <c r="Q67" s="147"/>
      <c r="R67" s="147"/>
      <c r="S67" s="147"/>
      <c r="T67" s="147"/>
      <c r="U67" s="147"/>
      <c r="V67" s="148"/>
      <c r="W67" s="146" t="str">
        <f t="shared" si="14"/>
        <v/>
      </c>
      <c r="X67" s="146" t="str">
        <f t="shared" ca="1" si="15"/>
        <v/>
      </c>
      <c r="Y67" s="147"/>
      <c r="Z67" s="147"/>
      <c r="AA67" s="148"/>
      <c r="AB67" s="148"/>
      <c r="AC67" s="146" t="str">
        <f t="shared" si="16"/>
        <v/>
      </c>
      <c r="AD67" s="147"/>
      <c r="AE67" s="146" t="str">
        <f t="shared" ca="1" si="17"/>
        <v/>
      </c>
      <c r="AF67" s="150"/>
      <c r="AG67" s="147"/>
      <c r="AH67" s="147"/>
      <c r="AI67" s="150"/>
      <c r="AJ67" s="150"/>
      <c r="AK67" s="151" t="str">
        <f t="shared" si="18"/>
        <v/>
      </c>
      <c r="AL67" s="147"/>
      <c r="AM67" s="147"/>
      <c r="AN67" s="147"/>
      <c r="AO67" s="148"/>
      <c r="AP67" s="147"/>
      <c r="AQ67" s="149"/>
    </row>
    <row r="68" spans="1:43" ht="15.75" customHeight="1">
      <c r="A68" s="146" t="str">
        <f t="shared" si="11"/>
        <v/>
      </c>
      <c r="B68" s="147"/>
      <c r="C68" s="147"/>
      <c r="D68" s="147"/>
      <c r="E68" s="146" t="str">
        <f t="shared" si="12"/>
        <v/>
      </c>
      <c r="F68" s="147"/>
      <c r="G68" s="148"/>
      <c r="H68" s="146" t="str">
        <f t="shared" ca="1" si="13"/>
        <v/>
      </c>
      <c r="I68" s="147"/>
      <c r="J68" s="147"/>
      <c r="K68" s="147"/>
      <c r="L68" s="149"/>
      <c r="M68" s="149"/>
      <c r="N68" s="147"/>
      <c r="O68" s="147"/>
      <c r="P68" s="147"/>
      <c r="Q68" s="147"/>
      <c r="R68" s="147"/>
      <c r="S68" s="147"/>
      <c r="T68" s="147"/>
      <c r="U68" s="147"/>
      <c r="V68" s="148"/>
      <c r="W68" s="146" t="str">
        <f t="shared" si="14"/>
        <v/>
      </c>
      <c r="X68" s="146" t="str">
        <f t="shared" ca="1" si="15"/>
        <v/>
      </c>
      <c r="Y68" s="147"/>
      <c r="Z68" s="147"/>
      <c r="AA68" s="148"/>
      <c r="AB68" s="148"/>
      <c r="AC68" s="146" t="str">
        <f t="shared" si="16"/>
        <v/>
      </c>
      <c r="AD68" s="147"/>
      <c r="AE68" s="146" t="str">
        <f t="shared" ca="1" si="17"/>
        <v/>
      </c>
      <c r="AF68" s="150"/>
      <c r="AG68" s="147"/>
      <c r="AH68" s="147"/>
      <c r="AI68" s="150"/>
      <c r="AJ68" s="150"/>
      <c r="AK68" s="151" t="str">
        <f t="shared" si="18"/>
        <v/>
      </c>
      <c r="AL68" s="147"/>
      <c r="AM68" s="147"/>
      <c r="AN68" s="147"/>
      <c r="AO68" s="148"/>
      <c r="AP68" s="147"/>
      <c r="AQ68" s="149"/>
    </row>
    <row r="69" spans="1:43" ht="15.75" customHeight="1">
      <c r="A69" s="146" t="str">
        <f t="shared" si="11"/>
        <v/>
      </c>
      <c r="B69" s="147"/>
      <c r="C69" s="147"/>
      <c r="D69" s="147"/>
      <c r="E69" s="146" t="str">
        <f t="shared" si="12"/>
        <v/>
      </c>
      <c r="F69" s="147"/>
      <c r="G69" s="148"/>
      <c r="H69" s="146" t="str">
        <f t="shared" ca="1" si="13"/>
        <v/>
      </c>
      <c r="I69" s="147"/>
      <c r="J69" s="147"/>
      <c r="K69" s="147"/>
      <c r="L69" s="149"/>
      <c r="M69" s="149"/>
      <c r="N69" s="147"/>
      <c r="O69" s="147"/>
      <c r="P69" s="147"/>
      <c r="Q69" s="147"/>
      <c r="R69" s="147"/>
      <c r="S69" s="147"/>
      <c r="T69" s="147"/>
      <c r="U69" s="147"/>
      <c r="V69" s="148"/>
      <c r="W69" s="146" t="str">
        <f t="shared" si="14"/>
        <v/>
      </c>
      <c r="X69" s="146" t="str">
        <f t="shared" ca="1" si="15"/>
        <v/>
      </c>
      <c r="Y69" s="147"/>
      <c r="Z69" s="147"/>
      <c r="AA69" s="148"/>
      <c r="AB69" s="148"/>
      <c r="AC69" s="146" t="str">
        <f t="shared" si="16"/>
        <v/>
      </c>
      <c r="AD69" s="147"/>
      <c r="AE69" s="146" t="str">
        <f t="shared" ca="1" si="17"/>
        <v/>
      </c>
      <c r="AF69" s="150"/>
      <c r="AG69" s="147"/>
      <c r="AH69" s="147"/>
      <c r="AI69" s="150"/>
      <c r="AJ69" s="150"/>
      <c r="AK69" s="151" t="str">
        <f t="shared" si="18"/>
        <v/>
      </c>
      <c r="AL69" s="147"/>
      <c r="AM69" s="147"/>
      <c r="AN69" s="147"/>
      <c r="AO69" s="148"/>
      <c r="AP69" s="147"/>
      <c r="AQ69" s="149"/>
    </row>
    <row r="70" spans="1:43" ht="15.75" customHeight="1">
      <c r="A70" s="146" t="str">
        <f t="shared" si="11"/>
        <v/>
      </c>
      <c r="B70" s="147"/>
      <c r="C70" s="147"/>
      <c r="D70" s="147"/>
      <c r="E70" s="146" t="str">
        <f t="shared" si="12"/>
        <v/>
      </c>
      <c r="F70" s="147"/>
      <c r="G70" s="148"/>
      <c r="H70" s="146" t="str">
        <f t="shared" ca="1" si="13"/>
        <v/>
      </c>
      <c r="I70" s="147"/>
      <c r="J70" s="147"/>
      <c r="K70" s="147"/>
      <c r="L70" s="149"/>
      <c r="M70" s="149"/>
      <c r="N70" s="147"/>
      <c r="O70" s="147"/>
      <c r="P70" s="147"/>
      <c r="Q70" s="147"/>
      <c r="R70" s="147"/>
      <c r="S70" s="147"/>
      <c r="T70" s="147"/>
      <c r="U70" s="147"/>
      <c r="V70" s="148"/>
      <c r="W70" s="146" t="str">
        <f t="shared" si="14"/>
        <v/>
      </c>
      <c r="X70" s="146" t="str">
        <f t="shared" ca="1" si="15"/>
        <v/>
      </c>
      <c r="Y70" s="147"/>
      <c r="Z70" s="147"/>
      <c r="AA70" s="148"/>
      <c r="AB70" s="148"/>
      <c r="AC70" s="146" t="str">
        <f t="shared" si="16"/>
        <v/>
      </c>
      <c r="AD70" s="147"/>
      <c r="AE70" s="146" t="str">
        <f t="shared" ca="1" si="17"/>
        <v/>
      </c>
      <c r="AF70" s="150"/>
      <c r="AG70" s="147"/>
      <c r="AH70" s="147"/>
      <c r="AI70" s="150"/>
      <c r="AJ70" s="150"/>
      <c r="AK70" s="151" t="str">
        <f t="shared" si="18"/>
        <v/>
      </c>
      <c r="AL70" s="147"/>
      <c r="AM70" s="147"/>
      <c r="AN70" s="147"/>
      <c r="AO70" s="148"/>
      <c r="AP70" s="147"/>
      <c r="AQ70" s="149"/>
    </row>
    <row r="71" spans="1:43" ht="15.75" customHeight="1">
      <c r="A71" s="146" t="str">
        <f t="shared" si="11"/>
        <v/>
      </c>
      <c r="B71" s="147"/>
      <c r="C71" s="147"/>
      <c r="D71" s="147"/>
      <c r="E71" s="146" t="str">
        <f t="shared" si="12"/>
        <v/>
      </c>
      <c r="F71" s="147"/>
      <c r="G71" s="148"/>
      <c r="H71" s="146" t="str">
        <f t="shared" ca="1" si="13"/>
        <v/>
      </c>
      <c r="I71" s="147"/>
      <c r="J71" s="147"/>
      <c r="K71" s="147"/>
      <c r="L71" s="149"/>
      <c r="M71" s="149"/>
      <c r="N71" s="147"/>
      <c r="O71" s="147"/>
      <c r="P71" s="147"/>
      <c r="Q71" s="147"/>
      <c r="R71" s="147"/>
      <c r="S71" s="147"/>
      <c r="T71" s="147"/>
      <c r="U71" s="147"/>
      <c r="V71" s="148"/>
      <c r="W71" s="146" t="str">
        <f t="shared" si="14"/>
        <v/>
      </c>
      <c r="X71" s="146" t="str">
        <f t="shared" ca="1" si="15"/>
        <v/>
      </c>
      <c r="Y71" s="147"/>
      <c r="Z71" s="147"/>
      <c r="AA71" s="148"/>
      <c r="AB71" s="148"/>
      <c r="AC71" s="146" t="str">
        <f t="shared" si="16"/>
        <v/>
      </c>
      <c r="AD71" s="147"/>
      <c r="AE71" s="146" t="str">
        <f t="shared" ca="1" si="17"/>
        <v/>
      </c>
      <c r="AF71" s="150"/>
      <c r="AG71" s="147"/>
      <c r="AH71" s="147"/>
      <c r="AI71" s="150"/>
      <c r="AJ71" s="150"/>
      <c r="AK71" s="151" t="str">
        <f t="shared" si="18"/>
        <v/>
      </c>
      <c r="AL71" s="147"/>
      <c r="AM71" s="147"/>
      <c r="AN71" s="147"/>
      <c r="AO71" s="148"/>
      <c r="AP71" s="147"/>
      <c r="AQ71" s="149"/>
    </row>
    <row r="72" spans="1:43" ht="15.75" customHeight="1">
      <c r="A72" s="146" t="str">
        <f t="shared" si="11"/>
        <v/>
      </c>
      <c r="B72" s="147"/>
      <c r="C72" s="147"/>
      <c r="D72" s="147"/>
      <c r="E72" s="146" t="str">
        <f t="shared" si="12"/>
        <v/>
      </c>
      <c r="F72" s="147"/>
      <c r="G72" s="148"/>
      <c r="H72" s="146" t="str">
        <f t="shared" ca="1" si="13"/>
        <v/>
      </c>
      <c r="I72" s="147"/>
      <c r="J72" s="147"/>
      <c r="K72" s="147"/>
      <c r="L72" s="149"/>
      <c r="M72" s="149"/>
      <c r="N72" s="147"/>
      <c r="O72" s="147"/>
      <c r="P72" s="147"/>
      <c r="Q72" s="147"/>
      <c r="R72" s="147"/>
      <c r="S72" s="147"/>
      <c r="T72" s="147"/>
      <c r="U72" s="147"/>
      <c r="V72" s="148"/>
      <c r="W72" s="146" t="str">
        <f t="shared" si="14"/>
        <v/>
      </c>
      <c r="X72" s="146" t="str">
        <f t="shared" ca="1" si="15"/>
        <v/>
      </c>
      <c r="Y72" s="147"/>
      <c r="Z72" s="147"/>
      <c r="AA72" s="148"/>
      <c r="AB72" s="148"/>
      <c r="AC72" s="146" t="str">
        <f t="shared" si="16"/>
        <v/>
      </c>
      <c r="AD72" s="147"/>
      <c r="AE72" s="146" t="str">
        <f t="shared" ca="1" si="17"/>
        <v/>
      </c>
      <c r="AF72" s="150"/>
      <c r="AG72" s="147"/>
      <c r="AH72" s="147"/>
      <c r="AI72" s="150"/>
      <c r="AJ72" s="150"/>
      <c r="AK72" s="151" t="str">
        <f t="shared" si="18"/>
        <v/>
      </c>
      <c r="AL72" s="147"/>
      <c r="AM72" s="147"/>
      <c r="AN72" s="147"/>
      <c r="AO72" s="148"/>
      <c r="AP72" s="147"/>
      <c r="AQ72" s="149"/>
    </row>
    <row r="73" spans="1:43" ht="15.75" customHeight="1">
      <c r="A73" s="146" t="str">
        <f t="shared" si="11"/>
        <v/>
      </c>
      <c r="B73" s="147"/>
      <c r="C73" s="147"/>
      <c r="D73" s="147"/>
      <c r="E73" s="146" t="str">
        <f t="shared" si="12"/>
        <v/>
      </c>
      <c r="F73" s="147"/>
      <c r="G73" s="148"/>
      <c r="H73" s="146" t="str">
        <f t="shared" ca="1" si="13"/>
        <v/>
      </c>
      <c r="I73" s="147"/>
      <c r="J73" s="147"/>
      <c r="K73" s="147"/>
      <c r="L73" s="149"/>
      <c r="M73" s="149"/>
      <c r="N73" s="147"/>
      <c r="O73" s="147"/>
      <c r="P73" s="147"/>
      <c r="Q73" s="147"/>
      <c r="R73" s="147"/>
      <c r="S73" s="147"/>
      <c r="T73" s="147"/>
      <c r="U73" s="147"/>
      <c r="V73" s="148"/>
      <c r="W73" s="146" t="str">
        <f t="shared" si="14"/>
        <v/>
      </c>
      <c r="X73" s="146" t="str">
        <f t="shared" ca="1" si="15"/>
        <v/>
      </c>
      <c r="Y73" s="147"/>
      <c r="Z73" s="147"/>
      <c r="AA73" s="148"/>
      <c r="AB73" s="148"/>
      <c r="AC73" s="146" t="str">
        <f t="shared" si="16"/>
        <v/>
      </c>
      <c r="AD73" s="147"/>
      <c r="AE73" s="146" t="str">
        <f t="shared" ca="1" si="17"/>
        <v/>
      </c>
      <c r="AF73" s="150"/>
      <c r="AG73" s="147"/>
      <c r="AH73" s="147"/>
      <c r="AI73" s="150"/>
      <c r="AJ73" s="150"/>
      <c r="AK73" s="151" t="str">
        <f t="shared" si="18"/>
        <v/>
      </c>
      <c r="AL73" s="147"/>
      <c r="AM73" s="147"/>
      <c r="AN73" s="147"/>
      <c r="AO73" s="148"/>
      <c r="AP73" s="147"/>
      <c r="AQ73" s="149"/>
    </row>
    <row r="74" spans="1:43" ht="15.75" customHeight="1">
      <c r="A74" s="146" t="str">
        <f t="shared" si="11"/>
        <v/>
      </c>
      <c r="B74" s="147"/>
      <c r="C74" s="147"/>
      <c r="D74" s="147"/>
      <c r="E74" s="146" t="str">
        <f t="shared" si="12"/>
        <v/>
      </c>
      <c r="F74" s="147"/>
      <c r="G74" s="148"/>
      <c r="H74" s="146" t="str">
        <f t="shared" ca="1" si="13"/>
        <v/>
      </c>
      <c r="I74" s="147"/>
      <c r="J74" s="147"/>
      <c r="K74" s="147"/>
      <c r="L74" s="149"/>
      <c r="M74" s="149"/>
      <c r="N74" s="147"/>
      <c r="O74" s="147"/>
      <c r="P74" s="147"/>
      <c r="Q74" s="147"/>
      <c r="R74" s="147"/>
      <c r="S74" s="147"/>
      <c r="T74" s="147"/>
      <c r="U74" s="147"/>
      <c r="V74" s="148"/>
      <c r="W74" s="146" t="str">
        <f t="shared" si="14"/>
        <v/>
      </c>
      <c r="X74" s="146" t="str">
        <f t="shared" ca="1" si="15"/>
        <v/>
      </c>
      <c r="Y74" s="147"/>
      <c r="Z74" s="147"/>
      <c r="AA74" s="148"/>
      <c r="AB74" s="148"/>
      <c r="AC74" s="146" t="str">
        <f t="shared" si="16"/>
        <v/>
      </c>
      <c r="AD74" s="147"/>
      <c r="AE74" s="146" t="str">
        <f t="shared" ca="1" si="17"/>
        <v/>
      </c>
      <c r="AF74" s="150"/>
      <c r="AG74" s="147"/>
      <c r="AH74" s="147"/>
      <c r="AI74" s="150"/>
      <c r="AJ74" s="150"/>
      <c r="AK74" s="151" t="str">
        <f t="shared" si="18"/>
        <v/>
      </c>
      <c r="AL74" s="147"/>
      <c r="AM74" s="147"/>
      <c r="AN74" s="147"/>
      <c r="AO74" s="148"/>
      <c r="AP74" s="147"/>
      <c r="AQ74" s="149"/>
    </row>
    <row r="75" spans="1:43" ht="15.75" customHeight="1">
      <c r="A75" s="146" t="str">
        <f t="shared" si="11"/>
        <v/>
      </c>
      <c r="B75" s="147"/>
      <c r="C75" s="147"/>
      <c r="D75" s="147"/>
      <c r="E75" s="146" t="str">
        <f t="shared" si="12"/>
        <v/>
      </c>
      <c r="F75" s="147"/>
      <c r="G75" s="148"/>
      <c r="H75" s="146" t="str">
        <f t="shared" ca="1" si="13"/>
        <v/>
      </c>
      <c r="I75" s="147"/>
      <c r="J75" s="147"/>
      <c r="K75" s="147"/>
      <c r="L75" s="149"/>
      <c r="M75" s="149"/>
      <c r="N75" s="147"/>
      <c r="O75" s="147"/>
      <c r="P75" s="147"/>
      <c r="Q75" s="147"/>
      <c r="R75" s="147"/>
      <c r="S75" s="147"/>
      <c r="T75" s="147"/>
      <c r="U75" s="147"/>
      <c r="V75" s="148"/>
      <c r="W75" s="146" t="str">
        <f t="shared" si="14"/>
        <v/>
      </c>
      <c r="X75" s="146" t="str">
        <f t="shared" ca="1" si="15"/>
        <v/>
      </c>
      <c r="Y75" s="147"/>
      <c r="Z75" s="147"/>
      <c r="AA75" s="148"/>
      <c r="AB75" s="148"/>
      <c r="AC75" s="146" t="str">
        <f t="shared" si="16"/>
        <v/>
      </c>
      <c r="AD75" s="147"/>
      <c r="AE75" s="146" t="str">
        <f t="shared" ca="1" si="17"/>
        <v/>
      </c>
      <c r="AF75" s="150"/>
      <c r="AG75" s="147"/>
      <c r="AH75" s="147"/>
      <c r="AI75" s="150"/>
      <c r="AJ75" s="150"/>
      <c r="AK75" s="151" t="str">
        <f t="shared" si="18"/>
        <v/>
      </c>
      <c r="AL75" s="147"/>
      <c r="AM75" s="147"/>
      <c r="AN75" s="147"/>
      <c r="AO75" s="148"/>
      <c r="AP75" s="147"/>
      <c r="AQ75" s="149"/>
    </row>
    <row r="76" spans="1:43" ht="15.75" customHeight="1">
      <c r="A76" s="146" t="str">
        <f t="shared" si="11"/>
        <v/>
      </c>
      <c r="B76" s="147"/>
      <c r="C76" s="147"/>
      <c r="D76" s="147"/>
      <c r="E76" s="146" t="str">
        <f t="shared" si="12"/>
        <v/>
      </c>
      <c r="F76" s="147"/>
      <c r="G76" s="148"/>
      <c r="H76" s="146" t="str">
        <f t="shared" ca="1" si="13"/>
        <v/>
      </c>
      <c r="I76" s="147"/>
      <c r="J76" s="147"/>
      <c r="K76" s="147"/>
      <c r="L76" s="149"/>
      <c r="M76" s="149"/>
      <c r="N76" s="147"/>
      <c r="O76" s="147"/>
      <c r="P76" s="147"/>
      <c r="Q76" s="147"/>
      <c r="R76" s="147"/>
      <c r="S76" s="147"/>
      <c r="T76" s="147"/>
      <c r="U76" s="147"/>
      <c r="V76" s="148"/>
      <c r="W76" s="146" t="str">
        <f t="shared" si="14"/>
        <v/>
      </c>
      <c r="X76" s="146" t="str">
        <f t="shared" ca="1" si="15"/>
        <v/>
      </c>
      <c r="Y76" s="147"/>
      <c r="Z76" s="147"/>
      <c r="AA76" s="148"/>
      <c r="AB76" s="148"/>
      <c r="AC76" s="146" t="str">
        <f t="shared" si="16"/>
        <v/>
      </c>
      <c r="AD76" s="147"/>
      <c r="AE76" s="146" t="str">
        <f t="shared" ca="1" si="17"/>
        <v/>
      </c>
      <c r="AF76" s="150"/>
      <c r="AG76" s="147"/>
      <c r="AH76" s="147"/>
      <c r="AI76" s="150"/>
      <c r="AJ76" s="150"/>
      <c r="AK76" s="151" t="str">
        <f t="shared" si="18"/>
        <v/>
      </c>
      <c r="AL76" s="147"/>
      <c r="AM76" s="147"/>
      <c r="AN76" s="147"/>
      <c r="AO76" s="148"/>
      <c r="AP76" s="147"/>
      <c r="AQ76" s="149"/>
    </row>
    <row r="78" spans="1:43" ht="15" customHeight="1">
      <c r="A78" s="302" t="s">
        <v>2365</v>
      </c>
      <c r="B78" s="262"/>
      <c r="C78" s="262"/>
      <c r="D78" s="262"/>
      <c r="E78" s="262"/>
      <c r="F78" s="262"/>
      <c r="G78" s="262"/>
      <c r="H78" s="262"/>
      <c r="I78" s="262"/>
    </row>
    <row r="79" spans="1:43" ht="15" customHeight="1">
      <c r="A79" s="14" t="s">
        <v>1511</v>
      </c>
      <c r="B79" s="14" t="s">
        <v>2340</v>
      </c>
      <c r="C79" s="14" t="s">
        <v>1648</v>
      </c>
      <c r="D79" s="14" t="s">
        <v>872</v>
      </c>
      <c r="E79" s="14" t="s">
        <v>2366</v>
      </c>
      <c r="F79" s="14" t="s">
        <v>1935</v>
      </c>
      <c r="G79" s="14" t="s">
        <v>1936</v>
      </c>
      <c r="H79" s="14" t="s">
        <v>2367</v>
      </c>
      <c r="I79" s="14" t="s">
        <v>175</v>
      </c>
    </row>
    <row r="80" spans="1:43" ht="14.25" customHeight="1">
      <c r="A80" s="152" t="str">
        <f>IF(B80="","","AFP"&amp;TEXT(ROW()-79,"00000"))</f>
        <v/>
      </c>
      <c r="B80" s="153"/>
      <c r="C80" s="153"/>
      <c r="D80" s="152" t="str">
        <f>IFERROR(INDEX(tbl_Projets[Titre complet du projet],MATCH(C80,tbl_Projets[ID Projet],0)),"")</f>
        <v/>
      </c>
      <c r="E80" s="153"/>
      <c r="F80" s="154"/>
      <c r="G80" s="154"/>
      <c r="H80" s="155"/>
      <c r="I80" s="153"/>
    </row>
    <row r="82" spans="1:9" ht="14.25" customHeight="1">
      <c r="A82" s="152" t="str">
        <f>IF(B82="","","AFP"&amp;TEXT(ROW()-79,"00000"))</f>
        <v/>
      </c>
      <c r="B82" s="153"/>
      <c r="C82" s="153"/>
      <c r="D82" s="152" t="str">
        <f>IFERROR(INDEX(tbl_Projets[Titre complet du projet],MATCH(C82,tbl_Projets[ID Projet],0)),"")</f>
        <v/>
      </c>
      <c r="E82" s="153"/>
      <c r="F82" s="154"/>
      <c r="G82" s="154"/>
      <c r="H82" s="155"/>
      <c r="I82" s="153"/>
    </row>
    <row r="84" spans="1:9" ht="14.25" customHeight="1">
      <c r="A84" s="152" t="str">
        <f>IF(B84="","","AFP"&amp;TEXT(ROW()-79,"00000"))</f>
        <v/>
      </c>
      <c r="B84" s="153"/>
      <c r="C84" s="153"/>
      <c r="D84" s="152" t="str">
        <f>IFERROR(INDEX(tbl_Projets[Titre complet du projet],MATCH(C84,tbl_Projets[ID Projet],0)),"")</f>
        <v/>
      </c>
      <c r="E84" s="153"/>
      <c r="F84" s="154"/>
      <c r="G84" s="154"/>
      <c r="H84" s="155"/>
      <c r="I84" s="153"/>
    </row>
    <row r="86" spans="1:9" ht="14.25" customHeight="1">
      <c r="A86" s="152" t="str">
        <f>IF(B86="","","AFP"&amp;TEXT(ROW()-79,"00000"))</f>
        <v/>
      </c>
      <c r="B86" s="153"/>
      <c r="C86" s="153"/>
      <c r="D86" s="152" t="str">
        <f>IFERROR(INDEX(tbl_Projets[Titre complet du projet],MATCH(C86,tbl_Projets[ID Projet],0)),"")</f>
        <v/>
      </c>
      <c r="E86" s="153"/>
      <c r="F86" s="154"/>
      <c r="G86" s="154"/>
      <c r="H86" s="155"/>
      <c r="I86" s="153"/>
    </row>
    <row r="88" spans="1:9" ht="14.25" customHeight="1">
      <c r="A88" s="152" t="str">
        <f>IF(B88="","","AFP"&amp;TEXT(ROW()-79,"00000"))</f>
        <v/>
      </c>
      <c r="B88" s="153"/>
      <c r="C88" s="153"/>
      <c r="D88" s="152" t="str">
        <f>IFERROR(INDEX(tbl_Projets[Titre complet du projet],MATCH(C88,tbl_Projets[ID Projet],0)),"")</f>
        <v/>
      </c>
      <c r="E88" s="153"/>
      <c r="F88" s="154"/>
      <c r="G88" s="154"/>
      <c r="H88" s="155"/>
      <c r="I88" s="153"/>
    </row>
    <row r="90" spans="1:9" ht="14.25" customHeight="1">
      <c r="A90" s="152" t="str">
        <f>IF(B90="","","AFP"&amp;TEXT(ROW()-79,"00000"))</f>
        <v/>
      </c>
      <c r="B90" s="153"/>
      <c r="C90" s="153"/>
      <c r="D90" s="152" t="str">
        <f>IFERROR(INDEX(tbl_Projets[Titre complet du projet],MATCH(C90,tbl_Projets[ID Projet],0)),"")</f>
        <v/>
      </c>
      <c r="E90" s="153"/>
      <c r="F90" s="154"/>
      <c r="G90" s="154"/>
      <c r="H90" s="155"/>
      <c r="I90" s="153"/>
    </row>
    <row r="92" spans="1:9" ht="14.25" customHeight="1">
      <c r="A92" s="152" t="str">
        <f>IF(B92="","","AFP"&amp;TEXT(ROW()-79,"00000"))</f>
        <v/>
      </c>
      <c r="B92" s="153"/>
      <c r="C92" s="153"/>
      <c r="D92" s="152" t="str">
        <f>IFERROR(INDEX(tbl_Projets[Titre complet du projet],MATCH(C92,tbl_Projets[ID Projet],0)),"")</f>
        <v/>
      </c>
      <c r="E92" s="153"/>
      <c r="F92" s="154"/>
      <c r="G92" s="154"/>
      <c r="H92" s="155"/>
      <c r="I92" s="153"/>
    </row>
    <row r="94" spans="1:9" ht="14.25" customHeight="1">
      <c r="A94" s="152" t="str">
        <f>IF(B94="","","AFP"&amp;TEXT(ROW()-79,"00000"))</f>
        <v/>
      </c>
      <c r="B94" s="153"/>
      <c r="C94" s="153"/>
      <c r="D94" s="152" t="str">
        <f>IFERROR(INDEX(tbl_Projets[Titre complet du projet],MATCH(C94,tbl_Projets[ID Projet],0)),"")</f>
        <v/>
      </c>
      <c r="E94" s="153"/>
      <c r="F94" s="154"/>
      <c r="G94" s="154"/>
      <c r="H94" s="155"/>
      <c r="I94" s="153"/>
    </row>
    <row r="96" spans="1:9" ht="14.25" customHeight="1">
      <c r="A96" s="152" t="str">
        <f>IF(B96="","","AFP"&amp;TEXT(ROW()-79,"00000"))</f>
        <v/>
      </c>
      <c r="B96" s="153"/>
      <c r="C96" s="153"/>
      <c r="D96" s="152" t="str">
        <f>IFERROR(INDEX(tbl_Projets[Titre complet du projet],MATCH(C96,tbl_Projets[ID Projet],0)),"")</f>
        <v/>
      </c>
      <c r="E96" s="153"/>
      <c r="F96" s="154"/>
      <c r="G96" s="154"/>
      <c r="H96" s="155"/>
      <c r="I96" s="153"/>
    </row>
    <row r="98" spans="1:9" ht="14.25" customHeight="1">
      <c r="A98" s="152" t="str">
        <f>IF(B98="","","AFP"&amp;TEXT(ROW()-79,"00000"))</f>
        <v/>
      </c>
      <c r="B98" s="153"/>
      <c r="C98" s="153"/>
      <c r="D98" s="152" t="str">
        <f>IFERROR(INDEX(tbl_Projets[Titre complet du projet],MATCH(C98,tbl_Projets[ID Projet],0)),"")</f>
        <v/>
      </c>
      <c r="E98" s="153"/>
      <c r="F98" s="154"/>
      <c r="G98" s="154"/>
      <c r="H98" s="155"/>
      <c r="I98" s="153"/>
    </row>
    <row r="100" spans="1:9" ht="14.25" customHeight="1">
      <c r="A100" s="152" t="str">
        <f>IF(B100="","","AFP"&amp;TEXT(ROW()-79,"00000"))</f>
        <v/>
      </c>
      <c r="B100" s="153"/>
      <c r="C100" s="153"/>
      <c r="D100" s="152" t="str">
        <f>IFERROR(INDEX(tbl_Projets[Titre complet du projet],MATCH(C100,tbl_Projets[ID Projet],0)),"")</f>
        <v/>
      </c>
      <c r="E100" s="153"/>
      <c r="F100" s="154"/>
      <c r="G100" s="154"/>
      <c r="H100" s="155"/>
      <c r="I100" s="153"/>
    </row>
    <row r="102" spans="1:9" ht="14.25" customHeight="1">
      <c r="A102" s="152" t="str">
        <f>IF(B102="","","AFP"&amp;TEXT(ROW()-79,"00000"))</f>
        <v/>
      </c>
      <c r="B102" s="153"/>
      <c r="C102" s="153"/>
      <c r="D102" s="152" t="str">
        <f>IFERROR(INDEX(tbl_Projets[Titre complet du projet],MATCH(C102,tbl_Projets[ID Projet],0)),"")</f>
        <v/>
      </c>
      <c r="E102" s="153"/>
      <c r="F102" s="154"/>
      <c r="G102" s="154"/>
      <c r="H102" s="155"/>
      <c r="I102" s="153"/>
    </row>
    <row r="104" spans="1:9" ht="14.25" customHeight="1">
      <c r="A104" s="152" t="str">
        <f>IF(B104="","","AFP"&amp;TEXT(ROW()-79,"00000"))</f>
        <v/>
      </c>
      <c r="B104" s="153"/>
      <c r="C104" s="153"/>
      <c r="D104" s="152" t="str">
        <f>IFERROR(INDEX(tbl_Projets[Titre complet du projet],MATCH(C104,tbl_Projets[ID Projet],0)),"")</f>
        <v/>
      </c>
      <c r="E104" s="153"/>
      <c r="F104" s="154"/>
      <c r="G104" s="154"/>
      <c r="H104" s="155"/>
      <c r="I104" s="153"/>
    </row>
    <row r="106" spans="1:9" ht="14.25" customHeight="1">
      <c r="A106" s="152" t="str">
        <f>IF(B106="","","AFP"&amp;TEXT(ROW()-79,"00000"))</f>
        <v/>
      </c>
      <c r="B106" s="153"/>
      <c r="C106" s="153"/>
      <c r="D106" s="152" t="str">
        <f>IFERROR(INDEX(tbl_Projets[Titre complet du projet],MATCH(C106,tbl_Projets[ID Projet],0)),"")</f>
        <v/>
      </c>
      <c r="E106" s="153"/>
      <c r="F106" s="154"/>
      <c r="G106" s="154"/>
      <c r="H106" s="155"/>
      <c r="I106" s="153"/>
    </row>
    <row r="108" spans="1:9" ht="14.25" customHeight="1">
      <c r="A108" s="152" t="str">
        <f>IF(B108="","","AFP"&amp;TEXT(ROW()-79,"00000"))</f>
        <v/>
      </c>
      <c r="B108" s="153"/>
      <c r="C108" s="153"/>
      <c r="D108" s="152" t="str">
        <f>IFERROR(INDEX(tbl_Projets[Titre complet du projet],MATCH(C108,tbl_Projets[ID Projet],0)),"")</f>
        <v/>
      </c>
      <c r="E108" s="153"/>
      <c r="F108" s="154"/>
      <c r="G108" s="154"/>
      <c r="H108" s="155"/>
      <c r="I108" s="153"/>
    </row>
    <row r="110" spans="1:9" ht="14.25" customHeight="1">
      <c r="A110" s="152" t="str">
        <f>IF(B110="","","AFP"&amp;TEXT(ROW()-79,"00000"))</f>
        <v/>
      </c>
      <c r="B110" s="153"/>
      <c r="C110" s="153"/>
      <c r="D110" s="152" t="str">
        <f>IFERROR(INDEX(tbl_Projets[Titre complet du projet],MATCH(C110,tbl_Projets[ID Projet],0)),"")</f>
        <v/>
      </c>
      <c r="E110" s="153"/>
      <c r="F110" s="154"/>
      <c r="G110" s="154"/>
      <c r="H110" s="155"/>
      <c r="I110" s="153"/>
    </row>
    <row r="111" spans="1:9" ht="15" customHeight="1">
      <c r="A111" s="302" t="s">
        <v>2368</v>
      </c>
      <c r="B111" s="262"/>
      <c r="C111" s="262"/>
      <c r="D111" s="262"/>
      <c r="E111" s="262"/>
      <c r="F111" s="262"/>
      <c r="G111" s="262"/>
    </row>
    <row r="112" spans="1:9" ht="14.25" customHeight="1">
      <c r="A112" s="14" t="s">
        <v>1511</v>
      </c>
      <c r="B112" s="14" t="s">
        <v>2340</v>
      </c>
      <c r="C112" s="14" t="s">
        <v>1774</v>
      </c>
      <c r="D112" s="14" t="s">
        <v>1622</v>
      </c>
      <c r="E112" s="14" t="s">
        <v>1729</v>
      </c>
      <c r="F112" s="156" t="s">
        <v>1428</v>
      </c>
      <c r="G112" s="156" t="s">
        <v>1408</v>
      </c>
      <c r="H112" s="155"/>
      <c r="I112" s="153"/>
    </row>
    <row r="113" spans="1:9" ht="14.25" customHeight="1">
      <c r="A113" s="152" t="str">
        <f>IF(B113="","","AFA"&amp;TEXT(ROW()-112,"00000"))</f>
        <v/>
      </c>
      <c r="B113" s="153"/>
      <c r="C113" s="153"/>
      <c r="D113" s="152" t="str">
        <f>IFERROR(INDEX(tbl_Activites[Intitule de l''activite],MATCH(C113,tbl_Activites[ID Activite],0)),"")</f>
        <v/>
      </c>
      <c r="E113" s="153"/>
      <c r="F113" s="154"/>
      <c r="G113" s="153"/>
    </row>
    <row r="114" spans="1:9" ht="14.25" customHeight="1">
      <c r="A114" s="152" t="str">
        <f>IF(B114="","","AFP"&amp;TEXT(ROW()-79,"00000"))</f>
        <v/>
      </c>
      <c r="B114" s="153"/>
      <c r="C114" s="153"/>
      <c r="D114" s="152" t="str">
        <f>IFERROR(INDEX(tbl_Projets[Titre complet du projet],MATCH(C114,tbl_Projets[ID Projet],0)),"")</f>
        <v/>
      </c>
      <c r="E114" s="153"/>
      <c r="F114" s="154"/>
      <c r="G114" s="154"/>
      <c r="H114" s="155"/>
      <c r="I114" s="153"/>
    </row>
    <row r="115" spans="1:9" ht="14.25" customHeight="1">
      <c r="A115" s="152" t="str">
        <f>IF(B115="","","AFA"&amp;TEXT(ROW()-112,"00000"))</f>
        <v/>
      </c>
      <c r="B115" s="153"/>
      <c r="C115" s="153"/>
      <c r="D115" s="152" t="str">
        <f>IFERROR(INDEX(tbl_Activites[Intitule de l''activite],MATCH(C115,tbl_Activites[ID Activite],0)),"")</f>
        <v/>
      </c>
      <c r="E115" s="153"/>
      <c r="F115" s="154"/>
      <c r="G115" s="153"/>
    </row>
    <row r="116" spans="1:9" ht="14.25" customHeight="1">
      <c r="A116" s="152" t="str">
        <f>IF(B116="","","AFP"&amp;TEXT(ROW()-79,"00000"))</f>
        <v/>
      </c>
      <c r="B116" s="153"/>
      <c r="C116" s="153"/>
      <c r="D116" s="152" t="str">
        <f>IFERROR(INDEX(tbl_Projets[Titre complet du projet],MATCH(C116,tbl_Projets[ID Projet],0)),"")</f>
        <v/>
      </c>
      <c r="E116" s="153"/>
      <c r="F116" s="154"/>
      <c r="G116" s="154"/>
      <c r="H116" s="155"/>
      <c r="I116" s="153"/>
    </row>
    <row r="117" spans="1:9" ht="14.25" customHeight="1">
      <c r="A117" s="152" t="str">
        <f>IF(B117="","","AFA"&amp;TEXT(ROW()-112,"00000"))</f>
        <v/>
      </c>
      <c r="B117" s="153"/>
      <c r="C117" s="153"/>
      <c r="D117" s="152" t="str">
        <f>IFERROR(INDEX(tbl_Activites[Intitule de l''activite],MATCH(C117,tbl_Activites[ID Activite],0)),"")</f>
        <v/>
      </c>
      <c r="E117" s="153"/>
      <c r="F117" s="154"/>
      <c r="G117" s="153"/>
    </row>
    <row r="118" spans="1:9" ht="14.25" customHeight="1">
      <c r="A118" s="152" t="str">
        <f>IF(B118="","","AFP"&amp;TEXT(ROW()-79,"00000"))</f>
        <v/>
      </c>
      <c r="B118" s="153"/>
      <c r="C118" s="153"/>
      <c r="D118" s="152" t="str">
        <f>IFERROR(INDEX(tbl_Projets[Titre complet du projet],MATCH(C118,tbl_Projets[ID Projet],0)),"")</f>
        <v/>
      </c>
      <c r="E118" s="153"/>
      <c r="F118" s="154"/>
      <c r="G118" s="154"/>
      <c r="H118" s="155"/>
      <c r="I118" s="153"/>
    </row>
    <row r="119" spans="1:9" ht="14.25" customHeight="1">
      <c r="A119" s="152" t="str">
        <f>IF(B119="","","AFA"&amp;TEXT(ROW()-112,"00000"))</f>
        <v/>
      </c>
      <c r="B119" s="153"/>
      <c r="C119" s="153"/>
      <c r="D119" s="152" t="str">
        <f>IFERROR(INDEX(tbl_Activites[Intitule de l''activite],MATCH(C119,tbl_Activites[ID Activite],0)),"")</f>
        <v/>
      </c>
      <c r="E119" s="153"/>
      <c r="F119" s="154"/>
      <c r="G119" s="153"/>
    </row>
    <row r="120" spans="1:9" ht="14.25" customHeight="1">
      <c r="A120" s="152" t="str">
        <f>IF(B120="","","AFP"&amp;TEXT(ROW()-79,"00000"))</f>
        <v/>
      </c>
      <c r="B120" s="153"/>
      <c r="C120" s="153"/>
      <c r="D120" s="152" t="str">
        <f>IFERROR(INDEX(tbl_Projets[Titre complet du projet],MATCH(C120,tbl_Projets[ID Projet],0)),"")</f>
        <v/>
      </c>
      <c r="E120" s="153"/>
      <c r="F120" s="154"/>
      <c r="G120" s="154"/>
      <c r="H120" s="155"/>
      <c r="I120" s="153"/>
    </row>
    <row r="121" spans="1:9" ht="14.25" customHeight="1">
      <c r="A121" s="152" t="str">
        <f>IF(B121="","","AFA"&amp;TEXT(ROW()-112,"00000"))</f>
        <v/>
      </c>
      <c r="B121" s="153"/>
      <c r="C121" s="153"/>
      <c r="D121" s="152" t="str">
        <f>IFERROR(INDEX(tbl_Activites[Intitule de l''activite],MATCH(C121,tbl_Activites[ID Activite],0)),"")</f>
        <v/>
      </c>
      <c r="E121" s="153"/>
      <c r="F121" s="154"/>
      <c r="G121" s="153"/>
    </row>
    <row r="122" spans="1:9" ht="14.25" customHeight="1">
      <c r="A122" s="152" t="str">
        <f>IF(B122="","","AFP"&amp;TEXT(ROW()-79,"00000"))</f>
        <v/>
      </c>
      <c r="B122" s="153"/>
      <c r="C122" s="153"/>
      <c r="D122" s="152" t="str">
        <f>IFERROR(INDEX(tbl_Projets[Titre complet du projet],MATCH(C122,tbl_Projets[ID Projet],0)),"")</f>
        <v/>
      </c>
      <c r="E122" s="153"/>
      <c r="F122" s="154"/>
      <c r="G122" s="154"/>
      <c r="H122" s="155"/>
      <c r="I122" s="153"/>
    </row>
    <row r="123" spans="1:9" ht="14.25" customHeight="1">
      <c r="A123" s="152" t="str">
        <f>IF(B123="","","AFA"&amp;TEXT(ROW()-112,"00000"))</f>
        <v/>
      </c>
      <c r="B123" s="153"/>
      <c r="C123" s="153"/>
      <c r="D123" s="152" t="str">
        <f>IFERROR(INDEX(tbl_Activites[Intitule de l''activite],MATCH(C123,tbl_Activites[ID Activite],0)),"")</f>
        <v/>
      </c>
      <c r="E123" s="153"/>
      <c r="F123" s="154"/>
      <c r="G123" s="153"/>
    </row>
    <row r="124" spans="1:9" ht="14.25" customHeight="1">
      <c r="A124" s="152" t="str">
        <f>IF(B124="","","AFP"&amp;TEXT(ROW()-79,"00000"))</f>
        <v/>
      </c>
      <c r="B124" s="153"/>
      <c r="C124" s="153"/>
      <c r="D124" s="152" t="str">
        <f>IFERROR(INDEX(tbl_Projets[Titre complet du projet],MATCH(C124,tbl_Projets[ID Projet],0)),"")</f>
        <v/>
      </c>
      <c r="E124" s="153"/>
      <c r="F124" s="154"/>
      <c r="G124" s="154"/>
      <c r="H124" s="155"/>
      <c r="I124" s="153"/>
    </row>
    <row r="125" spans="1:9" ht="14.25" customHeight="1">
      <c r="A125" s="152" t="str">
        <f>IF(B125="","","AFA"&amp;TEXT(ROW()-112,"00000"))</f>
        <v/>
      </c>
      <c r="B125" s="153"/>
      <c r="C125" s="153"/>
      <c r="D125" s="152" t="str">
        <f>IFERROR(INDEX(tbl_Activites[Intitule de l''activite],MATCH(C125,tbl_Activites[ID Activite],0)),"")</f>
        <v/>
      </c>
      <c r="E125" s="153"/>
      <c r="F125" s="154"/>
      <c r="G125" s="153"/>
    </row>
    <row r="126" spans="1:9" ht="14.25" customHeight="1">
      <c r="A126" s="152" t="str">
        <f>IF(B126="","","AFP"&amp;TEXT(ROW()-79,"00000"))</f>
        <v/>
      </c>
      <c r="B126" s="153"/>
      <c r="C126" s="153"/>
      <c r="D126" s="152" t="str">
        <f>IFERROR(INDEX(tbl_Projets[Titre complet du projet],MATCH(C126,tbl_Projets[ID Projet],0)),"")</f>
        <v/>
      </c>
      <c r="E126" s="153"/>
      <c r="F126" s="154"/>
      <c r="G126" s="154"/>
      <c r="H126" s="155"/>
      <c r="I126" s="153"/>
    </row>
    <row r="127" spans="1:9" ht="14.25" customHeight="1">
      <c r="A127" s="152" t="str">
        <f>IF(B127="","","AFA"&amp;TEXT(ROW()-112,"00000"))</f>
        <v/>
      </c>
      <c r="B127" s="153"/>
      <c r="C127" s="153"/>
      <c r="D127" s="152" t="str">
        <f>IFERROR(INDEX(tbl_Activites[Intitule de l''activite],MATCH(C127,tbl_Activites[ID Activite],0)),"")</f>
        <v/>
      </c>
      <c r="E127" s="153"/>
      <c r="F127" s="154"/>
      <c r="G127" s="153"/>
    </row>
    <row r="128" spans="1:9" ht="14.25" customHeight="1">
      <c r="A128" s="152" t="str">
        <f>IF(B128="","","AFP"&amp;TEXT(ROW()-79,"00000"))</f>
        <v/>
      </c>
      <c r="B128" s="153"/>
      <c r="C128" s="153"/>
      <c r="D128" s="152" t="str">
        <f>IFERROR(INDEX(tbl_Projets[Titre complet du projet],MATCH(C128,tbl_Projets[ID Projet],0)),"")</f>
        <v/>
      </c>
      <c r="E128" s="153"/>
      <c r="F128" s="154"/>
      <c r="G128" s="154"/>
      <c r="H128" s="155"/>
      <c r="I128" s="153"/>
    </row>
    <row r="129" spans="1:9" ht="14.25" customHeight="1">
      <c r="A129" s="152" t="str">
        <f>IF(B129="","","AFA"&amp;TEXT(ROW()-112,"00000"))</f>
        <v/>
      </c>
      <c r="B129" s="153"/>
      <c r="C129" s="153"/>
      <c r="D129" s="152" t="str">
        <f>IFERROR(INDEX(tbl_Activites[Intitule de l''activite],MATCH(C129,tbl_Activites[ID Activite],0)),"")</f>
        <v/>
      </c>
      <c r="E129" s="153"/>
      <c r="F129" s="154"/>
      <c r="G129" s="153"/>
    </row>
    <row r="130" spans="1:9" ht="14.25" customHeight="1">
      <c r="A130" s="152" t="str">
        <f>IF(B130="","","AFP"&amp;TEXT(ROW()-79,"00000"))</f>
        <v/>
      </c>
      <c r="B130" s="153"/>
      <c r="C130" s="153"/>
      <c r="D130" s="152" t="str">
        <f>IFERROR(INDEX(tbl_Projets[Titre complet du projet],MATCH(C130,tbl_Projets[ID Projet],0)),"")</f>
        <v/>
      </c>
      <c r="E130" s="153"/>
      <c r="F130" s="154"/>
      <c r="G130" s="154"/>
      <c r="H130" s="155"/>
      <c r="I130" s="153"/>
    </row>
    <row r="131" spans="1:9" ht="14.25" customHeight="1">
      <c r="A131" s="152" t="str">
        <f>IF(B131="","","AFA"&amp;TEXT(ROW()-112,"00000"))</f>
        <v/>
      </c>
      <c r="B131" s="153"/>
      <c r="C131" s="153"/>
      <c r="D131" s="152" t="str">
        <f>IFERROR(INDEX(tbl_Activites[Intitule de l''activite],MATCH(C131,tbl_Activites[ID Activite],0)),"")</f>
        <v/>
      </c>
      <c r="E131" s="153"/>
      <c r="F131" s="154"/>
      <c r="G131" s="153"/>
    </row>
    <row r="132" spans="1:9" ht="14.25" customHeight="1">
      <c r="A132" s="152" t="str">
        <f>IF(B132="","","AFP"&amp;TEXT(ROW()-79,"00000"))</f>
        <v/>
      </c>
      <c r="B132" s="153"/>
      <c r="C132" s="153"/>
      <c r="D132" s="152" t="str">
        <f>IFERROR(INDEX(tbl_Projets[Titre complet du projet],MATCH(C132,tbl_Projets[ID Projet],0)),"")</f>
        <v/>
      </c>
      <c r="E132" s="153"/>
      <c r="F132" s="154"/>
      <c r="G132" s="154"/>
      <c r="H132" s="155"/>
      <c r="I132" s="153"/>
    </row>
    <row r="133" spans="1:9" ht="14.25" customHeight="1">
      <c r="A133" s="152" t="str">
        <f>IF(B133="","","AFA"&amp;TEXT(ROW()-112,"00000"))</f>
        <v/>
      </c>
      <c r="B133" s="153"/>
      <c r="C133" s="153"/>
      <c r="D133" s="152" t="str">
        <f>IFERROR(INDEX(tbl_Activites[Intitule de l''activite],MATCH(C133,tbl_Activites[ID Activite],0)),"")</f>
        <v/>
      </c>
      <c r="E133" s="153"/>
      <c r="F133" s="154"/>
      <c r="G133" s="153"/>
    </row>
    <row r="134" spans="1:9" ht="14.25" customHeight="1">
      <c r="A134" s="152" t="str">
        <f>IF(B134="","","AFP"&amp;TEXT(ROW()-79,"00000"))</f>
        <v/>
      </c>
      <c r="B134" s="153"/>
      <c r="C134" s="153"/>
      <c r="D134" s="152" t="str">
        <f>IFERROR(INDEX(tbl_Projets[Titre complet du projet],MATCH(C134,tbl_Projets[ID Projet],0)),"")</f>
        <v/>
      </c>
      <c r="E134" s="153"/>
      <c r="F134" s="154"/>
      <c r="G134" s="154"/>
      <c r="H134" s="155"/>
      <c r="I134" s="153"/>
    </row>
    <row r="135" spans="1:9" ht="14.25" customHeight="1">
      <c r="A135" s="152" t="str">
        <f>IF(B135="","","AFA"&amp;TEXT(ROW()-112,"00000"))</f>
        <v/>
      </c>
      <c r="B135" s="153"/>
      <c r="C135" s="153"/>
      <c r="D135" s="152" t="str">
        <f>IFERROR(INDEX(tbl_Activites[Intitule de l''activite],MATCH(C135,tbl_Activites[ID Activite],0)),"")</f>
        <v/>
      </c>
      <c r="E135" s="153"/>
      <c r="F135" s="154"/>
      <c r="G135" s="153"/>
    </row>
    <row r="136" spans="1:9" ht="14.25" customHeight="1">
      <c r="A136" s="152" t="str">
        <f>IF(B136="","","AFP"&amp;TEXT(ROW()-79,"00000"))</f>
        <v/>
      </c>
      <c r="B136" s="153"/>
      <c r="C136" s="153"/>
      <c r="D136" s="152" t="str">
        <f>IFERROR(INDEX(tbl_Projets[Titre complet du projet],MATCH(C136,tbl_Projets[ID Projet],0)),"")</f>
        <v/>
      </c>
      <c r="E136" s="153"/>
      <c r="F136" s="154"/>
      <c r="G136" s="154"/>
      <c r="H136" s="155"/>
      <c r="I136" s="153"/>
    </row>
    <row r="137" spans="1:9" ht="14.25" customHeight="1">
      <c r="A137" s="152" t="str">
        <f>IF(B137="","","AFA"&amp;TEXT(ROW()-112,"00000"))</f>
        <v/>
      </c>
      <c r="B137" s="153"/>
      <c r="C137" s="153"/>
      <c r="D137" s="152" t="str">
        <f>IFERROR(INDEX(tbl_Activites[Intitule de l''activite],MATCH(C137,tbl_Activites[ID Activite],0)),"")</f>
        <v/>
      </c>
      <c r="E137" s="153"/>
      <c r="F137" s="154"/>
      <c r="G137" s="153"/>
    </row>
    <row r="138" spans="1:9" ht="14.25" customHeight="1">
      <c r="A138" s="152" t="str">
        <f>IF(B138="","","AFP"&amp;TEXT(ROW()-79,"00000"))</f>
        <v/>
      </c>
      <c r="B138" s="153"/>
      <c r="C138" s="153"/>
      <c r="D138" s="152" t="str">
        <f>IFERROR(INDEX(tbl_Projets[Titre complet du projet],MATCH(C138,tbl_Projets[ID Projet],0)),"")</f>
        <v/>
      </c>
      <c r="E138" s="153"/>
      <c r="F138" s="154"/>
      <c r="G138" s="154"/>
      <c r="H138" s="155"/>
      <c r="I138" s="153"/>
    </row>
    <row r="139" spans="1:9" ht="14.25" customHeight="1">
      <c r="A139" s="152" t="str">
        <f>IF(B139="","","AFA"&amp;TEXT(ROW()-112,"00000"))</f>
        <v/>
      </c>
      <c r="B139" s="153"/>
      <c r="C139" s="153"/>
      <c r="D139" s="152" t="str">
        <f>IFERROR(INDEX(tbl_Activites[Intitule de l''activite],MATCH(C139,tbl_Activites[ID Activite],0)),"")</f>
        <v/>
      </c>
      <c r="E139" s="153"/>
      <c r="F139" s="154"/>
      <c r="G139" s="153"/>
    </row>
    <row r="141" spans="1:9" ht="14.25" customHeight="1">
      <c r="A141" s="152" t="str">
        <f>IF(B141="","","AFA"&amp;TEXT(ROW()-112,"00000"))</f>
        <v/>
      </c>
      <c r="B141" s="153"/>
      <c r="C141" s="153"/>
      <c r="D141" s="152" t="str">
        <f>IFERROR(INDEX(tbl_Activites[Intitule de l''activite],MATCH(C141,tbl_Activites[ID Activite],0)),"")</f>
        <v/>
      </c>
      <c r="E141" s="153"/>
      <c r="F141" s="154"/>
      <c r="G141" s="153"/>
    </row>
    <row r="143" spans="1:9" ht="14.25" customHeight="1">
      <c r="A143" s="152" t="str">
        <f>IF(B143="","","AFA"&amp;TEXT(ROW()-112,"00000"))</f>
        <v/>
      </c>
      <c r="B143" s="153"/>
      <c r="C143" s="153"/>
      <c r="D143" s="152" t="str">
        <f>IFERROR(INDEX(tbl_Activites[Intitule de l''activite],MATCH(C143,tbl_Activites[ID Activite],0)),"")</f>
        <v/>
      </c>
      <c r="E143" s="153"/>
      <c r="F143" s="154"/>
      <c r="G143" s="153"/>
    </row>
    <row r="144" spans="1:9" ht="15" customHeight="1">
      <c r="A144" s="302" t="s">
        <v>2369</v>
      </c>
      <c r="B144" s="262"/>
      <c r="C144" s="262"/>
      <c r="D144" s="262"/>
      <c r="E144" s="262"/>
      <c r="F144" s="262"/>
      <c r="G144" s="262"/>
      <c r="H144" s="262"/>
    </row>
    <row r="145" spans="1:8" ht="14.25" customHeight="1">
      <c r="A145" s="14" t="s">
        <v>2370</v>
      </c>
      <c r="B145" s="14" t="s">
        <v>2340</v>
      </c>
      <c r="C145" s="14" t="s">
        <v>385</v>
      </c>
      <c r="D145" s="14" t="s">
        <v>2371</v>
      </c>
      <c r="E145" s="14" t="s">
        <v>1428</v>
      </c>
      <c r="F145" s="156" t="s">
        <v>2372</v>
      </c>
      <c r="G145" s="14" t="s">
        <v>2373</v>
      </c>
      <c r="H145" s="14" t="s">
        <v>2374</v>
      </c>
    </row>
    <row r="146" spans="1:8" ht="14.25" customHeight="1">
      <c r="A146" s="152" t="str">
        <f>IF(B146="","","FOR"&amp;TEXT(ROW()-145,"00000"))</f>
        <v/>
      </c>
      <c r="B146" s="153"/>
      <c r="C146" s="153"/>
      <c r="D146" s="153"/>
      <c r="E146" s="154"/>
      <c r="F146" s="153"/>
      <c r="G146" s="157"/>
      <c r="H146" s="153"/>
    </row>
    <row r="147" spans="1:8" ht="14.25" customHeight="1">
      <c r="A147" s="152" t="str">
        <f>IF(B147="","","AFA"&amp;TEXT(ROW()-112,"00000"))</f>
        <v/>
      </c>
      <c r="B147" s="153"/>
      <c r="C147" s="153"/>
      <c r="D147" s="152" t="str">
        <f>IFERROR(INDEX(tbl_Activites[Intitule de l''activite],MATCH(C147,tbl_Activites[ID Activite],0)),"")</f>
        <v/>
      </c>
      <c r="E147" s="153"/>
      <c r="F147" s="154"/>
      <c r="G147" s="153"/>
    </row>
    <row r="148" spans="1:8" ht="14.25" customHeight="1">
      <c r="A148" s="152" t="str">
        <f>IF(B148="","","FOR"&amp;TEXT(ROW()-145,"00000"))</f>
        <v/>
      </c>
      <c r="B148" s="153"/>
      <c r="C148" s="153"/>
      <c r="D148" s="153"/>
      <c r="E148" s="154"/>
      <c r="F148" s="153"/>
      <c r="G148" s="157"/>
      <c r="H148" s="153"/>
    </row>
    <row r="149" spans="1:8" ht="14.25" customHeight="1">
      <c r="A149" s="152" t="str">
        <f>IF(B149="","","AFA"&amp;TEXT(ROW()-112,"00000"))</f>
        <v/>
      </c>
      <c r="B149" s="153"/>
      <c r="C149" s="153"/>
      <c r="D149" s="152" t="str">
        <f>IFERROR(INDEX(tbl_Activites[Intitule de l''activite],MATCH(C149,tbl_Activites[ID Activite],0)),"")</f>
        <v/>
      </c>
      <c r="E149" s="153"/>
      <c r="F149" s="154"/>
      <c r="G149" s="153"/>
    </row>
    <row r="150" spans="1:8" ht="14.25" customHeight="1">
      <c r="A150" s="152" t="str">
        <f>IF(B150="","","FOR"&amp;TEXT(ROW()-145,"00000"))</f>
        <v/>
      </c>
      <c r="B150" s="153"/>
      <c r="C150" s="153"/>
      <c r="D150" s="153"/>
      <c r="E150" s="154"/>
      <c r="F150" s="153"/>
      <c r="G150" s="157"/>
      <c r="H150" s="153"/>
    </row>
    <row r="151" spans="1:8" ht="14.25" customHeight="1">
      <c r="A151" s="152" t="str">
        <f>IF(B151="","","AFA"&amp;TEXT(ROW()-112,"00000"))</f>
        <v/>
      </c>
      <c r="B151" s="153"/>
      <c r="C151" s="153"/>
      <c r="D151" s="152" t="str">
        <f>IFERROR(INDEX(tbl_Activites[Intitule de l''activite],MATCH(C151,tbl_Activites[ID Activite],0)),"")</f>
        <v/>
      </c>
      <c r="E151" s="153"/>
      <c r="F151" s="154"/>
      <c r="G151" s="153"/>
    </row>
    <row r="152" spans="1:8" ht="14.25" customHeight="1">
      <c r="A152" s="152" t="str">
        <f>IF(B152="","","FOR"&amp;TEXT(ROW()-145,"00000"))</f>
        <v/>
      </c>
      <c r="B152" s="153"/>
      <c r="C152" s="153"/>
      <c r="D152" s="153"/>
      <c r="E152" s="154"/>
      <c r="F152" s="153"/>
      <c r="G152" s="157"/>
      <c r="H152" s="153"/>
    </row>
    <row r="153" spans="1:8" ht="14.25" customHeight="1">
      <c r="A153" s="152" t="str">
        <f>IF(B153="","","AFA"&amp;TEXT(ROW()-112,"00000"))</f>
        <v/>
      </c>
      <c r="B153" s="153"/>
      <c r="C153" s="153"/>
      <c r="D153" s="152" t="str">
        <f>IFERROR(INDEX(tbl_Activites[Intitule de l''activite],MATCH(C153,tbl_Activites[ID Activite],0)),"")</f>
        <v/>
      </c>
      <c r="E153" s="153"/>
      <c r="F153" s="154"/>
      <c r="G153" s="153"/>
    </row>
    <row r="154" spans="1:8" ht="14.25" customHeight="1">
      <c r="A154" s="152" t="str">
        <f>IF(B154="","","FOR"&amp;TEXT(ROW()-145,"00000"))</f>
        <v/>
      </c>
      <c r="B154" s="153"/>
      <c r="C154" s="153"/>
      <c r="D154" s="153"/>
      <c r="E154" s="154"/>
      <c r="F154" s="153"/>
      <c r="G154" s="157"/>
      <c r="H154" s="153"/>
    </row>
    <row r="155" spans="1:8" ht="14.25" customHeight="1">
      <c r="A155" s="152" t="str">
        <f>IF(B155="","","AFA"&amp;TEXT(ROW()-112,"00000"))</f>
        <v/>
      </c>
      <c r="B155" s="153"/>
      <c r="C155" s="153"/>
      <c r="D155" s="152" t="str">
        <f>IFERROR(INDEX(tbl_Activites[Intitule de l''activite],MATCH(C155,tbl_Activites[ID Activite],0)),"")</f>
        <v/>
      </c>
      <c r="E155" s="153"/>
      <c r="F155" s="154"/>
      <c r="G155" s="153"/>
    </row>
    <row r="156" spans="1:8" ht="14.25" customHeight="1">
      <c r="A156" s="152" t="str">
        <f>IF(B156="","","FOR"&amp;TEXT(ROW()-145,"00000"))</f>
        <v/>
      </c>
      <c r="B156" s="153"/>
      <c r="C156" s="153"/>
      <c r="D156" s="153"/>
      <c r="E156" s="154"/>
      <c r="F156" s="153"/>
      <c r="G156" s="157"/>
      <c r="H156" s="153"/>
    </row>
    <row r="157" spans="1:8" ht="14.25" customHeight="1">
      <c r="A157" s="152" t="str">
        <f>IF(B157="","","AFA"&amp;TEXT(ROW()-112,"00000"))</f>
        <v/>
      </c>
      <c r="B157" s="153"/>
      <c r="C157" s="153"/>
      <c r="D157" s="152" t="str">
        <f>IFERROR(INDEX(tbl_Activites[Intitule de l''activite],MATCH(C157,tbl_Activites[ID Activite],0)),"")</f>
        <v/>
      </c>
      <c r="E157" s="153"/>
      <c r="F157" s="154"/>
      <c r="G157" s="153"/>
    </row>
    <row r="158" spans="1:8" ht="14.25" customHeight="1">
      <c r="A158" s="152" t="str">
        <f>IF(B158="","","FOR"&amp;TEXT(ROW()-145,"00000"))</f>
        <v/>
      </c>
      <c r="B158" s="153"/>
      <c r="C158" s="153"/>
      <c r="D158" s="153"/>
      <c r="E158" s="154"/>
      <c r="F158" s="153"/>
      <c r="G158" s="157"/>
      <c r="H158" s="153"/>
    </row>
    <row r="159" spans="1:8" ht="14.25" customHeight="1">
      <c r="A159" s="152" t="str">
        <f>IF(B159="","","AFA"&amp;TEXT(ROW()-112,"00000"))</f>
        <v/>
      </c>
      <c r="B159" s="153"/>
      <c r="C159" s="153"/>
      <c r="D159" s="152" t="str">
        <f>IFERROR(INDEX(tbl_Activites[Intitule de l''activite],MATCH(C159,tbl_Activites[ID Activite],0)),"")</f>
        <v/>
      </c>
      <c r="E159" s="153"/>
      <c r="F159" s="154"/>
      <c r="G159" s="153"/>
    </row>
    <row r="160" spans="1:8" ht="14.25" customHeight="1">
      <c r="A160" s="152" t="str">
        <f>IF(B160="","","FOR"&amp;TEXT(ROW()-145,"00000"))</f>
        <v/>
      </c>
      <c r="B160" s="153"/>
      <c r="C160" s="153"/>
      <c r="D160" s="153"/>
      <c r="E160" s="154"/>
      <c r="F160" s="153"/>
      <c r="G160" s="157"/>
      <c r="H160" s="153"/>
    </row>
    <row r="161" spans="1:8" ht="14.25" customHeight="1">
      <c r="A161" s="152" t="str">
        <f>IF(B161="","","AFA"&amp;TEXT(ROW()-112,"00000"))</f>
        <v/>
      </c>
      <c r="B161" s="153"/>
      <c r="C161" s="153"/>
      <c r="D161" s="152" t="str">
        <f>IFERROR(INDEX(tbl_Activites[Intitule de l''activite],MATCH(C161,tbl_Activites[ID Activite],0)),"")</f>
        <v/>
      </c>
      <c r="E161" s="153"/>
      <c r="F161" s="154"/>
      <c r="G161" s="153"/>
    </row>
    <row r="162" spans="1:8" ht="14.25" customHeight="1">
      <c r="A162" s="152" t="str">
        <f>IF(B162="","","FOR"&amp;TEXT(ROW()-145,"00000"))</f>
        <v/>
      </c>
      <c r="B162" s="153"/>
      <c r="C162" s="153"/>
      <c r="D162" s="153"/>
      <c r="E162" s="154"/>
      <c r="F162" s="153"/>
      <c r="G162" s="157"/>
      <c r="H162" s="153"/>
    </row>
    <row r="163" spans="1:8" ht="14.25" customHeight="1">
      <c r="A163" s="152" t="str">
        <f>IF(B163="","","AFA"&amp;TEXT(ROW()-112,"00000"))</f>
        <v/>
      </c>
      <c r="B163" s="153"/>
      <c r="C163" s="153"/>
      <c r="D163" s="152" t="str">
        <f>IFERROR(INDEX(tbl_Activites[Intitule de l''activite],MATCH(C163,tbl_Activites[ID Activite],0)),"")</f>
        <v/>
      </c>
      <c r="E163" s="153"/>
      <c r="F163" s="154"/>
      <c r="G163" s="153"/>
    </row>
    <row r="164" spans="1:8" ht="14.25" customHeight="1">
      <c r="A164" s="152" t="str">
        <f>IF(B164="","","FOR"&amp;TEXT(ROW()-145,"00000"))</f>
        <v/>
      </c>
      <c r="B164" s="153"/>
      <c r="C164" s="153"/>
      <c r="D164" s="153"/>
      <c r="E164" s="154"/>
      <c r="F164" s="153"/>
      <c r="G164" s="157"/>
      <c r="H164" s="153"/>
    </row>
    <row r="165" spans="1:8" ht="14.25" customHeight="1">
      <c r="A165" s="152" t="str">
        <f>IF(B165="","","AFA"&amp;TEXT(ROW()-112,"00000"))</f>
        <v/>
      </c>
      <c r="B165" s="153"/>
      <c r="C165" s="153"/>
      <c r="D165" s="152" t="str">
        <f>IFERROR(INDEX(tbl_Activites[Intitule de l''activite],MATCH(C165,tbl_Activites[ID Activite],0)),"")</f>
        <v/>
      </c>
      <c r="E165" s="153"/>
      <c r="F165" s="154"/>
      <c r="G165" s="153"/>
    </row>
    <row r="166" spans="1:8" ht="14.25" customHeight="1">
      <c r="A166" s="152" t="str">
        <f>IF(B166="","","FOR"&amp;TEXT(ROW()-145,"00000"))</f>
        <v/>
      </c>
      <c r="B166" s="153"/>
      <c r="C166" s="153"/>
      <c r="D166" s="153"/>
      <c r="E166" s="154"/>
      <c r="F166" s="153"/>
      <c r="G166" s="157"/>
      <c r="H166" s="153"/>
    </row>
    <row r="167" spans="1:8" ht="14.25" customHeight="1">
      <c r="A167" s="152" t="str">
        <f>IF(B167="","","AFA"&amp;TEXT(ROW()-112,"00000"))</f>
        <v/>
      </c>
      <c r="B167" s="153"/>
      <c r="C167" s="153"/>
      <c r="D167" s="152" t="str">
        <f>IFERROR(INDEX(tbl_Activites[Intitule de l''activite],MATCH(C167,tbl_Activites[ID Activite],0)),"")</f>
        <v/>
      </c>
      <c r="E167" s="153"/>
      <c r="F167" s="154"/>
      <c r="G167" s="153"/>
    </row>
    <row r="168" spans="1:8" ht="14.25" customHeight="1">
      <c r="A168" s="152" t="str">
        <f>IF(B168="","","FOR"&amp;TEXT(ROW()-145,"00000"))</f>
        <v/>
      </c>
      <c r="B168" s="153"/>
      <c r="C168" s="153"/>
      <c r="D168" s="153"/>
      <c r="E168" s="154"/>
      <c r="F168" s="153"/>
      <c r="G168" s="157"/>
      <c r="H168" s="153"/>
    </row>
    <row r="169" spans="1:8" ht="14.25" customHeight="1">
      <c r="A169" s="152" t="str">
        <f>IF(B169="","","AFA"&amp;TEXT(ROW()-112,"00000"))</f>
        <v/>
      </c>
      <c r="B169" s="153"/>
      <c r="C169" s="153"/>
      <c r="D169" s="152" t="str">
        <f>IFERROR(INDEX(tbl_Activites[Intitule de l''activite],MATCH(C169,tbl_Activites[ID Activite],0)),"")</f>
        <v/>
      </c>
      <c r="E169" s="153"/>
      <c r="F169" s="154"/>
      <c r="G169" s="153"/>
    </row>
    <row r="170" spans="1:8" ht="14.25" customHeight="1">
      <c r="A170" s="152" t="str">
        <f>IF(B170="","","FOR"&amp;TEXT(ROW()-145,"00000"))</f>
        <v/>
      </c>
      <c r="B170" s="153"/>
      <c r="C170" s="153"/>
      <c r="D170" s="153"/>
      <c r="E170" s="154"/>
      <c r="F170" s="153"/>
      <c r="G170" s="157"/>
      <c r="H170" s="153"/>
    </row>
    <row r="171" spans="1:8" ht="14.25" customHeight="1">
      <c r="A171" s="152" t="str">
        <f>IF(B171="","","AFA"&amp;TEXT(ROW()-112,"00000"))</f>
        <v/>
      </c>
      <c r="B171" s="153"/>
      <c r="C171" s="153"/>
      <c r="D171" s="152" t="str">
        <f>IFERROR(INDEX(tbl_Activites[Intitule de l''activite],MATCH(C171,tbl_Activites[ID Activite],0)),"")</f>
        <v/>
      </c>
      <c r="E171" s="153"/>
      <c r="F171" s="154"/>
      <c r="G171" s="153"/>
    </row>
    <row r="172" spans="1:8" ht="14.25" customHeight="1">
      <c r="A172" s="152" t="str">
        <f>IF(B172="","","FOR"&amp;TEXT(ROW()-145,"00000"))</f>
        <v/>
      </c>
      <c r="B172" s="153"/>
      <c r="C172" s="153"/>
      <c r="D172" s="153"/>
      <c r="E172" s="154"/>
      <c r="F172" s="153"/>
      <c r="G172" s="157"/>
      <c r="H172" s="153"/>
    </row>
    <row r="174" spans="1:8" ht="14.25" customHeight="1">
      <c r="A174" s="152" t="str">
        <f>IF(B174="","","FOR"&amp;TEXT(ROW()-145,"00000"))</f>
        <v/>
      </c>
      <c r="B174" s="153"/>
      <c r="C174" s="153"/>
      <c r="D174" s="153"/>
      <c r="E174" s="154"/>
      <c r="F174" s="153"/>
      <c r="G174" s="157"/>
      <c r="H174" s="153"/>
    </row>
    <row r="176" spans="1:8" ht="14.25" customHeight="1">
      <c r="A176" s="152" t="str">
        <f>IF(B176="","","FOR"&amp;TEXT(ROW()-145,"00000"))</f>
        <v/>
      </c>
      <c r="B176" s="153"/>
      <c r="C176" s="153"/>
      <c r="D176" s="153"/>
      <c r="E176" s="154"/>
      <c r="F176" s="153"/>
      <c r="G176" s="157"/>
      <c r="H176" s="153"/>
    </row>
    <row r="177" spans="1:8" ht="15" customHeight="1">
      <c r="A177" s="302" t="s">
        <v>2375</v>
      </c>
      <c r="B177" s="262"/>
      <c r="C177" s="262"/>
      <c r="D177" s="262"/>
      <c r="E177" s="262"/>
      <c r="F177" s="262"/>
      <c r="G177" s="262"/>
    </row>
    <row r="178" spans="1:8" ht="14.25" customHeight="1">
      <c r="A178" s="14" t="s">
        <v>1511</v>
      </c>
      <c r="B178" s="14" t="s">
        <v>2340</v>
      </c>
      <c r="C178" s="14" t="s">
        <v>2376</v>
      </c>
      <c r="D178" s="14" t="s">
        <v>1845</v>
      </c>
      <c r="E178" s="156" t="s">
        <v>2377</v>
      </c>
      <c r="F178" s="14" t="s">
        <v>2378</v>
      </c>
      <c r="G178" s="158" t="s">
        <v>2379</v>
      </c>
      <c r="H178" s="153"/>
    </row>
    <row r="179" spans="1:8" ht="14.25" customHeight="1">
      <c r="A179" s="152" t="str">
        <f>IF(B179="","","COM"&amp;TEXT(ROW()-178,"00000"))</f>
        <v/>
      </c>
      <c r="B179" s="153"/>
      <c r="C179" s="153"/>
      <c r="D179" s="153"/>
      <c r="E179" s="159"/>
      <c r="F179" s="153"/>
      <c r="G179" s="154"/>
    </row>
    <row r="180" spans="1:8" ht="14.25" customHeight="1">
      <c r="A180" s="152" t="str">
        <f>IF(B180="","","FOR"&amp;TEXT(ROW()-145,"00000"))</f>
        <v/>
      </c>
      <c r="B180" s="153"/>
      <c r="C180" s="153"/>
      <c r="D180" s="153"/>
      <c r="E180" s="154"/>
      <c r="F180" s="153"/>
      <c r="G180" s="157"/>
      <c r="H180" s="153"/>
    </row>
    <row r="181" spans="1:8" ht="14.25" customHeight="1">
      <c r="A181" s="152" t="str">
        <f>IF(B181="","","COM"&amp;TEXT(ROW()-178,"00000"))</f>
        <v/>
      </c>
      <c r="B181" s="153"/>
      <c r="C181" s="153"/>
      <c r="D181" s="153"/>
      <c r="E181" s="159"/>
      <c r="F181" s="153"/>
      <c r="G181" s="154"/>
    </row>
    <row r="182" spans="1:8" ht="14.25" customHeight="1">
      <c r="A182" s="152" t="str">
        <f>IF(B182="","","FOR"&amp;TEXT(ROW()-145,"00000"))</f>
        <v/>
      </c>
      <c r="B182" s="153"/>
      <c r="C182" s="153"/>
      <c r="D182" s="153"/>
      <c r="E182" s="154"/>
      <c r="F182" s="153"/>
      <c r="G182" s="157"/>
      <c r="H182" s="153"/>
    </row>
    <row r="183" spans="1:8" ht="14.25" customHeight="1">
      <c r="A183" s="152" t="str">
        <f>IF(B183="","","COM"&amp;TEXT(ROW()-178,"00000"))</f>
        <v/>
      </c>
      <c r="B183" s="153"/>
      <c r="C183" s="153"/>
      <c r="D183" s="153"/>
      <c r="E183" s="159"/>
      <c r="F183" s="153"/>
      <c r="G183" s="154"/>
    </row>
    <row r="184" spans="1:8" ht="14.25" customHeight="1">
      <c r="A184" s="152" t="str">
        <f>IF(B184="","","FOR"&amp;TEXT(ROW()-145,"00000"))</f>
        <v/>
      </c>
      <c r="B184" s="153"/>
      <c r="C184" s="153"/>
      <c r="D184" s="153"/>
      <c r="E184" s="154"/>
      <c r="F184" s="153"/>
      <c r="G184" s="157"/>
      <c r="H184" s="153"/>
    </row>
    <row r="185" spans="1:8" ht="14.25" customHeight="1">
      <c r="A185" s="152" t="str">
        <f>IF(B185="","","COM"&amp;TEXT(ROW()-178,"00000"))</f>
        <v/>
      </c>
      <c r="B185" s="153"/>
      <c r="C185" s="153"/>
      <c r="D185" s="153"/>
      <c r="E185" s="159"/>
      <c r="F185" s="153"/>
      <c r="G185" s="154"/>
    </row>
    <row r="186" spans="1:8" ht="14.25" customHeight="1">
      <c r="A186" s="152" t="str">
        <f>IF(B186="","","FOR"&amp;TEXT(ROW()-145,"00000"))</f>
        <v/>
      </c>
      <c r="B186" s="153"/>
      <c r="C186" s="153"/>
      <c r="D186" s="153"/>
      <c r="E186" s="154"/>
      <c r="F186" s="153"/>
      <c r="G186" s="157"/>
      <c r="H186" s="153"/>
    </row>
    <row r="187" spans="1:8" ht="14.25" customHeight="1">
      <c r="A187" s="152" t="str">
        <f>IF(B187="","","COM"&amp;TEXT(ROW()-178,"00000"))</f>
        <v/>
      </c>
      <c r="B187" s="153"/>
      <c r="C187" s="153"/>
      <c r="D187" s="153"/>
      <c r="E187" s="159"/>
      <c r="F187" s="153"/>
      <c r="G187" s="154"/>
    </row>
    <row r="188" spans="1:8" ht="14.25" customHeight="1">
      <c r="A188" s="152" t="str">
        <f>IF(B188="","","FOR"&amp;TEXT(ROW()-145,"00000"))</f>
        <v/>
      </c>
      <c r="B188" s="153"/>
      <c r="C188" s="153"/>
      <c r="D188" s="153"/>
      <c r="E188" s="154"/>
      <c r="F188" s="153"/>
      <c r="G188" s="157"/>
      <c r="H188" s="153"/>
    </row>
    <row r="189" spans="1:8" ht="14.25" customHeight="1">
      <c r="A189" s="152" t="str">
        <f>IF(B189="","","COM"&amp;TEXT(ROW()-178,"00000"))</f>
        <v/>
      </c>
      <c r="B189" s="153"/>
      <c r="C189" s="153"/>
      <c r="D189" s="153"/>
      <c r="E189" s="159"/>
      <c r="F189" s="153"/>
      <c r="G189" s="154"/>
    </row>
    <row r="190" spans="1:8" ht="14.25" customHeight="1">
      <c r="A190" s="152" t="str">
        <f>IF(B190="","","FOR"&amp;TEXT(ROW()-145,"00000"))</f>
        <v/>
      </c>
      <c r="B190" s="153"/>
      <c r="C190" s="153"/>
      <c r="D190" s="153"/>
      <c r="E190" s="154"/>
      <c r="F190" s="153"/>
      <c r="G190" s="157"/>
      <c r="H190" s="153"/>
    </row>
    <row r="191" spans="1:8" ht="14.25" customHeight="1">
      <c r="A191" s="152" t="str">
        <f>IF(B191="","","COM"&amp;TEXT(ROW()-178,"00000"))</f>
        <v/>
      </c>
      <c r="B191" s="153"/>
      <c r="C191" s="153"/>
      <c r="D191" s="153"/>
      <c r="E191" s="159"/>
      <c r="F191" s="153"/>
      <c r="G191" s="154"/>
    </row>
    <row r="192" spans="1:8" ht="14.25" customHeight="1">
      <c r="A192" s="152" t="str">
        <f>IF(B192="","","FOR"&amp;TEXT(ROW()-145,"00000"))</f>
        <v/>
      </c>
      <c r="B192" s="153"/>
      <c r="C192" s="153"/>
      <c r="D192" s="153"/>
      <c r="E192" s="154"/>
      <c r="F192" s="153"/>
      <c r="G192" s="157"/>
      <c r="H192" s="153"/>
    </row>
    <row r="193" spans="1:8" ht="14.25" customHeight="1">
      <c r="A193" s="152" t="str">
        <f>IF(B193="","","COM"&amp;TEXT(ROW()-178,"00000"))</f>
        <v/>
      </c>
      <c r="B193" s="153"/>
      <c r="C193" s="153"/>
      <c r="D193" s="153"/>
      <c r="E193" s="159"/>
      <c r="F193" s="153"/>
      <c r="G193" s="154"/>
    </row>
    <row r="194" spans="1:8" ht="14.25" customHeight="1">
      <c r="A194" s="152" t="str">
        <f>IF(B194="","","FOR"&amp;TEXT(ROW()-145,"00000"))</f>
        <v/>
      </c>
      <c r="B194" s="153"/>
      <c r="C194" s="153"/>
      <c r="D194" s="153"/>
      <c r="E194" s="154"/>
      <c r="F194" s="153"/>
      <c r="G194" s="157"/>
      <c r="H194" s="153"/>
    </row>
    <row r="195" spans="1:8" ht="14.25" customHeight="1">
      <c r="A195" s="152" t="str">
        <f>IF(B195="","","COM"&amp;TEXT(ROW()-178,"00000"))</f>
        <v/>
      </c>
      <c r="B195" s="153"/>
      <c r="C195" s="153"/>
      <c r="D195" s="153"/>
      <c r="E195" s="159"/>
      <c r="F195" s="153"/>
      <c r="G195" s="154"/>
    </row>
    <row r="196" spans="1:8" ht="14.25" customHeight="1">
      <c r="A196" s="152" t="str">
        <f>IF(B196="","","FOR"&amp;TEXT(ROW()-145,"00000"))</f>
        <v/>
      </c>
      <c r="B196" s="153"/>
      <c r="C196" s="153"/>
      <c r="D196" s="153"/>
      <c r="E196" s="154"/>
      <c r="F196" s="153"/>
      <c r="G196" s="157"/>
      <c r="H196" s="153"/>
    </row>
    <row r="197" spans="1:8" ht="14.25" customHeight="1">
      <c r="A197" s="152" t="str">
        <f>IF(B197="","","COM"&amp;TEXT(ROW()-178,"00000"))</f>
        <v/>
      </c>
      <c r="B197" s="153"/>
      <c r="C197" s="153"/>
      <c r="D197" s="153"/>
      <c r="E197" s="159"/>
      <c r="F197" s="153"/>
      <c r="G197" s="154"/>
    </row>
    <row r="198" spans="1:8" ht="14.25" customHeight="1">
      <c r="A198" s="152" t="str">
        <f>IF(B198="","","FOR"&amp;TEXT(ROW()-145,"00000"))</f>
        <v/>
      </c>
      <c r="B198" s="153"/>
      <c r="C198" s="153"/>
      <c r="D198" s="153"/>
      <c r="E198" s="154"/>
      <c r="F198" s="153"/>
      <c r="G198" s="157"/>
      <c r="H198" s="153"/>
    </row>
    <row r="199" spans="1:8" ht="14.25" customHeight="1">
      <c r="A199" s="152" t="str">
        <f>IF(B199="","","COM"&amp;TEXT(ROW()-178,"00000"))</f>
        <v/>
      </c>
      <c r="B199" s="153"/>
      <c r="C199" s="153"/>
      <c r="D199" s="153"/>
      <c r="E199" s="159"/>
      <c r="F199" s="153"/>
      <c r="G199" s="154"/>
    </row>
    <row r="200" spans="1:8" ht="14.25" customHeight="1">
      <c r="A200" s="152" t="str">
        <f>IF(B200="","","FOR"&amp;TEXT(ROW()-145,"00000"))</f>
        <v/>
      </c>
      <c r="B200" s="153"/>
      <c r="C200" s="153"/>
      <c r="D200" s="153"/>
      <c r="E200" s="154"/>
      <c r="F200" s="153"/>
      <c r="G200" s="157"/>
      <c r="H200" s="153"/>
    </row>
    <row r="201" spans="1:8" ht="14.25" customHeight="1">
      <c r="A201" s="152" t="str">
        <f>IF(B201="","","COM"&amp;TEXT(ROW()-178,"00000"))</f>
        <v/>
      </c>
      <c r="B201" s="153"/>
      <c r="C201" s="153"/>
      <c r="D201" s="153"/>
      <c r="E201" s="159"/>
      <c r="F201" s="153"/>
      <c r="G201" s="154"/>
    </row>
    <row r="202" spans="1:8" ht="14.25" customHeight="1">
      <c r="A202" s="152" t="str">
        <f>IF(B202="","","FOR"&amp;TEXT(ROW()-145,"00000"))</f>
        <v/>
      </c>
      <c r="B202" s="153"/>
      <c r="C202" s="153"/>
      <c r="D202" s="153"/>
      <c r="E202" s="154"/>
      <c r="F202" s="153"/>
      <c r="G202" s="157"/>
      <c r="H202" s="153"/>
    </row>
    <row r="203" spans="1:8" ht="14.25" customHeight="1">
      <c r="A203" s="152" t="str">
        <f>IF(B203="","","COM"&amp;TEXT(ROW()-178,"00000"))</f>
        <v/>
      </c>
      <c r="B203" s="153"/>
      <c r="C203" s="153"/>
      <c r="D203" s="153"/>
      <c r="E203" s="159"/>
      <c r="F203" s="153"/>
      <c r="G203" s="154"/>
    </row>
    <row r="204" spans="1:8" ht="14.25" customHeight="1">
      <c r="A204" s="152" t="str">
        <f>IF(B204="","","FOR"&amp;TEXT(ROW()-145,"00000"))</f>
        <v/>
      </c>
      <c r="B204" s="153"/>
      <c r="C204" s="153"/>
      <c r="D204" s="153"/>
      <c r="E204" s="154"/>
      <c r="F204" s="153"/>
      <c r="G204" s="157"/>
      <c r="H204" s="153"/>
    </row>
    <row r="205" spans="1:8" ht="14.25" customHeight="1">
      <c r="A205" s="152" t="str">
        <f>IF(B205="","","COM"&amp;TEXT(ROW()-178,"00000"))</f>
        <v/>
      </c>
      <c r="B205" s="153"/>
      <c r="C205" s="153"/>
      <c r="D205" s="153"/>
      <c r="E205" s="159"/>
      <c r="F205" s="153"/>
      <c r="G205" s="154"/>
    </row>
    <row r="207" spans="1:8" ht="14.25" customHeight="1">
      <c r="A207" s="152" t="str">
        <f>IF(B207="","","COM"&amp;TEXT(ROW()-178,"00000"))</f>
        <v/>
      </c>
      <c r="B207" s="153"/>
      <c r="C207" s="153"/>
      <c r="D207" s="153"/>
      <c r="E207" s="159"/>
      <c r="F207" s="153"/>
      <c r="G207" s="154"/>
    </row>
    <row r="209" spans="1:7" ht="14.25" customHeight="1">
      <c r="A209" s="152" t="str">
        <f>IF(B209="","","COM"&amp;TEXT(ROW()-178,"00000"))</f>
        <v/>
      </c>
      <c r="B209" s="153"/>
      <c r="C209" s="153"/>
      <c r="D209" s="153"/>
      <c r="E209" s="159"/>
      <c r="F209" s="153"/>
      <c r="G209" s="154"/>
    </row>
    <row r="210" spans="1:7" ht="15" customHeight="1">
      <c r="A210" s="302" t="s">
        <v>2380</v>
      </c>
      <c r="B210" s="262"/>
      <c r="C210" s="262"/>
      <c r="D210" s="262"/>
      <c r="E210" s="262"/>
      <c r="F210" s="262"/>
      <c r="G210" s="262"/>
    </row>
    <row r="211" spans="1:7" ht="14.25" customHeight="1">
      <c r="A211" s="14" t="s">
        <v>1511</v>
      </c>
      <c r="B211" s="14" t="s">
        <v>2340</v>
      </c>
      <c r="C211" s="14" t="s">
        <v>1264</v>
      </c>
      <c r="D211" s="14" t="s">
        <v>1400</v>
      </c>
      <c r="E211" s="160" t="s">
        <v>498</v>
      </c>
      <c r="F211" s="14" t="s">
        <v>174</v>
      </c>
      <c r="G211" s="156" t="s">
        <v>1845</v>
      </c>
    </row>
    <row r="212" spans="1:7" ht="14.25" customHeight="1">
      <c r="A212" s="152" t="str">
        <f>IF(B212="","","DIP"&amp;TEXT(ROW()-211,"00000"))</f>
        <v/>
      </c>
      <c r="B212" s="153"/>
      <c r="C212" s="153"/>
      <c r="D212" s="153"/>
      <c r="E212" s="153"/>
      <c r="F212" s="159"/>
      <c r="G212" s="153"/>
    </row>
    <row r="213" spans="1:7" ht="14.25" customHeight="1">
      <c r="A213" s="152" t="str">
        <f>IF(B213="","","COM"&amp;TEXT(ROW()-178,"00000"))</f>
        <v/>
      </c>
      <c r="B213" s="153"/>
      <c r="C213" s="153"/>
      <c r="D213" s="153"/>
      <c r="E213" s="159"/>
      <c r="F213" s="153"/>
      <c r="G213" s="154"/>
    </row>
    <row r="214" spans="1:7" ht="14.25" customHeight="1">
      <c r="A214" s="152" t="str">
        <f>IF(B214="","","DIP"&amp;TEXT(ROW()-211,"00000"))</f>
        <v/>
      </c>
      <c r="B214" s="153"/>
      <c r="C214" s="153"/>
      <c r="D214" s="153"/>
      <c r="E214" s="153"/>
      <c r="F214" s="159"/>
      <c r="G214" s="153"/>
    </row>
    <row r="215" spans="1:7" ht="14.25" customHeight="1">
      <c r="A215" s="152" t="str">
        <f>IF(B215="","","COM"&amp;TEXT(ROW()-178,"00000"))</f>
        <v/>
      </c>
      <c r="B215" s="153"/>
      <c r="C215" s="153"/>
      <c r="D215" s="153"/>
      <c r="E215" s="159"/>
      <c r="F215" s="153"/>
      <c r="G215" s="154"/>
    </row>
    <row r="216" spans="1:7" ht="14.25" customHeight="1">
      <c r="A216" s="152" t="str">
        <f>IF(B216="","","DIP"&amp;TEXT(ROW()-211,"00000"))</f>
        <v/>
      </c>
      <c r="B216" s="153"/>
      <c r="C216" s="153"/>
      <c r="D216" s="153"/>
      <c r="E216" s="153"/>
      <c r="F216" s="159"/>
      <c r="G216" s="153"/>
    </row>
    <row r="217" spans="1:7" ht="14.25" customHeight="1">
      <c r="A217" s="152" t="str">
        <f>IF(B217="","","COM"&amp;TEXT(ROW()-178,"00000"))</f>
        <v/>
      </c>
      <c r="B217" s="153"/>
      <c r="C217" s="153"/>
      <c r="D217" s="153"/>
      <c r="E217" s="159"/>
      <c r="F217" s="153"/>
      <c r="G217" s="154"/>
    </row>
    <row r="218" spans="1:7" ht="14.25" customHeight="1">
      <c r="A218" s="152" t="str">
        <f>IF(B218="","","DIP"&amp;TEXT(ROW()-211,"00000"))</f>
        <v/>
      </c>
      <c r="B218" s="153"/>
      <c r="C218" s="153"/>
      <c r="D218" s="153"/>
      <c r="E218" s="153"/>
      <c r="F218" s="159"/>
      <c r="G218" s="153"/>
    </row>
    <row r="219" spans="1:7" ht="14.25" customHeight="1">
      <c r="A219" s="152" t="str">
        <f>IF(B219="","","COM"&amp;TEXT(ROW()-178,"00000"))</f>
        <v/>
      </c>
      <c r="B219" s="153"/>
      <c r="C219" s="153"/>
      <c r="D219" s="153"/>
      <c r="E219" s="159"/>
      <c r="F219" s="153"/>
      <c r="G219" s="154"/>
    </row>
    <row r="220" spans="1:7" ht="14.25" customHeight="1">
      <c r="A220" s="152" t="str">
        <f>IF(B220="","","DIP"&amp;TEXT(ROW()-211,"00000"))</f>
        <v/>
      </c>
      <c r="B220" s="153"/>
      <c r="C220" s="153"/>
      <c r="D220" s="153"/>
      <c r="E220" s="153"/>
      <c r="F220" s="159"/>
      <c r="G220" s="153"/>
    </row>
    <row r="221" spans="1:7" ht="14.25" customHeight="1">
      <c r="A221" s="152" t="str">
        <f>IF(B221="","","COM"&amp;TEXT(ROW()-178,"00000"))</f>
        <v/>
      </c>
      <c r="B221" s="153"/>
      <c r="C221" s="153"/>
      <c r="D221" s="153"/>
      <c r="E221" s="159"/>
      <c r="F221" s="153"/>
      <c r="G221" s="154"/>
    </row>
    <row r="222" spans="1:7" ht="14.25" customHeight="1">
      <c r="A222" s="152" t="str">
        <f>IF(B222="","","DIP"&amp;TEXT(ROW()-211,"00000"))</f>
        <v/>
      </c>
      <c r="B222" s="153"/>
      <c r="C222" s="153"/>
      <c r="D222" s="153"/>
      <c r="E222" s="153"/>
      <c r="F222" s="159"/>
      <c r="G222" s="153"/>
    </row>
    <row r="223" spans="1:7" ht="14.25" customHeight="1">
      <c r="A223" s="152" t="str">
        <f>IF(B223="","","COM"&amp;TEXT(ROW()-178,"00000"))</f>
        <v/>
      </c>
      <c r="B223" s="153"/>
      <c r="C223" s="153"/>
      <c r="D223" s="153"/>
      <c r="E223" s="159"/>
      <c r="F223" s="153"/>
      <c r="G223" s="154"/>
    </row>
    <row r="224" spans="1:7" ht="14.25" customHeight="1">
      <c r="A224" s="152" t="str">
        <f>IF(B224="","","DIP"&amp;TEXT(ROW()-211,"00000"))</f>
        <v/>
      </c>
      <c r="B224" s="153"/>
      <c r="C224" s="153"/>
      <c r="D224" s="153"/>
      <c r="E224" s="153"/>
      <c r="F224" s="159"/>
      <c r="G224" s="153"/>
    </row>
    <row r="225" spans="1:7" ht="14.25" customHeight="1">
      <c r="A225" s="152" t="str">
        <f>IF(B225="","","COM"&amp;TEXT(ROW()-178,"00000"))</f>
        <v/>
      </c>
      <c r="B225" s="153"/>
      <c r="C225" s="153"/>
      <c r="D225" s="153"/>
      <c r="E225" s="159"/>
      <c r="F225" s="153"/>
      <c r="G225" s="154"/>
    </row>
    <row r="226" spans="1:7" ht="14.25" customHeight="1">
      <c r="A226" s="152" t="str">
        <f>IF(B226="","","DIP"&amp;TEXT(ROW()-211,"00000"))</f>
        <v/>
      </c>
      <c r="B226" s="153"/>
      <c r="C226" s="153"/>
      <c r="D226" s="153"/>
      <c r="E226" s="153"/>
      <c r="F226" s="159"/>
      <c r="G226" s="153"/>
    </row>
    <row r="227" spans="1:7" ht="14.25" customHeight="1">
      <c r="A227" s="152" t="str">
        <f>IF(B227="","","COM"&amp;TEXT(ROW()-178,"00000"))</f>
        <v/>
      </c>
      <c r="B227" s="153"/>
      <c r="C227" s="153"/>
      <c r="D227" s="153"/>
      <c r="E227" s="159"/>
      <c r="F227" s="153"/>
      <c r="G227" s="154"/>
    </row>
    <row r="228" spans="1:7" ht="14.25" customHeight="1">
      <c r="A228" s="152" t="str">
        <f>IF(B228="","","DIP"&amp;TEXT(ROW()-211,"00000"))</f>
        <v/>
      </c>
      <c r="B228" s="153"/>
      <c r="C228" s="153"/>
      <c r="D228" s="153"/>
      <c r="E228" s="153"/>
      <c r="F228" s="159"/>
      <c r="G228" s="153"/>
    </row>
    <row r="229" spans="1:7" ht="14.25" customHeight="1">
      <c r="A229" s="152" t="str">
        <f>IF(B229="","","COM"&amp;TEXT(ROW()-178,"00000"))</f>
        <v/>
      </c>
      <c r="B229" s="153"/>
      <c r="C229" s="153"/>
      <c r="D229" s="153"/>
      <c r="E229" s="159"/>
      <c r="F229" s="153"/>
      <c r="G229" s="154"/>
    </row>
    <row r="230" spans="1:7" ht="14.25" customHeight="1">
      <c r="A230" s="152" t="str">
        <f>IF(B230="","","DIP"&amp;TEXT(ROW()-211,"00000"))</f>
        <v/>
      </c>
      <c r="B230" s="153"/>
      <c r="C230" s="153"/>
      <c r="D230" s="153"/>
      <c r="E230" s="153"/>
      <c r="F230" s="159"/>
      <c r="G230" s="153"/>
    </row>
    <row r="231" spans="1:7" ht="14.25" customHeight="1">
      <c r="A231" s="152" t="str">
        <f>IF(B231="","","COM"&amp;TEXT(ROW()-178,"00000"))</f>
        <v/>
      </c>
      <c r="B231" s="153"/>
      <c r="C231" s="153"/>
      <c r="D231" s="153"/>
      <c r="E231" s="159"/>
      <c r="F231" s="153"/>
      <c r="G231" s="154"/>
    </row>
    <row r="232" spans="1:7" ht="14.25" customHeight="1">
      <c r="A232" s="152" t="str">
        <f>IF(B232="","","DIP"&amp;TEXT(ROW()-211,"00000"))</f>
        <v/>
      </c>
      <c r="B232" s="153"/>
      <c r="C232" s="153"/>
      <c r="D232" s="153"/>
      <c r="E232" s="153"/>
      <c r="F232" s="159"/>
      <c r="G232" s="153"/>
    </row>
    <row r="233" spans="1:7" ht="14.25" customHeight="1">
      <c r="A233" s="152" t="str">
        <f>IF(B233="","","COM"&amp;TEXT(ROW()-178,"00000"))</f>
        <v/>
      </c>
      <c r="B233" s="153"/>
      <c r="C233" s="153"/>
      <c r="D233" s="153"/>
      <c r="E233" s="159"/>
      <c r="F233" s="153"/>
      <c r="G233" s="154"/>
    </row>
    <row r="234" spans="1:7" ht="14.25" customHeight="1">
      <c r="A234" s="152" t="str">
        <f>IF(B234="","","DIP"&amp;TEXT(ROW()-211,"00000"))</f>
        <v/>
      </c>
      <c r="B234" s="153"/>
      <c r="C234" s="153"/>
      <c r="D234" s="153"/>
      <c r="E234" s="153"/>
      <c r="F234" s="159"/>
      <c r="G234" s="153"/>
    </row>
    <row r="235" spans="1:7" ht="14.25" customHeight="1">
      <c r="A235" s="152" t="str">
        <f>IF(B235="","","COM"&amp;TEXT(ROW()-178,"00000"))</f>
        <v/>
      </c>
      <c r="B235" s="153"/>
      <c r="C235" s="153"/>
      <c r="D235" s="153"/>
      <c r="E235" s="159"/>
      <c r="F235" s="153"/>
      <c r="G235" s="154"/>
    </row>
    <row r="236" spans="1:7" ht="14.25" customHeight="1">
      <c r="A236" s="152" t="str">
        <f>IF(B236="","","DIP"&amp;TEXT(ROW()-211,"00000"))</f>
        <v/>
      </c>
      <c r="B236" s="153"/>
      <c r="C236" s="153"/>
      <c r="D236" s="153"/>
      <c r="E236" s="153"/>
      <c r="F236" s="159"/>
      <c r="G236" s="153"/>
    </row>
    <row r="237" spans="1:7" ht="14.25" customHeight="1">
      <c r="A237" s="152" t="str">
        <f>IF(B237="","","COM"&amp;TEXT(ROW()-178,"00000"))</f>
        <v/>
      </c>
      <c r="B237" s="153"/>
      <c r="C237" s="153"/>
      <c r="D237" s="153"/>
      <c r="E237" s="159"/>
      <c r="F237" s="153"/>
      <c r="G237" s="154"/>
    </row>
    <row r="238" spans="1:7" ht="14.25" customHeight="1">
      <c r="A238" s="152" t="str">
        <f>IF(B238="","","DIP"&amp;TEXT(ROW()-211,"00000"))</f>
        <v/>
      </c>
      <c r="B238" s="153"/>
      <c r="C238" s="153"/>
      <c r="D238" s="153"/>
      <c r="E238" s="153"/>
      <c r="F238" s="159"/>
      <c r="G238" s="153"/>
    </row>
    <row r="240" spans="1:7" ht="14.25" customHeight="1">
      <c r="A240" s="152" t="str">
        <f>IF(B240="","","DIP"&amp;TEXT(ROW()-211,"00000"))</f>
        <v/>
      </c>
      <c r="B240" s="153"/>
      <c r="C240" s="153"/>
      <c r="D240" s="153"/>
      <c r="E240" s="153"/>
      <c r="F240" s="159"/>
      <c r="G240" s="153"/>
    </row>
    <row r="242" spans="1:11" ht="14.25" customHeight="1">
      <c r="A242" s="152" t="str">
        <f>IF(B242="","","DIP"&amp;TEXT(ROW()-211,"00000"))</f>
        <v/>
      </c>
      <c r="B242" s="153"/>
      <c r="C242" s="153"/>
      <c r="D242" s="153"/>
      <c r="E242" s="153"/>
      <c r="F242" s="159"/>
      <c r="G242" s="153"/>
    </row>
    <row r="243" spans="1:11" ht="15" customHeight="1">
      <c r="A243" s="302" t="s">
        <v>2381</v>
      </c>
      <c r="B243" s="262"/>
      <c r="C243" s="262"/>
      <c r="D243" s="262"/>
      <c r="E243" s="262"/>
      <c r="F243" s="262"/>
      <c r="G243" s="262"/>
      <c r="H243" s="262"/>
      <c r="I243" s="262"/>
      <c r="J243" s="262"/>
      <c r="K243" s="262"/>
    </row>
    <row r="244" spans="1:11" ht="14.25" customHeight="1">
      <c r="A244" s="14" t="s">
        <v>1511</v>
      </c>
      <c r="B244" s="14" t="s">
        <v>2340</v>
      </c>
      <c r="C244" s="14" t="s">
        <v>1428</v>
      </c>
      <c r="D244" s="14" t="s">
        <v>1832</v>
      </c>
      <c r="E244" s="14" t="s">
        <v>2382</v>
      </c>
      <c r="F244" s="160" t="s">
        <v>2383</v>
      </c>
      <c r="G244" s="14" t="s">
        <v>2384</v>
      </c>
      <c r="H244" s="14" t="s">
        <v>2385</v>
      </c>
      <c r="I244" s="14" t="s">
        <v>2386</v>
      </c>
      <c r="J244" s="14" t="s">
        <v>2387</v>
      </c>
      <c r="K244" s="14" t="s">
        <v>2037</v>
      </c>
    </row>
    <row r="245" spans="1:11" ht="14.25" customHeight="1">
      <c r="A245" s="152" t="str">
        <f>IF(B245="","","EVA"&amp;TEXT(ROW()-244,"00000"))</f>
        <v/>
      </c>
      <c r="B245" s="153"/>
      <c r="C245" s="154"/>
      <c r="D245" s="153"/>
      <c r="E245" s="153"/>
      <c r="F245" s="153"/>
      <c r="G245" s="153"/>
      <c r="H245" s="153"/>
      <c r="I245" s="153"/>
      <c r="J245" s="159"/>
      <c r="K245" s="153"/>
    </row>
    <row r="246" spans="1:11" ht="14.25" customHeight="1">
      <c r="A246" s="152" t="str">
        <f>IF(B246="","","DIP"&amp;TEXT(ROW()-211,"00000"))</f>
        <v/>
      </c>
      <c r="B246" s="153"/>
      <c r="C246" s="153"/>
      <c r="D246" s="153"/>
      <c r="E246" s="153"/>
      <c r="F246" s="159"/>
      <c r="G246" s="153"/>
    </row>
    <row r="247" spans="1:11" ht="14.25" customHeight="1">
      <c r="A247" s="152" t="str">
        <f>IF(B247="","","EVA"&amp;TEXT(ROW()-244,"00000"))</f>
        <v/>
      </c>
      <c r="B247" s="153"/>
      <c r="C247" s="154"/>
      <c r="D247" s="153"/>
      <c r="E247" s="153"/>
      <c r="F247" s="153"/>
      <c r="G247" s="153"/>
      <c r="H247" s="153"/>
      <c r="I247" s="153"/>
      <c r="J247" s="159"/>
      <c r="K247" s="153"/>
    </row>
    <row r="248" spans="1:11" ht="14.25" customHeight="1">
      <c r="A248" s="152" t="str">
        <f>IF(B248="","","DIP"&amp;TEXT(ROW()-211,"00000"))</f>
        <v/>
      </c>
      <c r="B248" s="153"/>
      <c r="C248" s="153"/>
      <c r="D248" s="153"/>
      <c r="E248" s="153"/>
      <c r="F248" s="159"/>
      <c r="G248" s="153"/>
    </row>
    <row r="249" spans="1:11" ht="14.25" customHeight="1">
      <c r="A249" s="152" t="str">
        <f>IF(B249="","","EVA"&amp;TEXT(ROW()-244,"00000"))</f>
        <v/>
      </c>
      <c r="B249" s="153"/>
      <c r="C249" s="154"/>
      <c r="D249" s="153"/>
      <c r="E249" s="153"/>
      <c r="F249" s="153"/>
      <c r="G249" s="153"/>
      <c r="H249" s="153"/>
      <c r="I249" s="153"/>
      <c r="J249" s="159"/>
      <c r="K249" s="153"/>
    </row>
    <row r="250" spans="1:11" ht="14.25" customHeight="1">
      <c r="A250" s="152" t="str">
        <f>IF(B250="","","DIP"&amp;TEXT(ROW()-211,"00000"))</f>
        <v/>
      </c>
      <c r="B250" s="153"/>
      <c r="C250" s="153"/>
      <c r="D250" s="153"/>
      <c r="E250" s="153"/>
      <c r="F250" s="159"/>
      <c r="G250" s="153"/>
    </row>
    <row r="251" spans="1:11" ht="14.25" customHeight="1">
      <c r="A251" s="152" t="str">
        <f>IF(B251="","","EVA"&amp;TEXT(ROW()-244,"00000"))</f>
        <v/>
      </c>
      <c r="B251" s="153"/>
      <c r="C251" s="154"/>
      <c r="D251" s="153"/>
      <c r="E251" s="153"/>
      <c r="F251" s="153"/>
      <c r="G251" s="153"/>
      <c r="H251" s="153"/>
      <c r="I251" s="153"/>
      <c r="J251" s="159"/>
      <c r="K251" s="153"/>
    </row>
    <row r="252" spans="1:11" ht="14.25" customHeight="1">
      <c r="A252" s="152" t="str">
        <f>IF(B252="","","DIP"&amp;TEXT(ROW()-211,"00000"))</f>
        <v/>
      </c>
      <c r="B252" s="153"/>
      <c r="C252" s="153"/>
      <c r="D252" s="153"/>
      <c r="E252" s="153"/>
      <c r="F252" s="159"/>
      <c r="G252" s="153"/>
    </row>
    <row r="253" spans="1:11" ht="14.25" customHeight="1">
      <c r="A253" s="152" t="str">
        <f>IF(B253="","","EVA"&amp;TEXT(ROW()-244,"00000"))</f>
        <v/>
      </c>
      <c r="B253" s="153"/>
      <c r="C253" s="154"/>
      <c r="D253" s="153"/>
      <c r="E253" s="153"/>
      <c r="F253" s="153"/>
      <c r="G253" s="153"/>
      <c r="H253" s="153"/>
      <c r="I253" s="153"/>
      <c r="J253" s="159"/>
      <c r="K253" s="153"/>
    </row>
    <row r="254" spans="1:11" ht="14.25" customHeight="1">
      <c r="A254" s="152" t="str">
        <f>IF(B254="","","DIP"&amp;TEXT(ROW()-211,"00000"))</f>
        <v/>
      </c>
      <c r="B254" s="153"/>
      <c r="C254" s="153"/>
      <c r="D254" s="153"/>
      <c r="E254" s="153"/>
      <c r="F254" s="159"/>
      <c r="G254" s="153"/>
    </row>
    <row r="255" spans="1:11" ht="14.25" customHeight="1">
      <c r="A255" s="152" t="str">
        <f>IF(B255="","","EVA"&amp;TEXT(ROW()-244,"00000"))</f>
        <v/>
      </c>
      <c r="B255" s="153"/>
      <c r="C255" s="154"/>
      <c r="D255" s="153"/>
      <c r="E255" s="153"/>
      <c r="F255" s="153"/>
      <c r="G255" s="153"/>
      <c r="H255" s="153"/>
      <c r="I255" s="153"/>
      <c r="J255" s="159"/>
      <c r="K255" s="153"/>
    </row>
    <row r="256" spans="1:11" ht="14.25" customHeight="1">
      <c r="A256" s="152" t="str">
        <f>IF(B256="","","DIP"&amp;TEXT(ROW()-211,"00000"))</f>
        <v/>
      </c>
      <c r="B256" s="153"/>
      <c r="C256" s="153"/>
      <c r="D256" s="153"/>
      <c r="E256" s="153"/>
      <c r="F256" s="159"/>
      <c r="G256" s="153"/>
    </row>
    <row r="257" spans="1:11" ht="14.25" customHeight="1">
      <c r="A257" s="152" t="str">
        <f>IF(B257="","","EVA"&amp;TEXT(ROW()-244,"00000"))</f>
        <v/>
      </c>
      <c r="B257" s="153"/>
      <c r="C257" s="154"/>
      <c r="D257" s="153"/>
      <c r="E257" s="153"/>
      <c r="F257" s="153"/>
      <c r="G257" s="153"/>
      <c r="H257" s="153"/>
      <c r="I257" s="153"/>
      <c r="J257" s="159"/>
      <c r="K257" s="153"/>
    </row>
    <row r="258" spans="1:11" ht="14.25" customHeight="1">
      <c r="A258" s="152" t="str">
        <f>IF(B258="","","DIP"&amp;TEXT(ROW()-211,"00000"))</f>
        <v/>
      </c>
      <c r="B258" s="153"/>
      <c r="C258" s="153"/>
      <c r="D258" s="153"/>
      <c r="E258" s="153"/>
      <c r="F258" s="159"/>
      <c r="G258" s="153"/>
    </row>
    <row r="259" spans="1:11" ht="14.25" customHeight="1">
      <c r="A259" s="152" t="str">
        <f>IF(B259="","","EVA"&amp;TEXT(ROW()-244,"00000"))</f>
        <v/>
      </c>
      <c r="B259" s="153"/>
      <c r="C259" s="154"/>
      <c r="D259" s="153"/>
      <c r="E259" s="153"/>
      <c r="F259" s="153"/>
      <c r="G259" s="153"/>
      <c r="H259" s="153"/>
      <c r="I259" s="153"/>
      <c r="J259" s="159"/>
      <c r="K259" s="153"/>
    </row>
    <row r="260" spans="1:11" ht="14.25" customHeight="1">
      <c r="A260" s="152" t="str">
        <f>IF(B260="","","DIP"&amp;TEXT(ROW()-211,"00000"))</f>
        <v/>
      </c>
      <c r="B260" s="153"/>
      <c r="C260" s="153"/>
      <c r="D260" s="153"/>
      <c r="E260" s="153"/>
      <c r="F260" s="159"/>
      <c r="G260" s="153"/>
    </row>
    <row r="261" spans="1:11" ht="14.25" customHeight="1">
      <c r="A261" s="152" t="str">
        <f>IF(B261="","","EVA"&amp;TEXT(ROW()-244,"00000"))</f>
        <v/>
      </c>
      <c r="B261" s="153"/>
      <c r="C261" s="154"/>
      <c r="D261" s="153"/>
      <c r="E261" s="153"/>
      <c r="F261" s="153"/>
      <c r="G261" s="153"/>
      <c r="H261" s="153"/>
      <c r="I261" s="153"/>
      <c r="J261" s="159"/>
      <c r="K261" s="153"/>
    </row>
    <row r="262" spans="1:11" ht="14.25" customHeight="1">
      <c r="A262" s="152" t="str">
        <f>IF(B262="","","DIP"&amp;TEXT(ROW()-211,"00000"))</f>
        <v/>
      </c>
      <c r="B262" s="153"/>
      <c r="C262" s="153"/>
      <c r="D262" s="153"/>
      <c r="E262" s="153"/>
      <c r="F262" s="159"/>
      <c r="G262" s="153"/>
    </row>
    <row r="263" spans="1:11" ht="14.25" customHeight="1">
      <c r="A263" s="152" t="str">
        <f>IF(B263="","","EVA"&amp;TEXT(ROW()-244,"00000"))</f>
        <v/>
      </c>
      <c r="B263" s="153"/>
      <c r="C263" s="154"/>
      <c r="D263" s="153"/>
      <c r="E263" s="153"/>
      <c r="F263" s="153"/>
      <c r="G263" s="153"/>
      <c r="H263" s="153"/>
      <c r="I263" s="153"/>
      <c r="J263" s="159"/>
      <c r="K263" s="153"/>
    </row>
    <row r="264" spans="1:11" ht="14.25" customHeight="1">
      <c r="A264" s="152" t="str">
        <f>IF(B264="","","DIP"&amp;TEXT(ROW()-211,"00000"))</f>
        <v/>
      </c>
      <c r="B264" s="153"/>
      <c r="C264" s="153"/>
      <c r="D264" s="153"/>
      <c r="E264" s="153"/>
      <c r="F264" s="159"/>
      <c r="G264" s="153"/>
    </row>
    <row r="265" spans="1:11" ht="14.25" customHeight="1">
      <c r="A265" s="152" t="str">
        <f>IF(B265="","","EVA"&amp;TEXT(ROW()-244,"00000"))</f>
        <v/>
      </c>
      <c r="B265" s="153"/>
      <c r="C265" s="154"/>
      <c r="D265" s="153"/>
      <c r="E265" s="153"/>
      <c r="F265" s="153"/>
      <c r="G265" s="153"/>
      <c r="H265" s="153"/>
      <c r="I265" s="153"/>
      <c r="J265" s="159"/>
      <c r="K265" s="153"/>
    </row>
    <row r="266" spans="1:11" ht="14.25" customHeight="1">
      <c r="A266" s="152" t="str">
        <f>IF(B266="","","DIP"&amp;TEXT(ROW()-211,"00000"))</f>
        <v/>
      </c>
      <c r="B266" s="153"/>
      <c r="C266" s="153"/>
      <c r="D266" s="153"/>
      <c r="E266" s="153"/>
      <c r="F266" s="159"/>
      <c r="G266" s="153"/>
    </row>
    <row r="267" spans="1:11" ht="14.25" customHeight="1">
      <c r="A267" s="152" t="str">
        <f>IF(B267="","","EVA"&amp;TEXT(ROW()-244,"00000"))</f>
        <v/>
      </c>
      <c r="B267" s="153"/>
      <c r="C267" s="154"/>
      <c r="D267" s="153"/>
      <c r="E267" s="153"/>
      <c r="F267" s="153"/>
      <c r="G267" s="153"/>
      <c r="H267" s="153"/>
      <c r="I267" s="153"/>
      <c r="J267" s="159"/>
      <c r="K267" s="153"/>
    </row>
    <row r="268" spans="1:11" ht="14.25" customHeight="1">
      <c r="A268" s="152" t="str">
        <f>IF(B268="","","DIP"&amp;TEXT(ROW()-211,"00000"))</f>
        <v/>
      </c>
      <c r="B268" s="153"/>
      <c r="C268" s="153"/>
      <c r="D268" s="153"/>
      <c r="E268" s="153"/>
      <c r="F268" s="159"/>
      <c r="G268" s="153"/>
    </row>
    <row r="269" spans="1:11" ht="14.25" customHeight="1">
      <c r="A269" s="152" t="str">
        <f>IF(B269="","","EVA"&amp;TEXT(ROW()-244,"00000"))</f>
        <v/>
      </c>
      <c r="B269" s="153"/>
      <c r="C269" s="154"/>
      <c r="D269" s="153"/>
      <c r="E269" s="153"/>
      <c r="F269" s="153"/>
      <c r="G269" s="153"/>
      <c r="H269" s="153"/>
      <c r="I269" s="153"/>
      <c r="J269" s="159"/>
      <c r="K269" s="153"/>
    </row>
    <row r="270" spans="1:11" ht="14.25" customHeight="1">
      <c r="A270" s="152" t="str">
        <f>IF(B270="","","DIP"&amp;TEXT(ROW()-211,"00000"))</f>
        <v/>
      </c>
      <c r="B270" s="153"/>
      <c r="C270" s="153"/>
      <c r="D270" s="153"/>
      <c r="E270" s="153"/>
      <c r="F270" s="159"/>
      <c r="G270" s="153"/>
    </row>
    <row r="271" spans="1:11" ht="14.25" customHeight="1">
      <c r="A271" s="152" t="str">
        <f>IF(B271="","","EVA"&amp;TEXT(ROW()-244,"00000"))</f>
        <v/>
      </c>
      <c r="B271" s="153"/>
      <c r="C271" s="154"/>
      <c r="D271" s="153"/>
      <c r="E271" s="153"/>
      <c r="F271" s="153"/>
      <c r="G271" s="153"/>
      <c r="H271" s="153"/>
      <c r="I271" s="153"/>
      <c r="J271" s="159"/>
      <c r="K271" s="153"/>
    </row>
    <row r="273" spans="1:11" ht="14.25" customHeight="1">
      <c r="A273" s="152" t="str">
        <f>IF(B273="","","EVA"&amp;TEXT(ROW()-244,"00000"))</f>
        <v/>
      </c>
      <c r="B273" s="153"/>
      <c r="C273" s="154"/>
      <c r="D273" s="153"/>
      <c r="E273" s="153"/>
      <c r="F273" s="153"/>
      <c r="G273" s="153"/>
      <c r="H273" s="153"/>
      <c r="I273" s="153"/>
      <c r="J273" s="159"/>
      <c r="K273" s="153"/>
    </row>
    <row r="275" spans="1:11" ht="14.25" customHeight="1">
      <c r="A275" s="152" t="str">
        <f>IF(B275="","","EVA"&amp;TEXT(ROW()-244,"00000"))</f>
        <v/>
      </c>
      <c r="B275" s="153"/>
      <c r="C275" s="154"/>
      <c r="D275" s="153"/>
      <c r="E275" s="153"/>
      <c r="F275" s="153"/>
      <c r="G275" s="153"/>
      <c r="H275" s="153"/>
      <c r="I275" s="153"/>
      <c r="J275" s="159"/>
      <c r="K275" s="153"/>
    </row>
    <row r="276" spans="1:11" ht="15" customHeight="1">
      <c r="A276" s="302" t="s">
        <v>2388</v>
      </c>
      <c r="B276" s="262"/>
      <c r="C276" s="262"/>
      <c r="D276" s="262"/>
      <c r="E276" s="262"/>
      <c r="F276" s="262"/>
      <c r="G276" s="262"/>
      <c r="H276" s="262"/>
      <c r="I276" s="262"/>
    </row>
    <row r="277" spans="1:11" ht="14.25" customHeight="1">
      <c r="A277" s="14" t="s">
        <v>1511</v>
      </c>
      <c r="B277" s="14" t="s">
        <v>2340</v>
      </c>
      <c r="C277" s="156" t="s">
        <v>2389</v>
      </c>
      <c r="D277" s="14" t="s">
        <v>1935</v>
      </c>
      <c r="E277" s="14" t="s">
        <v>1936</v>
      </c>
      <c r="F277" s="14" t="s">
        <v>2390</v>
      </c>
      <c r="G277" s="14" t="s">
        <v>2163</v>
      </c>
      <c r="H277" s="14" t="s">
        <v>175</v>
      </c>
      <c r="I277" s="14" t="s">
        <v>2295</v>
      </c>
      <c r="J277" s="159"/>
      <c r="K277" s="153"/>
    </row>
    <row r="278" spans="1:11" ht="14.25" customHeight="1">
      <c r="A278" s="152" t="str">
        <f>IF(B278="","","CNG"&amp;TEXT(ROW()-277,"00000"))</f>
        <v/>
      </c>
      <c r="B278" s="153"/>
      <c r="C278" s="153"/>
      <c r="D278" s="154"/>
      <c r="E278" s="154"/>
      <c r="F278" s="161" t="str">
        <f>IF(OR(D278="",E278=""),"",E278-D278+1)</f>
        <v/>
      </c>
      <c r="G278" s="153"/>
      <c r="H278" s="153"/>
      <c r="I278" s="153"/>
    </row>
    <row r="279" spans="1:11" ht="14.25" customHeight="1">
      <c r="A279" s="152" t="str">
        <f>IF(B279="","","EVA"&amp;TEXT(ROW()-244,"00000"))</f>
        <v/>
      </c>
      <c r="B279" s="153"/>
      <c r="C279" s="154"/>
      <c r="D279" s="153"/>
      <c r="E279" s="153"/>
      <c r="F279" s="153"/>
      <c r="G279" s="153"/>
      <c r="H279" s="153"/>
      <c r="I279" s="153"/>
      <c r="J279" s="159"/>
      <c r="K279" s="153"/>
    </row>
    <row r="280" spans="1:11" ht="14.25" customHeight="1">
      <c r="A280" s="152" t="str">
        <f>IF(B280="","","CNG"&amp;TEXT(ROW()-277,"00000"))</f>
        <v/>
      </c>
      <c r="B280" s="153"/>
      <c r="C280" s="153"/>
      <c r="D280" s="154"/>
      <c r="E280" s="154"/>
      <c r="F280" s="161" t="str">
        <f>IF(OR(D280="",E280=""),"",E280-D280+1)</f>
        <v/>
      </c>
      <c r="G280" s="153"/>
      <c r="H280" s="153"/>
      <c r="I280" s="153"/>
    </row>
    <row r="281" spans="1:11" ht="14.25" customHeight="1">
      <c r="A281" s="152" t="str">
        <f>IF(B281="","","EVA"&amp;TEXT(ROW()-244,"00000"))</f>
        <v/>
      </c>
      <c r="B281" s="153"/>
      <c r="C281" s="154"/>
      <c r="D281" s="153"/>
      <c r="E281" s="153"/>
      <c r="F281" s="153"/>
      <c r="G281" s="153"/>
      <c r="H281" s="153"/>
      <c r="I281" s="153"/>
      <c r="J281" s="159"/>
      <c r="K281" s="153"/>
    </row>
    <row r="282" spans="1:11" ht="14.25" customHeight="1">
      <c r="A282" s="152" t="str">
        <f>IF(B282="","","CNG"&amp;TEXT(ROW()-277,"00000"))</f>
        <v/>
      </c>
      <c r="B282" s="153"/>
      <c r="C282" s="153"/>
      <c r="D282" s="154"/>
      <c r="E282" s="154"/>
      <c r="F282" s="161" t="str">
        <f>IF(OR(D282="",E282=""),"",E282-D282+1)</f>
        <v/>
      </c>
      <c r="G282" s="153"/>
      <c r="H282" s="153"/>
      <c r="I282" s="153"/>
    </row>
    <row r="283" spans="1:11" ht="14.25" customHeight="1">
      <c r="A283" s="152" t="str">
        <f>IF(B283="","","EVA"&amp;TEXT(ROW()-244,"00000"))</f>
        <v/>
      </c>
      <c r="B283" s="153"/>
      <c r="C283" s="154"/>
      <c r="D283" s="153"/>
      <c r="E283" s="153"/>
      <c r="F283" s="153"/>
      <c r="G283" s="153"/>
      <c r="H283" s="153"/>
      <c r="I283" s="153"/>
      <c r="J283" s="159"/>
      <c r="K283" s="153"/>
    </row>
    <row r="284" spans="1:11" ht="14.25" customHeight="1">
      <c r="A284" s="152" t="str">
        <f>IF(B284="","","CNG"&amp;TEXT(ROW()-277,"00000"))</f>
        <v/>
      </c>
      <c r="B284" s="153"/>
      <c r="C284" s="153"/>
      <c r="D284" s="154"/>
      <c r="E284" s="154"/>
      <c r="F284" s="161" t="str">
        <f>IF(OR(D284="",E284=""),"",E284-D284+1)</f>
        <v/>
      </c>
      <c r="G284" s="153"/>
      <c r="H284" s="153"/>
      <c r="I284" s="153"/>
    </row>
    <row r="285" spans="1:11" ht="14.25" customHeight="1">
      <c r="A285" s="152" t="str">
        <f>IF(B285="","","EVA"&amp;TEXT(ROW()-244,"00000"))</f>
        <v/>
      </c>
      <c r="B285" s="153"/>
      <c r="C285" s="154"/>
      <c r="D285" s="153"/>
      <c r="E285" s="153"/>
      <c r="F285" s="153"/>
      <c r="G285" s="153"/>
      <c r="H285" s="153"/>
      <c r="I285" s="153"/>
      <c r="J285" s="159"/>
      <c r="K285" s="153"/>
    </row>
    <row r="286" spans="1:11" ht="14.25" customHeight="1">
      <c r="A286" s="152" t="str">
        <f>IF(B286="","","CNG"&amp;TEXT(ROW()-277,"00000"))</f>
        <v/>
      </c>
      <c r="B286" s="153"/>
      <c r="C286" s="153"/>
      <c r="D286" s="154"/>
      <c r="E286" s="154"/>
      <c r="F286" s="161" t="str">
        <f>IF(OR(D286="",E286=""),"",E286-D286+1)</f>
        <v/>
      </c>
      <c r="G286" s="153"/>
      <c r="H286" s="153"/>
      <c r="I286" s="153"/>
    </row>
    <row r="287" spans="1:11" ht="14.25" customHeight="1">
      <c r="A287" s="152" t="str">
        <f>IF(B287="","","EVA"&amp;TEXT(ROW()-244,"00000"))</f>
        <v/>
      </c>
      <c r="B287" s="153"/>
      <c r="C287" s="154"/>
      <c r="D287" s="153"/>
      <c r="E287" s="153"/>
      <c r="F287" s="153"/>
      <c r="G287" s="153"/>
      <c r="H287" s="153"/>
      <c r="I287" s="153"/>
      <c r="J287" s="159"/>
      <c r="K287" s="153"/>
    </row>
    <row r="288" spans="1:11" ht="14.25" customHeight="1">
      <c r="A288" s="152" t="str">
        <f>IF(B288="","","CNG"&amp;TEXT(ROW()-277,"00000"))</f>
        <v/>
      </c>
      <c r="B288" s="153"/>
      <c r="C288" s="153"/>
      <c r="D288" s="154"/>
      <c r="E288" s="154"/>
      <c r="F288" s="161" t="str">
        <f>IF(OR(D288="",E288=""),"",E288-D288+1)</f>
        <v/>
      </c>
      <c r="G288" s="153"/>
      <c r="H288" s="153"/>
      <c r="I288" s="153"/>
    </row>
    <row r="289" spans="1:11" ht="14.25" customHeight="1">
      <c r="A289" s="152" t="str">
        <f>IF(B289="","","EVA"&amp;TEXT(ROW()-244,"00000"))</f>
        <v/>
      </c>
      <c r="B289" s="153"/>
      <c r="C289" s="154"/>
      <c r="D289" s="153"/>
      <c r="E289" s="153"/>
      <c r="F289" s="153"/>
      <c r="G289" s="153"/>
      <c r="H289" s="153"/>
      <c r="I289" s="153"/>
      <c r="J289" s="159"/>
      <c r="K289" s="153"/>
    </row>
    <row r="290" spans="1:11" ht="14.25" customHeight="1">
      <c r="A290" s="152" t="str">
        <f>IF(B290="","","CNG"&amp;TEXT(ROW()-277,"00000"))</f>
        <v/>
      </c>
      <c r="B290" s="153"/>
      <c r="C290" s="153"/>
      <c r="D290" s="154"/>
      <c r="E290" s="154"/>
      <c r="F290" s="161" t="str">
        <f>IF(OR(D290="",E290=""),"",E290-D290+1)</f>
        <v/>
      </c>
      <c r="G290" s="153"/>
      <c r="H290" s="153"/>
      <c r="I290" s="153"/>
    </row>
    <row r="291" spans="1:11" ht="14.25" customHeight="1">
      <c r="A291" s="152" t="str">
        <f>IF(B291="","","EVA"&amp;TEXT(ROW()-244,"00000"))</f>
        <v/>
      </c>
      <c r="B291" s="153"/>
      <c r="C291" s="154"/>
      <c r="D291" s="153"/>
      <c r="E291" s="153"/>
      <c r="F291" s="153"/>
      <c r="G291" s="153"/>
      <c r="H291" s="153"/>
      <c r="I291" s="153"/>
      <c r="J291" s="159"/>
      <c r="K291" s="153"/>
    </row>
    <row r="292" spans="1:11" ht="14.25" customHeight="1">
      <c r="A292" s="152" t="str">
        <f>IF(B292="","","CNG"&amp;TEXT(ROW()-277,"00000"))</f>
        <v/>
      </c>
      <c r="B292" s="153"/>
      <c r="C292" s="153"/>
      <c r="D292" s="154"/>
      <c r="E292" s="154"/>
      <c r="F292" s="161" t="str">
        <f>IF(OR(D292="",E292=""),"",E292-D292+1)</f>
        <v/>
      </c>
      <c r="G292" s="153"/>
      <c r="H292" s="153"/>
      <c r="I292" s="153"/>
    </row>
    <row r="293" spans="1:11" ht="14.25" customHeight="1">
      <c r="A293" s="152" t="str">
        <f>IF(B293="","","EVA"&amp;TEXT(ROW()-244,"00000"))</f>
        <v/>
      </c>
      <c r="B293" s="153"/>
      <c r="C293" s="154"/>
      <c r="D293" s="153"/>
      <c r="E293" s="153"/>
      <c r="F293" s="153"/>
      <c r="G293" s="153"/>
      <c r="H293" s="153"/>
      <c r="I293" s="153"/>
      <c r="J293" s="159"/>
      <c r="K293" s="153"/>
    </row>
    <row r="294" spans="1:11" ht="14.25" customHeight="1">
      <c r="A294" s="152" t="str">
        <f>IF(B294="","","CNG"&amp;TEXT(ROW()-277,"00000"))</f>
        <v/>
      </c>
      <c r="B294" s="153"/>
      <c r="C294" s="153"/>
      <c r="D294" s="154"/>
      <c r="E294" s="154"/>
      <c r="F294" s="161" t="str">
        <f>IF(OR(D294="",E294=""),"",E294-D294+1)</f>
        <v/>
      </c>
      <c r="G294" s="153"/>
      <c r="H294" s="153"/>
      <c r="I294" s="153"/>
    </row>
    <row r="295" spans="1:11" ht="14.25" customHeight="1">
      <c r="A295" s="152" t="str">
        <f>IF(B295="","","EVA"&amp;TEXT(ROW()-244,"00000"))</f>
        <v/>
      </c>
      <c r="B295" s="153"/>
      <c r="C295" s="154"/>
      <c r="D295" s="153"/>
      <c r="E295" s="153"/>
      <c r="F295" s="153"/>
      <c r="G295" s="153"/>
      <c r="H295" s="153"/>
      <c r="I295" s="153"/>
      <c r="J295" s="159"/>
      <c r="K295" s="153"/>
    </row>
    <row r="296" spans="1:11" ht="14.25" customHeight="1">
      <c r="A296" s="152" t="str">
        <f>IF(B296="","","CNG"&amp;TEXT(ROW()-277,"00000"))</f>
        <v/>
      </c>
      <c r="B296" s="153"/>
      <c r="C296" s="153"/>
      <c r="D296" s="154"/>
      <c r="E296" s="154"/>
      <c r="F296" s="161" t="str">
        <f>IF(OR(D296="",E296=""),"",E296-D296+1)</f>
        <v/>
      </c>
      <c r="G296" s="153"/>
      <c r="H296" s="153"/>
      <c r="I296" s="153"/>
    </row>
    <row r="297" spans="1:11" ht="14.25" customHeight="1">
      <c r="A297" s="152" t="str">
        <f>IF(B297="","","EVA"&amp;TEXT(ROW()-244,"00000"))</f>
        <v/>
      </c>
      <c r="B297" s="153"/>
      <c r="C297" s="154"/>
      <c r="D297" s="153"/>
      <c r="E297" s="153"/>
      <c r="F297" s="153"/>
      <c r="G297" s="153"/>
      <c r="H297" s="153"/>
      <c r="I297" s="153"/>
      <c r="J297" s="159"/>
      <c r="K297" s="153"/>
    </row>
    <row r="298" spans="1:11" ht="14.25" customHeight="1">
      <c r="A298" s="152" t="str">
        <f>IF(B298="","","CNG"&amp;TEXT(ROW()-277,"00000"))</f>
        <v/>
      </c>
      <c r="B298" s="153"/>
      <c r="C298" s="153"/>
      <c r="D298" s="154"/>
      <c r="E298" s="154"/>
      <c r="F298" s="161" t="str">
        <f>IF(OR(D298="",E298=""),"",E298-D298+1)</f>
        <v/>
      </c>
      <c r="G298" s="153"/>
      <c r="H298" s="153"/>
      <c r="I298" s="153"/>
    </row>
    <row r="299" spans="1:11" ht="14.25" customHeight="1">
      <c r="A299" s="152" t="str">
        <f>IF(B299="","","EVA"&amp;TEXT(ROW()-244,"00000"))</f>
        <v/>
      </c>
      <c r="B299" s="153"/>
      <c r="C299" s="154"/>
      <c r="D299" s="153"/>
      <c r="E299" s="153"/>
      <c r="F299" s="153"/>
      <c r="G299" s="153"/>
      <c r="H299" s="153"/>
      <c r="I299" s="153"/>
      <c r="J299" s="159"/>
      <c r="K299" s="153"/>
    </row>
    <row r="300" spans="1:11" ht="14.25" customHeight="1">
      <c r="A300" s="152" t="str">
        <f>IF(B300="","","CNG"&amp;TEXT(ROW()-277,"00000"))</f>
        <v/>
      </c>
      <c r="B300" s="153"/>
      <c r="C300" s="153"/>
      <c r="D300" s="154"/>
      <c r="E300" s="154"/>
      <c r="F300" s="161" t="str">
        <f>IF(OR(D300="",E300=""),"",E300-D300+1)</f>
        <v/>
      </c>
      <c r="G300" s="153"/>
      <c r="H300" s="153"/>
      <c r="I300" s="153"/>
    </row>
    <row r="301" spans="1:11" ht="14.25" customHeight="1">
      <c r="A301" s="152" t="str">
        <f>IF(B301="","","EVA"&amp;TEXT(ROW()-244,"00000"))</f>
        <v/>
      </c>
      <c r="B301" s="153"/>
      <c r="C301" s="154"/>
      <c r="D301" s="153"/>
      <c r="E301" s="153"/>
      <c r="F301" s="153"/>
      <c r="G301" s="153"/>
      <c r="H301" s="153"/>
      <c r="I301" s="153"/>
      <c r="J301" s="159"/>
      <c r="K301" s="153"/>
    </row>
    <row r="302" spans="1:11" ht="14.25" customHeight="1">
      <c r="A302" s="152" t="str">
        <f>IF(B302="","","CNG"&amp;TEXT(ROW()-277,"00000"))</f>
        <v/>
      </c>
      <c r="B302" s="153"/>
      <c r="C302" s="153"/>
      <c r="D302" s="154"/>
      <c r="E302" s="154"/>
      <c r="F302" s="161" t="str">
        <f>IF(OR(D302="",E302=""),"",E302-D302+1)</f>
        <v/>
      </c>
      <c r="G302" s="153"/>
      <c r="H302" s="153"/>
      <c r="I302" s="153"/>
    </row>
    <row r="303" spans="1:11" ht="14.25" customHeight="1">
      <c r="A303" s="152" t="str">
        <f>IF(B303="","","EVA"&amp;TEXT(ROW()-244,"00000"))</f>
        <v/>
      </c>
      <c r="B303" s="153"/>
      <c r="C303" s="154"/>
      <c r="D303" s="153"/>
      <c r="E303" s="153"/>
      <c r="F303" s="153"/>
      <c r="G303" s="153"/>
      <c r="H303" s="153"/>
      <c r="I303" s="153"/>
      <c r="J303" s="159"/>
      <c r="K303" s="153"/>
    </row>
    <row r="304" spans="1:11" ht="14.25" customHeight="1">
      <c r="A304" s="152" t="str">
        <f>IF(B304="","","CNG"&amp;TEXT(ROW()-277,"00000"))</f>
        <v/>
      </c>
      <c r="B304" s="153"/>
      <c r="C304" s="153"/>
      <c r="D304" s="154"/>
      <c r="E304" s="154"/>
      <c r="F304" s="161" t="str">
        <f>IF(OR(D304="",E304=""),"",E304-D304+1)</f>
        <v/>
      </c>
      <c r="G304" s="153"/>
      <c r="H304" s="153"/>
      <c r="I304" s="153"/>
    </row>
    <row r="306" spans="1:10" ht="14.25" customHeight="1">
      <c r="A306" s="152" t="str">
        <f>IF(B306="","","CNG"&amp;TEXT(ROW()-277,"00000"))</f>
        <v/>
      </c>
      <c r="B306" s="153"/>
      <c r="C306" s="153"/>
      <c r="D306" s="154"/>
      <c r="E306" s="154"/>
      <c r="F306" s="161" t="str">
        <f>IF(OR(D306="",E306=""),"",E306-D306+1)</f>
        <v/>
      </c>
      <c r="G306" s="153"/>
      <c r="H306" s="153"/>
      <c r="I306" s="153"/>
    </row>
    <row r="308" spans="1:10" ht="14.25" customHeight="1">
      <c r="A308" s="152" t="str">
        <f>IF(B308="","","CNG"&amp;TEXT(ROW()-277,"00000"))</f>
        <v/>
      </c>
      <c r="B308" s="153"/>
      <c r="C308" s="153"/>
      <c r="D308" s="154"/>
      <c r="E308" s="154"/>
      <c r="F308" s="161" t="str">
        <f>IF(OR(D308="",E308=""),"",E308-D308+1)</f>
        <v/>
      </c>
      <c r="G308" s="153"/>
      <c r="H308" s="153"/>
      <c r="I308" s="153"/>
    </row>
    <row r="309" spans="1:10" ht="15" customHeight="1">
      <c r="A309" s="302" t="s">
        <v>2391</v>
      </c>
      <c r="B309" s="262"/>
      <c r="C309" s="262"/>
      <c r="D309" s="262"/>
      <c r="E309" s="262"/>
      <c r="F309" s="262"/>
      <c r="G309" s="262"/>
      <c r="H309" s="262"/>
      <c r="I309" s="262"/>
      <c r="J309" s="262"/>
    </row>
    <row r="310" spans="1:10" ht="14.25" customHeight="1">
      <c r="A310" s="14" t="s">
        <v>2392</v>
      </c>
      <c r="B310" s="14" t="s">
        <v>2340</v>
      </c>
      <c r="C310" s="14" t="s">
        <v>2393</v>
      </c>
      <c r="D310" s="156" t="s">
        <v>1964</v>
      </c>
      <c r="E310" s="156" t="s">
        <v>1648</v>
      </c>
      <c r="F310" s="160" t="s">
        <v>2394</v>
      </c>
      <c r="G310" s="14" t="s">
        <v>2395</v>
      </c>
      <c r="H310" s="14" t="s">
        <v>175</v>
      </c>
      <c r="I310" s="14" t="s">
        <v>2396</v>
      </c>
      <c r="J310" s="14" t="s">
        <v>2397</v>
      </c>
    </row>
    <row r="311" spans="1:10" ht="14.25" customHeight="1">
      <c r="A311" s="152" t="str">
        <f>IF(B311="","","MIS"&amp;TEXT(ROW()-310,"00000"))</f>
        <v/>
      </c>
      <c r="B311" s="153"/>
      <c r="C311" s="153"/>
      <c r="D311" s="153"/>
      <c r="E311" s="153"/>
      <c r="F311" s="154"/>
      <c r="G311" s="154"/>
      <c r="H311" s="153"/>
      <c r="I311" s="157"/>
      <c r="J311" s="153"/>
    </row>
    <row r="312" spans="1:10" ht="14.25" customHeight="1">
      <c r="A312" s="152" t="str">
        <f>IF(B312="","","CNG"&amp;TEXT(ROW()-277,"00000"))</f>
        <v/>
      </c>
      <c r="B312" s="153"/>
      <c r="C312" s="153"/>
      <c r="D312" s="154"/>
      <c r="E312" s="154"/>
      <c r="F312" s="161" t="str">
        <f>IF(OR(D312="",E312=""),"",E312-D312+1)</f>
        <v/>
      </c>
      <c r="G312" s="153"/>
      <c r="H312" s="153"/>
      <c r="I312" s="153"/>
    </row>
    <row r="313" spans="1:10" ht="14.25" customHeight="1">
      <c r="A313" s="152" t="str">
        <f>IF(B313="","","MIS"&amp;TEXT(ROW()-310,"00000"))</f>
        <v/>
      </c>
      <c r="B313" s="153"/>
      <c r="C313" s="153"/>
      <c r="D313" s="153"/>
      <c r="E313" s="153"/>
      <c r="F313" s="154"/>
      <c r="G313" s="154"/>
      <c r="H313" s="153"/>
      <c r="I313" s="157"/>
      <c r="J313" s="153"/>
    </row>
    <row r="314" spans="1:10" ht="14.25" customHeight="1">
      <c r="A314" s="152" t="str">
        <f>IF(B314="","","CNG"&amp;TEXT(ROW()-277,"00000"))</f>
        <v/>
      </c>
      <c r="B314" s="153"/>
      <c r="C314" s="153"/>
      <c r="D314" s="154"/>
      <c r="E314" s="154"/>
      <c r="F314" s="161" t="str">
        <f>IF(OR(D314="",E314=""),"",E314-D314+1)</f>
        <v/>
      </c>
      <c r="G314" s="153"/>
      <c r="H314" s="153"/>
      <c r="I314" s="153"/>
    </row>
    <row r="315" spans="1:10" ht="14.25" customHeight="1">
      <c r="A315" s="152" t="str">
        <f>IF(B315="","","MIS"&amp;TEXT(ROW()-310,"00000"))</f>
        <v/>
      </c>
      <c r="B315" s="153"/>
      <c r="C315" s="153"/>
      <c r="D315" s="153"/>
      <c r="E315" s="153"/>
      <c r="F315" s="154"/>
      <c r="G315" s="154"/>
      <c r="H315" s="153"/>
      <c r="I315" s="157"/>
      <c r="J315" s="153"/>
    </row>
    <row r="316" spans="1:10" ht="14.25" customHeight="1">
      <c r="A316" s="152" t="str">
        <f>IF(B316="","","CNG"&amp;TEXT(ROW()-277,"00000"))</f>
        <v/>
      </c>
      <c r="B316" s="153"/>
      <c r="C316" s="153"/>
      <c r="D316" s="154"/>
      <c r="E316" s="154"/>
      <c r="F316" s="161" t="str">
        <f>IF(OR(D316="",E316=""),"",E316-D316+1)</f>
        <v/>
      </c>
      <c r="G316" s="153"/>
      <c r="H316" s="153"/>
      <c r="I316" s="153"/>
    </row>
    <row r="317" spans="1:10" ht="14.25" customHeight="1">
      <c r="A317" s="152" t="str">
        <f>IF(B317="","","MIS"&amp;TEXT(ROW()-310,"00000"))</f>
        <v/>
      </c>
      <c r="B317" s="153"/>
      <c r="C317" s="153"/>
      <c r="D317" s="153"/>
      <c r="E317" s="153"/>
      <c r="F317" s="154"/>
      <c r="G317" s="154"/>
      <c r="H317" s="153"/>
      <c r="I317" s="157"/>
      <c r="J317" s="153"/>
    </row>
    <row r="318" spans="1:10" ht="14.25" customHeight="1">
      <c r="A318" s="152" t="str">
        <f>IF(B318="","","CNG"&amp;TEXT(ROW()-277,"00000"))</f>
        <v/>
      </c>
      <c r="B318" s="153"/>
      <c r="C318" s="153"/>
      <c r="D318" s="154"/>
      <c r="E318" s="154"/>
      <c r="F318" s="161" t="str">
        <f>IF(OR(D318="",E318=""),"",E318-D318+1)</f>
        <v/>
      </c>
      <c r="G318" s="153"/>
      <c r="H318" s="153"/>
      <c r="I318" s="153"/>
    </row>
    <row r="319" spans="1:10" ht="14.25" customHeight="1">
      <c r="A319" s="152" t="str">
        <f>IF(B319="","","MIS"&amp;TEXT(ROW()-310,"00000"))</f>
        <v/>
      </c>
      <c r="B319" s="153"/>
      <c r="C319" s="153"/>
      <c r="D319" s="153"/>
      <c r="E319" s="153"/>
      <c r="F319" s="154"/>
      <c r="G319" s="154"/>
      <c r="H319" s="153"/>
      <c r="I319" s="157"/>
      <c r="J319" s="153"/>
    </row>
    <row r="320" spans="1:10" ht="14.25" customHeight="1">
      <c r="A320" s="152" t="str">
        <f>IF(B320="","","CNG"&amp;TEXT(ROW()-277,"00000"))</f>
        <v/>
      </c>
      <c r="B320" s="153"/>
      <c r="C320" s="153"/>
      <c r="D320" s="154"/>
      <c r="E320" s="154"/>
      <c r="F320" s="161" t="str">
        <f>IF(OR(D320="",E320=""),"",E320-D320+1)</f>
        <v/>
      </c>
      <c r="G320" s="153"/>
      <c r="H320" s="153"/>
      <c r="I320" s="153"/>
    </row>
    <row r="321" spans="1:10" ht="14.25" customHeight="1">
      <c r="A321" s="152" t="str">
        <f>IF(B321="","","MIS"&amp;TEXT(ROW()-310,"00000"))</f>
        <v/>
      </c>
      <c r="B321" s="153"/>
      <c r="C321" s="153"/>
      <c r="D321" s="153"/>
      <c r="E321" s="153"/>
      <c r="F321" s="154"/>
      <c r="G321" s="154"/>
      <c r="H321" s="153"/>
      <c r="I321" s="157"/>
      <c r="J321" s="153"/>
    </row>
    <row r="322" spans="1:10" ht="14.25" customHeight="1">
      <c r="A322" s="152" t="str">
        <f>IF(B322="","","CNG"&amp;TEXT(ROW()-277,"00000"))</f>
        <v/>
      </c>
      <c r="B322" s="153"/>
      <c r="C322" s="153"/>
      <c r="D322" s="154"/>
      <c r="E322" s="154"/>
      <c r="F322" s="161" t="str">
        <f>IF(OR(D322="",E322=""),"",E322-D322+1)</f>
        <v/>
      </c>
      <c r="G322" s="153"/>
      <c r="H322" s="153"/>
      <c r="I322" s="153"/>
    </row>
    <row r="323" spans="1:10" ht="14.25" customHeight="1">
      <c r="A323" s="152" t="str">
        <f>IF(B323="","","MIS"&amp;TEXT(ROW()-310,"00000"))</f>
        <v/>
      </c>
      <c r="B323" s="153"/>
      <c r="C323" s="153"/>
      <c r="D323" s="153"/>
      <c r="E323" s="153"/>
      <c r="F323" s="154"/>
      <c r="G323" s="154"/>
      <c r="H323" s="153"/>
      <c r="I323" s="157"/>
      <c r="J323" s="153"/>
    </row>
    <row r="324" spans="1:10" ht="14.25" customHeight="1">
      <c r="A324" s="152" t="str">
        <f>IF(B324="","","CNG"&amp;TEXT(ROW()-277,"00000"))</f>
        <v/>
      </c>
      <c r="B324" s="153"/>
      <c r="C324" s="153"/>
      <c r="D324" s="154"/>
      <c r="E324" s="154"/>
      <c r="F324" s="161" t="str">
        <f>IF(OR(D324="",E324=""),"",E324-D324+1)</f>
        <v/>
      </c>
      <c r="G324" s="153"/>
      <c r="H324" s="153"/>
      <c r="I324" s="153"/>
    </row>
    <row r="325" spans="1:10" ht="14.25" customHeight="1">
      <c r="A325" s="152" t="str">
        <f>IF(B325="","","MIS"&amp;TEXT(ROW()-310,"00000"))</f>
        <v/>
      </c>
      <c r="B325" s="153"/>
      <c r="C325" s="153"/>
      <c r="D325" s="153"/>
      <c r="E325" s="153"/>
      <c r="F325" s="154"/>
      <c r="G325" s="154"/>
      <c r="H325" s="153"/>
      <c r="I325" s="157"/>
      <c r="J325" s="153"/>
    </row>
    <row r="326" spans="1:10" ht="14.25" customHeight="1">
      <c r="A326" s="152" t="str">
        <f>IF(B326="","","CNG"&amp;TEXT(ROW()-277,"00000"))</f>
        <v/>
      </c>
      <c r="B326" s="153"/>
      <c r="C326" s="153"/>
      <c r="D326" s="154"/>
      <c r="E326" s="154"/>
      <c r="F326" s="161" t="str">
        <f>IF(OR(D326="",E326=""),"",E326-D326+1)</f>
        <v/>
      </c>
      <c r="G326" s="153"/>
      <c r="H326" s="153"/>
      <c r="I326" s="153"/>
    </row>
    <row r="327" spans="1:10" ht="14.25" customHeight="1">
      <c r="A327" s="152" t="str">
        <f>IF(B327="","","MIS"&amp;TEXT(ROW()-310,"00000"))</f>
        <v/>
      </c>
      <c r="B327" s="153"/>
      <c r="C327" s="153"/>
      <c r="D327" s="153"/>
      <c r="E327" s="153"/>
      <c r="F327" s="154"/>
      <c r="G327" s="154"/>
      <c r="H327" s="153"/>
      <c r="I327" s="157"/>
      <c r="J327" s="153"/>
    </row>
    <row r="328" spans="1:10" ht="14.25" customHeight="1">
      <c r="A328" s="152" t="str">
        <f>IF(B328="","","CNG"&amp;TEXT(ROW()-277,"00000"))</f>
        <v/>
      </c>
      <c r="B328" s="153"/>
      <c r="C328" s="153"/>
      <c r="D328" s="154"/>
      <c r="E328" s="154"/>
      <c r="F328" s="161" t="str">
        <f>IF(OR(D328="",E328=""),"",E328-D328+1)</f>
        <v/>
      </c>
      <c r="G328" s="153"/>
      <c r="H328" s="153"/>
      <c r="I328" s="153"/>
    </row>
    <row r="329" spans="1:10" ht="14.25" customHeight="1">
      <c r="A329" s="152" t="str">
        <f>IF(B329="","","MIS"&amp;TEXT(ROW()-310,"00000"))</f>
        <v/>
      </c>
      <c r="B329" s="153"/>
      <c r="C329" s="153"/>
      <c r="D329" s="153"/>
      <c r="E329" s="153"/>
      <c r="F329" s="154"/>
      <c r="G329" s="154"/>
      <c r="H329" s="153"/>
      <c r="I329" s="157"/>
      <c r="J329" s="153"/>
    </row>
    <row r="330" spans="1:10" ht="14.25" customHeight="1">
      <c r="A330" s="152" t="str">
        <f>IF(B330="","","CNG"&amp;TEXT(ROW()-277,"00000"))</f>
        <v/>
      </c>
      <c r="B330" s="153"/>
      <c r="C330" s="153"/>
      <c r="D330" s="154"/>
      <c r="E330" s="154"/>
      <c r="F330" s="161" t="str">
        <f>IF(OR(D330="",E330=""),"",E330-D330+1)</f>
        <v/>
      </c>
      <c r="G330" s="153"/>
      <c r="H330" s="153"/>
      <c r="I330" s="153"/>
    </row>
    <row r="331" spans="1:10" ht="14.25" customHeight="1">
      <c r="A331" s="152" t="str">
        <f>IF(B331="","","MIS"&amp;TEXT(ROW()-310,"00000"))</f>
        <v/>
      </c>
      <c r="B331" s="153"/>
      <c r="C331" s="153"/>
      <c r="D331" s="153"/>
      <c r="E331" s="153"/>
      <c r="F331" s="154"/>
      <c r="G331" s="154"/>
      <c r="H331" s="153"/>
      <c r="I331" s="157"/>
      <c r="J331" s="153"/>
    </row>
    <row r="332" spans="1:10" ht="14.25" customHeight="1">
      <c r="A332" s="152" t="str">
        <f>IF(B332="","","CNG"&amp;TEXT(ROW()-277,"00000"))</f>
        <v/>
      </c>
      <c r="B332" s="153"/>
      <c r="C332" s="153"/>
      <c r="D332" s="154"/>
      <c r="E332" s="154"/>
      <c r="F332" s="161" t="str">
        <f>IF(OR(D332="",E332=""),"",E332-D332+1)</f>
        <v/>
      </c>
      <c r="G332" s="153"/>
      <c r="H332" s="153"/>
      <c r="I332" s="153"/>
    </row>
    <row r="333" spans="1:10" ht="14.25" customHeight="1">
      <c r="A333" s="152" t="str">
        <f>IF(B333="","","MIS"&amp;TEXT(ROW()-310,"00000"))</f>
        <v/>
      </c>
      <c r="B333" s="153"/>
      <c r="C333" s="153"/>
      <c r="D333" s="153"/>
      <c r="E333" s="153"/>
      <c r="F333" s="154"/>
      <c r="G333" s="154"/>
      <c r="H333" s="153"/>
      <c r="I333" s="157"/>
      <c r="J333" s="153"/>
    </row>
    <row r="334" spans="1:10" ht="14.25" customHeight="1">
      <c r="A334" s="152" t="str">
        <f>IF(B334="","","CNG"&amp;TEXT(ROW()-277,"00000"))</f>
        <v/>
      </c>
      <c r="B334" s="153"/>
      <c r="C334" s="153"/>
      <c r="D334" s="154"/>
      <c r="E334" s="154"/>
      <c r="F334" s="161" t="str">
        <f>IF(OR(D334="",E334=""),"",E334-D334+1)</f>
        <v/>
      </c>
      <c r="G334" s="153"/>
      <c r="H334" s="153"/>
      <c r="I334" s="153"/>
    </row>
    <row r="335" spans="1:10" ht="14.25" customHeight="1">
      <c r="A335" s="152" t="str">
        <f>IF(B335="","","MIS"&amp;TEXT(ROW()-310,"00000"))</f>
        <v/>
      </c>
      <c r="B335" s="153"/>
      <c r="C335" s="153"/>
      <c r="D335" s="153"/>
      <c r="E335" s="153"/>
      <c r="F335" s="154"/>
      <c r="G335" s="154"/>
      <c r="H335" s="153"/>
      <c r="I335" s="157"/>
      <c r="J335" s="153"/>
    </row>
    <row r="336" spans="1:10" ht="14.25" customHeight="1">
      <c r="A336" s="152" t="str">
        <f>IF(B336="","","CNG"&amp;TEXT(ROW()-277,"00000"))</f>
        <v/>
      </c>
      <c r="B336" s="153"/>
      <c r="C336" s="153"/>
      <c r="D336" s="154"/>
      <c r="E336" s="154"/>
      <c r="F336" s="161" t="str">
        <f>IF(OR(D336="",E336=""),"",E336-D336+1)</f>
        <v/>
      </c>
      <c r="G336" s="153"/>
      <c r="H336" s="153"/>
      <c r="I336" s="153"/>
    </row>
    <row r="337" spans="1:10" ht="14.25" customHeight="1">
      <c r="A337" s="152" t="str">
        <f>IF(B337="","","MIS"&amp;TEXT(ROW()-310,"00000"))</f>
        <v/>
      </c>
      <c r="B337" s="153"/>
      <c r="C337" s="153"/>
      <c r="D337" s="153"/>
      <c r="E337" s="153"/>
      <c r="F337" s="154"/>
      <c r="G337" s="154"/>
      <c r="H337" s="153"/>
      <c r="I337" s="157"/>
      <c r="J337" s="153"/>
    </row>
    <row r="339" spans="1:10" ht="14.25" customHeight="1">
      <c r="A339" s="152" t="str">
        <f>IF(B339="","","MIS"&amp;TEXT(ROW()-310,"00000"))</f>
        <v/>
      </c>
      <c r="B339" s="153"/>
      <c r="C339" s="153"/>
      <c r="D339" s="153"/>
      <c r="E339" s="153"/>
      <c r="F339" s="154"/>
      <c r="G339" s="154"/>
      <c r="H339" s="153"/>
      <c r="I339" s="157"/>
      <c r="J339" s="153"/>
    </row>
    <row r="341" spans="1:10" ht="14.25" customHeight="1">
      <c r="A341" s="152" t="str">
        <f>IF(B341="","","MIS"&amp;TEXT(ROW()-310,"00000"))</f>
        <v/>
      </c>
      <c r="B341" s="153"/>
      <c r="C341" s="153"/>
      <c r="D341" s="153"/>
      <c r="E341" s="153"/>
      <c r="F341" s="154"/>
      <c r="G341" s="154"/>
      <c r="H341" s="153"/>
      <c r="I341" s="157"/>
      <c r="J341" s="153"/>
    </row>
    <row r="342" spans="1:10" ht="15" customHeight="1">
      <c r="A342" s="302" t="s">
        <v>2398</v>
      </c>
      <c r="B342" s="262"/>
      <c r="C342" s="262"/>
      <c r="D342" s="262"/>
      <c r="E342" s="262"/>
      <c r="F342" s="262"/>
      <c r="G342" s="262"/>
      <c r="H342" s="262"/>
    </row>
    <row r="343" spans="1:10" ht="14.25" customHeight="1">
      <c r="A343" s="14" t="s">
        <v>1511</v>
      </c>
      <c r="B343" s="14" t="s">
        <v>2340</v>
      </c>
      <c r="C343" s="14" t="s">
        <v>197</v>
      </c>
      <c r="D343" s="14" t="s">
        <v>2109</v>
      </c>
      <c r="E343" s="14" t="s">
        <v>2304</v>
      </c>
      <c r="F343" s="156" t="s">
        <v>2303</v>
      </c>
      <c r="G343" s="156" t="s">
        <v>175</v>
      </c>
      <c r="H343" s="14" t="s">
        <v>1427</v>
      </c>
      <c r="I343" s="157"/>
      <c r="J343" s="153"/>
    </row>
    <row r="344" spans="1:10" ht="14.25" customHeight="1">
      <c r="A344" s="152" t="str">
        <f>IF(B344="","","PAI"&amp;TEXT(ROW()-343,"00000"))</f>
        <v/>
      </c>
      <c r="B344" s="153"/>
      <c r="C344" s="153"/>
      <c r="D344" s="157"/>
      <c r="E344" s="157"/>
      <c r="F344" s="154"/>
      <c r="G344" s="153"/>
      <c r="H344" s="153"/>
    </row>
    <row r="345" spans="1:10" ht="14.25" customHeight="1">
      <c r="A345" s="152" t="str">
        <f>IF(B345="","","MIS"&amp;TEXT(ROW()-310,"00000"))</f>
        <v/>
      </c>
      <c r="B345" s="153"/>
      <c r="C345" s="153"/>
      <c r="D345" s="153"/>
      <c r="E345" s="153"/>
      <c r="F345" s="154"/>
      <c r="G345" s="154"/>
      <c r="H345" s="153"/>
      <c r="I345" s="157"/>
      <c r="J345" s="153"/>
    </row>
    <row r="346" spans="1:10" ht="14.25" customHeight="1">
      <c r="A346" s="152" t="str">
        <f>IF(B346="","","PAI"&amp;TEXT(ROW()-343,"00000"))</f>
        <v/>
      </c>
      <c r="B346" s="153"/>
      <c r="C346" s="153"/>
      <c r="D346" s="157"/>
      <c r="E346" s="157"/>
      <c r="F346" s="154"/>
      <c r="G346" s="153"/>
      <c r="H346" s="153"/>
    </row>
    <row r="347" spans="1:10" ht="14.25" customHeight="1">
      <c r="A347" s="152" t="str">
        <f>IF(B347="","","MIS"&amp;TEXT(ROW()-310,"00000"))</f>
        <v/>
      </c>
      <c r="B347" s="153"/>
      <c r="C347" s="153"/>
      <c r="D347" s="153"/>
      <c r="E347" s="153"/>
      <c r="F347" s="154"/>
      <c r="G347" s="154"/>
      <c r="H347" s="153"/>
      <c r="I347" s="157"/>
      <c r="J347" s="153"/>
    </row>
    <row r="348" spans="1:10" ht="14.25" customHeight="1">
      <c r="A348" s="152" t="str">
        <f>IF(B348="","","PAI"&amp;TEXT(ROW()-343,"00000"))</f>
        <v/>
      </c>
      <c r="B348" s="153"/>
      <c r="C348" s="153"/>
      <c r="D348" s="157"/>
      <c r="E348" s="157"/>
      <c r="F348" s="154"/>
      <c r="G348" s="153"/>
      <c r="H348" s="153"/>
    </row>
    <row r="349" spans="1:10" ht="14.25" customHeight="1">
      <c r="A349" s="152" t="str">
        <f>IF(B349="","","MIS"&amp;TEXT(ROW()-310,"00000"))</f>
        <v/>
      </c>
      <c r="B349" s="153"/>
      <c r="C349" s="153"/>
      <c r="D349" s="153"/>
      <c r="E349" s="153"/>
      <c r="F349" s="154"/>
      <c r="G349" s="154"/>
      <c r="H349" s="153"/>
      <c r="I349" s="157"/>
      <c r="J349" s="153"/>
    </row>
    <row r="350" spans="1:10" ht="14.25" customHeight="1">
      <c r="A350" s="152" t="str">
        <f>IF(B350="","","PAI"&amp;TEXT(ROW()-343,"00000"))</f>
        <v/>
      </c>
      <c r="B350" s="153"/>
      <c r="C350" s="153"/>
      <c r="D350" s="157"/>
      <c r="E350" s="157"/>
      <c r="F350" s="154"/>
      <c r="G350" s="153"/>
      <c r="H350" s="153"/>
    </row>
    <row r="351" spans="1:10" ht="14.25" customHeight="1">
      <c r="A351" s="152" t="str">
        <f>IF(B351="","","MIS"&amp;TEXT(ROW()-310,"00000"))</f>
        <v/>
      </c>
      <c r="B351" s="153"/>
      <c r="C351" s="153"/>
      <c r="D351" s="153"/>
      <c r="E351" s="153"/>
      <c r="F351" s="154"/>
      <c r="G351" s="154"/>
      <c r="H351" s="153"/>
      <c r="I351" s="157"/>
      <c r="J351" s="153"/>
    </row>
    <row r="352" spans="1:10" ht="14.25" customHeight="1">
      <c r="A352" s="152" t="str">
        <f>IF(B352="","","PAI"&amp;TEXT(ROW()-343,"00000"))</f>
        <v/>
      </c>
      <c r="B352" s="153"/>
      <c r="C352" s="153"/>
      <c r="D352" s="157"/>
      <c r="E352" s="157"/>
      <c r="F352" s="154"/>
      <c r="G352" s="153"/>
      <c r="H352" s="153"/>
    </row>
    <row r="353" spans="1:10" ht="14.25" customHeight="1">
      <c r="A353" s="152" t="str">
        <f>IF(B353="","","MIS"&amp;TEXT(ROW()-310,"00000"))</f>
        <v/>
      </c>
      <c r="B353" s="153"/>
      <c r="C353" s="153"/>
      <c r="D353" s="153"/>
      <c r="E353" s="153"/>
      <c r="F353" s="154"/>
      <c r="G353" s="154"/>
      <c r="H353" s="153"/>
      <c r="I353" s="157"/>
      <c r="J353" s="153"/>
    </row>
    <row r="354" spans="1:10" ht="14.25" customHeight="1">
      <c r="A354" s="152" t="str">
        <f>IF(B354="","","PAI"&amp;TEXT(ROW()-343,"00000"))</f>
        <v/>
      </c>
      <c r="B354" s="153"/>
      <c r="C354" s="153"/>
      <c r="D354" s="157"/>
      <c r="E354" s="157"/>
      <c r="F354" s="154"/>
      <c r="G354" s="153"/>
      <c r="H354" s="153"/>
    </row>
    <row r="355" spans="1:10" ht="14.25" customHeight="1">
      <c r="A355" s="152" t="str">
        <f>IF(B355="","","MIS"&amp;TEXT(ROW()-310,"00000"))</f>
        <v/>
      </c>
      <c r="B355" s="153"/>
      <c r="C355" s="153"/>
      <c r="D355" s="153"/>
      <c r="E355" s="153"/>
      <c r="F355" s="154"/>
      <c r="G355" s="154"/>
      <c r="H355" s="153"/>
      <c r="I355" s="157"/>
      <c r="J355" s="153"/>
    </row>
    <row r="356" spans="1:10" ht="14.25" customHeight="1">
      <c r="A356" s="152" t="str">
        <f>IF(B356="","","PAI"&amp;TEXT(ROW()-343,"00000"))</f>
        <v/>
      </c>
      <c r="B356" s="153"/>
      <c r="C356" s="153"/>
      <c r="D356" s="157"/>
      <c r="E356" s="157"/>
      <c r="F356" s="154"/>
      <c r="G356" s="153"/>
      <c r="H356" s="153"/>
    </row>
    <row r="357" spans="1:10" ht="14.25" customHeight="1">
      <c r="A357" s="152" t="str">
        <f>IF(B357="","","MIS"&amp;TEXT(ROW()-310,"00000"))</f>
        <v/>
      </c>
      <c r="B357" s="153"/>
      <c r="C357" s="153"/>
      <c r="D357" s="153"/>
      <c r="E357" s="153"/>
      <c r="F357" s="154"/>
      <c r="G357" s="154"/>
      <c r="H357" s="153"/>
      <c r="I357" s="157"/>
      <c r="J357" s="153"/>
    </row>
    <row r="358" spans="1:10" ht="14.25" customHeight="1">
      <c r="A358" s="152" t="str">
        <f>IF(B358="","","PAI"&amp;TEXT(ROW()-343,"00000"))</f>
        <v/>
      </c>
      <c r="B358" s="153"/>
      <c r="C358" s="153"/>
      <c r="D358" s="157"/>
      <c r="E358" s="157"/>
      <c r="F358" s="154"/>
      <c r="G358" s="153"/>
      <c r="H358" s="153"/>
    </row>
    <row r="359" spans="1:10" ht="14.25" customHeight="1">
      <c r="A359" s="152" t="str">
        <f>IF(B359="","","MIS"&amp;TEXT(ROW()-310,"00000"))</f>
        <v/>
      </c>
      <c r="B359" s="153"/>
      <c r="C359" s="153"/>
      <c r="D359" s="153"/>
      <c r="E359" s="153"/>
      <c r="F359" s="154"/>
      <c r="G359" s="154"/>
      <c r="H359" s="153"/>
      <c r="I359" s="157"/>
      <c r="J359" s="153"/>
    </row>
    <row r="360" spans="1:10" ht="14.25" customHeight="1">
      <c r="A360" s="152" t="str">
        <f>IF(B360="","","PAI"&amp;TEXT(ROW()-343,"00000"))</f>
        <v/>
      </c>
      <c r="B360" s="153"/>
      <c r="C360" s="153"/>
      <c r="D360" s="157"/>
      <c r="E360" s="157"/>
      <c r="F360" s="154"/>
      <c r="G360" s="153"/>
      <c r="H360" s="153"/>
    </row>
    <row r="361" spans="1:10" ht="14.25" customHeight="1">
      <c r="A361" s="152" t="str">
        <f>IF(B361="","","MIS"&amp;TEXT(ROW()-310,"00000"))</f>
        <v/>
      </c>
      <c r="B361" s="153"/>
      <c r="C361" s="153"/>
      <c r="D361" s="153"/>
      <c r="E361" s="153"/>
      <c r="F361" s="154"/>
      <c r="G361" s="154"/>
      <c r="H361" s="153"/>
      <c r="I361" s="157"/>
      <c r="J361" s="153"/>
    </row>
    <row r="362" spans="1:10" ht="14.25" customHeight="1">
      <c r="A362" s="152" t="str">
        <f>IF(B362="","","PAI"&amp;TEXT(ROW()-343,"00000"))</f>
        <v/>
      </c>
      <c r="B362" s="153"/>
      <c r="C362" s="153"/>
      <c r="D362" s="157"/>
      <c r="E362" s="157"/>
      <c r="F362" s="154"/>
      <c r="G362" s="153"/>
      <c r="H362" s="153"/>
    </row>
    <row r="363" spans="1:10" ht="14.25" customHeight="1">
      <c r="A363" s="152" t="str">
        <f>IF(B363="","","MIS"&amp;TEXT(ROW()-310,"00000"))</f>
        <v/>
      </c>
      <c r="B363" s="153"/>
      <c r="C363" s="153"/>
      <c r="D363" s="153"/>
      <c r="E363" s="153"/>
      <c r="F363" s="154"/>
      <c r="G363" s="154"/>
      <c r="H363" s="153"/>
      <c r="I363" s="157"/>
      <c r="J363" s="153"/>
    </row>
    <row r="364" spans="1:10" ht="14.25" customHeight="1">
      <c r="A364" s="152" t="str">
        <f>IF(B364="","","PAI"&amp;TEXT(ROW()-343,"00000"))</f>
        <v/>
      </c>
      <c r="B364" s="153"/>
      <c r="C364" s="153"/>
      <c r="D364" s="157"/>
      <c r="E364" s="157"/>
      <c r="F364" s="154"/>
      <c r="G364" s="153"/>
      <c r="H364" s="153"/>
    </row>
    <row r="365" spans="1:10" ht="14.25" customHeight="1">
      <c r="A365" s="152" t="str">
        <f>IF(B365="","","MIS"&amp;TEXT(ROW()-310,"00000"))</f>
        <v/>
      </c>
      <c r="B365" s="153"/>
      <c r="C365" s="153"/>
      <c r="D365" s="153"/>
      <c r="E365" s="153"/>
      <c r="F365" s="154"/>
      <c r="G365" s="154"/>
      <c r="H365" s="153"/>
      <c r="I365" s="157"/>
      <c r="J365" s="153"/>
    </row>
    <row r="366" spans="1:10" ht="14.25" customHeight="1">
      <c r="A366" s="152" t="str">
        <f>IF(B366="","","PAI"&amp;TEXT(ROW()-343,"00000"))</f>
        <v/>
      </c>
      <c r="B366" s="153"/>
      <c r="C366" s="153"/>
      <c r="D366" s="157"/>
      <c r="E366" s="157"/>
      <c r="F366" s="154"/>
      <c r="G366" s="153"/>
      <c r="H366" s="153"/>
    </row>
    <row r="367" spans="1:10" ht="14.25" customHeight="1">
      <c r="A367" s="152" t="str">
        <f>IF(B367="","","MIS"&amp;TEXT(ROW()-310,"00000"))</f>
        <v/>
      </c>
      <c r="B367" s="153"/>
      <c r="C367" s="153"/>
      <c r="D367" s="153"/>
      <c r="E367" s="153"/>
      <c r="F367" s="154"/>
      <c r="G367" s="154"/>
      <c r="H367" s="153"/>
      <c r="I367" s="157"/>
      <c r="J367" s="153"/>
    </row>
    <row r="368" spans="1:10" ht="14.25" customHeight="1">
      <c r="A368" s="152" t="str">
        <f>IF(B368="","","PAI"&amp;TEXT(ROW()-343,"00000"))</f>
        <v/>
      </c>
      <c r="B368" s="153"/>
      <c r="C368" s="153"/>
      <c r="D368" s="157"/>
      <c r="E368" s="157"/>
      <c r="F368" s="154"/>
      <c r="G368" s="153"/>
      <c r="H368" s="153"/>
    </row>
    <row r="369" spans="1:10" ht="14.25" customHeight="1">
      <c r="A369" s="152" t="str">
        <f>IF(B369="","","MIS"&amp;TEXT(ROW()-310,"00000"))</f>
        <v/>
      </c>
      <c r="B369" s="153"/>
      <c r="C369" s="153"/>
      <c r="D369" s="153"/>
      <c r="E369" s="153"/>
      <c r="F369" s="154"/>
      <c r="G369" s="154"/>
      <c r="H369" s="153"/>
      <c r="I369" s="157"/>
      <c r="J369" s="153"/>
    </row>
    <row r="370" spans="1:10" ht="14.25" customHeight="1">
      <c r="A370" s="152" t="str">
        <f>IF(B370="","","PAI"&amp;TEXT(ROW()-343,"00000"))</f>
        <v/>
      </c>
      <c r="B370" s="153"/>
      <c r="C370" s="153"/>
      <c r="D370" s="157"/>
      <c r="E370" s="157"/>
      <c r="F370" s="154"/>
      <c r="G370" s="153"/>
      <c r="H370" s="153"/>
    </row>
    <row r="372" spans="1:10" ht="14.25" customHeight="1">
      <c r="A372" s="152" t="str">
        <f>IF(B372="","","PAI"&amp;TEXT(ROW()-343,"00000"))</f>
        <v/>
      </c>
      <c r="B372" s="153"/>
      <c r="C372" s="153"/>
      <c r="D372" s="157"/>
      <c r="E372" s="157"/>
      <c r="F372" s="154"/>
      <c r="G372" s="153"/>
      <c r="H372" s="153"/>
    </row>
    <row r="374" spans="1:10" ht="14.25" customHeight="1">
      <c r="A374" s="152" t="str">
        <f>IF(B374="","","PAI"&amp;TEXT(ROW()-343,"00000"))</f>
        <v/>
      </c>
      <c r="B374" s="153"/>
      <c r="C374" s="153"/>
      <c r="D374" s="157"/>
      <c r="E374" s="157"/>
      <c r="F374" s="154"/>
      <c r="G374" s="153"/>
      <c r="H374" s="153"/>
    </row>
    <row r="375" spans="1:10" ht="15" customHeight="1">
      <c r="A375" s="302" t="s">
        <v>2399</v>
      </c>
      <c r="B375" s="262"/>
      <c r="C375" s="262"/>
      <c r="D375" s="262"/>
      <c r="E375" s="262"/>
    </row>
    <row r="376" spans="1:10" ht="14.25" customHeight="1">
      <c r="A376" s="14" t="s">
        <v>1511</v>
      </c>
      <c r="B376" s="14" t="s">
        <v>2340</v>
      </c>
      <c r="C376" s="14" t="s">
        <v>1428</v>
      </c>
      <c r="D376" s="158" t="s">
        <v>175</v>
      </c>
      <c r="E376" s="158" t="s">
        <v>1503</v>
      </c>
      <c r="F376" s="154"/>
      <c r="G376" s="153"/>
      <c r="H376" s="153"/>
    </row>
    <row r="377" spans="1:10" ht="14.25" customHeight="1">
      <c r="A377" s="152" t="str">
        <f>IF(B377="","","PRE"&amp;TEXT(ROW()-376,"00000"))</f>
        <v/>
      </c>
      <c r="B377" s="153"/>
      <c r="C377" s="154"/>
      <c r="D377" s="153"/>
      <c r="E377" s="153"/>
    </row>
    <row r="378" spans="1:10" ht="14.25" customHeight="1">
      <c r="A378" s="152" t="str">
        <f>IF(B378="","","PAI"&amp;TEXT(ROW()-343,"00000"))</f>
        <v/>
      </c>
      <c r="B378" s="153"/>
      <c r="C378" s="153"/>
      <c r="D378" s="157"/>
      <c r="E378" s="157"/>
      <c r="F378" s="154"/>
      <c r="G378" s="153"/>
      <c r="H378" s="153"/>
    </row>
    <row r="379" spans="1:10" ht="14.25" customHeight="1">
      <c r="A379" s="152" t="str">
        <f>IF(B379="","","PRE"&amp;TEXT(ROW()-376,"00000"))</f>
        <v/>
      </c>
      <c r="B379" s="153"/>
      <c r="C379" s="154"/>
      <c r="D379" s="153"/>
      <c r="E379" s="153"/>
    </row>
    <row r="380" spans="1:10" ht="14.25" customHeight="1">
      <c r="A380" s="152" t="str">
        <f>IF(B380="","","PAI"&amp;TEXT(ROW()-343,"00000"))</f>
        <v/>
      </c>
      <c r="B380" s="153"/>
      <c r="C380" s="153"/>
      <c r="D380" s="157"/>
      <c r="E380" s="157"/>
      <c r="F380" s="154"/>
      <c r="G380" s="153"/>
      <c r="H380" s="153"/>
    </row>
    <row r="381" spans="1:10" ht="14.25" customHeight="1">
      <c r="A381" s="152" t="str">
        <f>IF(B381="","","PRE"&amp;TEXT(ROW()-376,"00000"))</f>
        <v/>
      </c>
      <c r="B381" s="153"/>
      <c r="C381" s="154"/>
      <c r="D381" s="153"/>
      <c r="E381" s="153"/>
    </row>
    <row r="382" spans="1:10" ht="14.25" customHeight="1">
      <c r="A382" s="152" t="str">
        <f>IF(B382="","","PAI"&amp;TEXT(ROW()-343,"00000"))</f>
        <v/>
      </c>
      <c r="B382" s="153"/>
      <c r="C382" s="153"/>
      <c r="D382" s="157"/>
      <c r="E382" s="157"/>
      <c r="F382" s="154"/>
      <c r="G382" s="153"/>
      <c r="H382" s="153"/>
    </row>
    <row r="383" spans="1:10" ht="14.25" customHeight="1">
      <c r="A383" s="152" t="str">
        <f>IF(B383="","","PRE"&amp;TEXT(ROW()-376,"00000"))</f>
        <v/>
      </c>
      <c r="B383" s="153"/>
      <c r="C383" s="154"/>
      <c r="D383" s="153"/>
      <c r="E383" s="153"/>
    </row>
    <row r="384" spans="1:10" ht="14.25" customHeight="1">
      <c r="A384" s="152" t="str">
        <f>IF(B384="","","PAI"&amp;TEXT(ROW()-343,"00000"))</f>
        <v/>
      </c>
      <c r="B384" s="153"/>
      <c r="C384" s="153"/>
      <c r="D384" s="157"/>
      <c r="E384" s="157"/>
      <c r="F384" s="154"/>
      <c r="G384" s="153"/>
      <c r="H384" s="153"/>
    </row>
    <row r="385" spans="1:8" ht="14.25" customHeight="1">
      <c r="A385" s="152" t="str">
        <f>IF(B385="","","PRE"&amp;TEXT(ROW()-376,"00000"))</f>
        <v/>
      </c>
      <c r="B385" s="153"/>
      <c r="C385" s="154"/>
      <c r="D385" s="153"/>
      <c r="E385" s="153"/>
    </row>
    <row r="386" spans="1:8" ht="14.25" customHeight="1">
      <c r="A386" s="152" t="str">
        <f>IF(B386="","","PAI"&amp;TEXT(ROW()-343,"00000"))</f>
        <v/>
      </c>
      <c r="B386" s="153"/>
      <c r="C386" s="153"/>
      <c r="D386" s="157"/>
      <c r="E386" s="157"/>
      <c r="F386" s="154"/>
      <c r="G386" s="153"/>
      <c r="H386" s="153"/>
    </row>
    <row r="387" spans="1:8" ht="14.25" customHeight="1">
      <c r="A387" s="152" t="str">
        <f>IF(B387="","","PRE"&amp;TEXT(ROW()-376,"00000"))</f>
        <v/>
      </c>
      <c r="B387" s="153"/>
      <c r="C387" s="154"/>
      <c r="D387" s="153"/>
      <c r="E387" s="153"/>
    </row>
    <row r="388" spans="1:8" ht="14.25" customHeight="1">
      <c r="A388" s="152" t="str">
        <f>IF(B388="","","PAI"&amp;TEXT(ROW()-343,"00000"))</f>
        <v/>
      </c>
      <c r="B388" s="153"/>
      <c r="C388" s="153"/>
      <c r="D388" s="157"/>
      <c r="E388" s="157"/>
      <c r="F388" s="154"/>
      <c r="G388" s="153"/>
      <c r="H388" s="153"/>
    </row>
    <row r="389" spans="1:8" ht="14.25" customHeight="1">
      <c r="A389" s="152" t="str">
        <f>IF(B389="","","PRE"&amp;TEXT(ROW()-376,"00000"))</f>
        <v/>
      </c>
      <c r="B389" s="153"/>
      <c r="C389" s="154"/>
      <c r="D389" s="153"/>
      <c r="E389" s="153"/>
    </row>
    <row r="390" spans="1:8" ht="14.25" customHeight="1">
      <c r="A390" s="152" t="str">
        <f>IF(B390="","","PAI"&amp;TEXT(ROW()-343,"00000"))</f>
        <v/>
      </c>
      <c r="B390" s="153"/>
      <c r="C390" s="153"/>
      <c r="D390" s="157"/>
      <c r="E390" s="157"/>
      <c r="F390" s="154"/>
      <c r="G390" s="153"/>
      <c r="H390" s="153"/>
    </row>
    <row r="391" spans="1:8" ht="14.25" customHeight="1">
      <c r="A391" s="152" t="str">
        <f>IF(B391="","","PRE"&amp;TEXT(ROW()-376,"00000"))</f>
        <v/>
      </c>
      <c r="B391" s="153"/>
      <c r="C391" s="154"/>
      <c r="D391" s="153"/>
      <c r="E391" s="153"/>
    </row>
    <row r="392" spans="1:8" ht="14.25" customHeight="1">
      <c r="A392" s="152" t="str">
        <f>IF(B392="","","PAI"&amp;TEXT(ROW()-343,"00000"))</f>
        <v/>
      </c>
      <c r="B392" s="153"/>
      <c r="C392" s="153"/>
      <c r="D392" s="157"/>
      <c r="E392" s="157"/>
      <c r="F392" s="154"/>
      <c r="G392" s="153"/>
      <c r="H392" s="153"/>
    </row>
    <row r="393" spans="1:8" ht="14.25" customHeight="1">
      <c r="A393" s="152" t="str">
        <f>IF(B393="","","PRE"&amp;TEXT(ROW()-376,"00000"))</f>
        <v/>
      </c>
      <c r="B393" s="153"/>
      <c r="C393" s="154"/>
      <c r="D393" s="153"/>
      <c r="E393" s="153"/>
    </row>
    <row r="394" spans="1:8" ht="14.25" customHeight="1">
      <c r="A394" s="152" t="str">
        <f>IF(B394="","","PAI"&amp;TEXT(ROW()-343,"00000"))</f>
        <v/>
      </c>
      <c r="B394" s="153"/>
      <c r="C394" s="153"/>
      <c r="D394" s="157"/>
      <c r="E394" s="157"/>
      <c r="F394" s="154"/>
      <c r="G394" s="153"/>
      <c r="H394" s="153"/>
    </row>
    <row r="395" spans="1:8" ht="14.25" customHeight="1">
      <c r="A395" s="152" t="str">
        <f>IF(B395="","","PRE"&amp;TEXT(ROW()-376,"00000"))</f>
        <v/>
      </c>
      <c r="B395" s="153"/>
      <c r="C395" s="154"/>
      <c r="D395" s="153"/>
      <c r="E395" s="153"/>
    </row>
    <row r="396" spans="1:8" ht="14.25" customHeight="1">
      <c r="A396" s="152" t="str">
        <f>IF(B396="","","PAI"&amp;TEXT(ROW()-343,"00000"))</f>
        <v/>
      </c>
      <c r="B396" s="153"/>
      <c r="C396" s="153"/>
      <c r="D396" s="157"/>
      <c r="E396" s="157"/>
      <c r="F396" s="154"/>
      <c r="G396" s="153"/>
      <c r="H396" s="153"/>
    </row>
    <row r="397" spans="1:8" ht="14.25" customHeight="1">
      <c r="A397" s="152" t="str">
        <f>IF(B397="","","PRE"&amp;TEXT(ROW()-376,"00000"))</f>
        <v/>
      </c>
      <c r="B397" s="153"/>
      <c r="C397" s="154"/>
      <c r="D397" s="153"/>
      <c r="E397" s="153"/>
    </row>
    <row r="398" spans="1:8" ht="14.25" customHeight="1">
      <c r="A398" s="303" t="s">
        <v>2400</v>
      </c>
      <c r="B398" s="307"/>
      <c r="C398" s="307"/>
      <c r="D398" s="307"/>
      <c r="E398" s="307"/>
      <c r="F398" s="307"/>
      <c r="G398" s="304"/>
      <c r="H398" s="153"/>
    </row>
    <row r="399" spans="1:8" ht="14.25" customHeight="1">
      <c r="A399" s="14" t="s">
        <v>1511</v>
      </c>
      <c r="B399" s="14" t="s">
        <v>2340</v>
      </c>
      <c r="C399" s="156" t="s">
        <v>1603</v>
      </c>
      <c r="D399" s="14" t="s">
        <v>1427</v>
      </c>
      <c r="E399" s="14" t="s">
        <v>1428</v>
      </c>
      <c r="F399" s="14" t="s">
        <v>2401</v>
      </c>
      <c r="G399" s="14" t="s">
        <v>2402</v>
      </c>
    </row>
    <row r="400" spans="1:8" ht="14.25" customHeight="1">
      <c r="A400" s="152" t="str">
        <f>IF(B400="","","DOC"&amp;TEXT(ROW()-399,"00000"))</f>
        <v/>
      </c>
      <c r="B400" s="153"/>
      <c r="C400" s="153"/>
      <c r="D400" s="157"/>
      <c r="E400" s="154"/>
      <c r="F400" s="154"/>
      <c r="G400" s="153"/>
      <c r="H400" s="153"/>
    </row>
    <row r="401" spans="1:8" ht="14.25" customHeight="1">
      <c r="A401" s="152" t="str">
        <f>IF(B401="","","PRE"&amp;TEXT(ROW()-376,"00000"))</f>
        <v/>
      </c>
      <c r="B401" s="153"/>
      <c r="C401" s="154"/>
      <c r="D401" s="153"/>
      <c r="E401" s="153"/>
    </row>
    <row r="402" spans="1:8" ht="14.25" customHeight="1">
      <c r="A402" s="152" t="str">
        <f>IF(B402="","","DOC"&amp;TEXT(ROW()-399,"00000"))</f>
        <v/>
      </c>
      <c r="B402" s="153"/>
      <c r="C402" s="153"/>
      <c r="D402" s="157"/>
      <c r="E402" s="154"/>
      <c r="F402" s="154"/>
      <c r="G402" s="153"/>
      <c r="H402" s="153"/>
    </row>
    <row r="403" spans="1:8" ht="14.25" customHeight="1">
      <c r="A403" s="152" t="str">
        <f>IF(B403="","","PRE"&amp;TEXT(ROW()-376,"00000"))</f>
        <v/>
      </c>
      <c r="B403" s="153"/>
      <c r="C403" s="154"/>
      <c r="D403" s="153"/>
      <c r="E403" s="153"/>
    </row>
    <row r="404" spans="1:8" ht="14.25" customHeight="1">
      <c r="A404" s="152" t="str">
        <f>IF(B404="","","DOC"&amp;TEXT(ROW()-399,"00000"))</f>
        <v/>
      </c>
      <c r="B404" s="153"/>
      <c r="C404" s="153"/>
      <c r="D404" s="153"/>
      <c r="E404" s="154"/>
      <c r="F404" s="153"/>
      <c r="G404" s="153"/>
    </row>
    <row r="405" spans="1:8" ht="14.25" customHeight="1">
      <c r="A405" s="152" t="str">
        <f>IF(B405="","","PRE"&amp;TEXT(ROW()-376,"00000"))</f>
        <v/>
      </c>
      <c r="B405" s="153"/>
      <c r="C405" s="154"/>
      <c r="D405" s="153"/>
      <c r="E405" s="153"/>
    </row>
    <row r="406" spans="1:8" ht="14.25" customHeight="1">
      <c r="A406" s="152" t="str">
        <f>IF(B406="","","DOC"&amp;TEXT(ROW()-399,"00000"))</f>
        <v/>
      </c>
      <c r="B406" s="153"/>
      <c r="C406" s="153"/>
      <c r="D406" s="153"/>
      <c r="E406" s="154"/>
      <c r="F406" s="153"/>
      <c r="G406" s="153"/>
    </row>
    <row r="407" spans="1:8" ht="14.25" customHeight="1">
      <c r="A407" s="152" t="str">
        <f>IF(B407="","","PRE"&amp;TEXT(ROW()-376,"00000"))</f>
        <v/>
      </c>
      <c r="B407" s="153"/>
      <c r="C407" s="154"/>
      <c r="D407" s="153"/>
      <c r="E407" s="153"/>
    </row>
    <row r="408" spans="1:8" ht="14.25" customHeight="1">
      <c r="A408" s="152" t="str">
        <f>IF(B408="","","DOC"&amp;TEXT(ROW()-399,"00000"))</f>
        <v/>
      </c>
      <c r="B408" s="153"/>
      <c r="C408" s="153"/>
      <c r="D408" s="153"/>
      <c r="E408" s="154"/>
      <c r="F408" s="153"/>
      <c r="G408" s="153"/>
    </row>
    <row r="409" spans="1:8" ht="14.25" customHeight="1">
      <c r="A409" s="152" t="str">
        <f>IF(B409="","","PRE"&amp;TEXT(ROW()-376,"00000"))</f>
        <v/>
      </c>
      <c r="B409" s="153"/>
      <c r="C409" s="154"/>
      <c r="D409" s="153"/>
      <c r="E409" s="153"/>
    </row>
    <row r="410" spans="1:8" ht="14.25" customHeight="1">
      <c r="A410" s="152" t="str">
        <f>IF(B410="","","DOC"&amp;TEXT(ROW()-399,"00000"))</f>
        <v/>
      </c>
      <c r="B410" s="153"/>
      <c r="C410" s="153"/>
      <c r="D410" s="153"/>
      <c r="E410" s="154"/>
      <c r="F410" s="153"/>
      <c r="G410" s="153"/>
    </row>
    <row r="411" spans="1:8" ht="14.25" customHeight="1">
      <c r="A411" s="152" t="str">
        <f>IF(B411="","","PRE"&amp;TEXT(ROW()-376,"00000"))</f>
        <v/>
      </c>
      <c r="B411" s="153"/>
      <c r="C411" s="154"/>
      <c r="D411" s="153"/>
      <c r="E411" s="153"/>
    </row>
    <row r="412" spans="1:8" ht="14.25" customHeight="1">
      <c r="A412" s="152" t="str">
        <f>IF(B412="","","DOC"&amp;TEXT(ROW()-399,"00000"))</f>
        <v/>
      </c>
      <c r="B412" s="153"/>
      <c r="C412" s="153"/>
      <c r="D412" s="153"/>
      <c r="E412" s="154"/>
      <c r="F412" s="153"/>
      <c r="G412" s="153"/>
    </row>
    <row r="413" spans="1:8" ht="14.25" customHeight="1">
      <c r="A413" s="152" t="str">
        <f>IF(B413="","","PRE"&amp;TEXT(ROW()-376,"00000"))</f>
        <v/>
      </c>
      <c r="B413" s="153"/>
      <c r="C413" s="154"/>
      <c r="D413" s="153"/>
      <c r="E413" s="153"/>
    </row>
    <row r="414" spans="1:8" ht="14.25" customHeight="1">
      <c r="A414" s="152" t="str">
        <f>IF(B414="","","DOC"&amp;TEXT(ROW()-399,"00000"))</f>
        <v/>
      </c>
      <c r="B414" s="153"/>
      <c r="C414" s="153"/>
      <c r="D414" s="153"/>
      <c r="E414" s="154"/>
      <c r="F414" s="153"/>
      <c r="G414" s="153"/>
    </row>
    <row r="415" spans="1:8" ht="14.25" customHeight="1">
      <c r="A415" s="152" t="str">
        <f>IF(B415="","","PRE"&amp;TEXT(ROW()-376,"00000"))</f>
        <v/>
      </c>
      <c r="B415" s="153"/>
      <c r="C415" s="154"/>
      <c r="D415" s="153"/>
      <c r="E415" s="153"/>
    </row>
    <row r="416" spans="1:8" ht="14.25" customHeight="1">
      <c r="A416" s="152" t="str">
        <f>IF(B416="","","DOC"&amp;TEXT(ROW()-399,"00000"))</f>
        <v/>
      </c>
      <c r="B416" s="153"/>
      <c r="C416" s="153"/>
      <c r="D416" s="153"/>
      <c r="E416" s="154"/>
      <c r="F416" s="153"/>
      <c r="G416" s="153"/>
    </row>
    <row r="418" spans="1:7" ht="14.25" customHeight="1">
      <c r="A418" s="152" t="str">
        <f>IF(B418="","","DOC"&amp;TEXT(ROW()-399,"00000"))</f>
        <v/>
      </c>
      <c r="B418" s="153"/>
      <c r="C418" s="153"/>
      <c r="D418" s="153"/>
      <c r="E418" s="154"/>
      <c r="F418" s="153"/>
      <c r="G418" s="153"/>
    </row>
    <row r="420" spans="1:7" ht="14.25" customHeight="1">
      <c r="A420" s="152" t="str">
        <f>IF(B420="","","DOC"&amp;TEXT(ROW()-399,"00000"))</f>
        <v/>
      </c>
      <c r="B420" s="153"/>
      <c r="C420" s="153"/>
      <c r="D420" s="153"/>
      <c r="E420" s="154"/>
      <c r="F420" s="153"/>
      <c r="G420" s="153"/>
    </row>
    <row r="422" spans="1:7" ht="14.25" customHeight="1">
      <c r="A422" s="152" t="str">
        <f>IF(B422="","","DOC"&amp;TEXT(ROW()-399,"00000"))</f>
        <v/>
      </c>
      <c r="B422" s="153"/>
      <c r="C422" s="153"/>
      <c r="D422" s="153"/>
      <c r="E422" s="154"/>
      <c r="F422" s="153"/>
      <c r="G422" s="153"/>
    </row>
    <row r="424" spans="1:7" ht="14.25" customHeight="1">
      <c r="A424" s="152" t="str">
        <f>IF(B424="","","DOC"&amp;TEXT(ROW()-399,"00000"))</f>
        <v/>
      </c>
      <c r="B424" s="153"/>
      <c r="C424" s="153"/>
      <c r="D424" s="153"/>
      <c r="E424" s="154"/>
      <c r="F424" s="153"/>
      <c r="G424" s="153"/>
    </row>
    <row r="426" spans="1:7" ht="14.25" customHeight="1">
      <c r="A426" s="152" t="str">
        <f>IF(B426="","","DOC"&amp;TEXT(ROW()-399,"00000"))</f>
        <v/>
      </c>
      <c r="B426" s="153"/>
      <c r="C426" s="153"/>
      <c r="D426" s="153"/>
      <c r="E426" s="154"/>
      <c r="F426" s="153"/>
      <c r="G426" s="153"/>
    </row>
    <row r="428" spans="1:7" ht="14.25" customHeight="1">
      <c r="A428" s="152" t="str">
        <f>IF(B428="","","DOC"&amp;TEXT(ROW()-399,"00000"))</f>
        <v/>
      </c>
      <c r="B428" s="153"/>
      <c r="C428" s="153"/>
      <c r="D428" s="153"/>
      <c r="E428" s="154"/>
      <c r="F428" s="153"/>
      <c r="G428" s="153"/>
    </row>
    <row r="430" spans="1:7" ht="14.25" customHeight="1">
      <c r="A430" s="152" t="str">
        <f>IF(B430="","","DOC"&amp;TEXT(ROW()-399,"00000"))</f>
        <v/>
      </c>
      <c r="B430" s="153"/>
      <c r="C430" s="153"/>
      <c r="D430" s="153"/>
      <c r="E430" s="154"/>
      <c r="F430" s="153"/>
      <c r="G430" s="153"/>
    </row>
    <row r="431" spans="1:7" ht="15" customHeight="1">
      <c r="A431" s="302" t="s">
        <v>2403</v>
      </c>
      <c r="B431" s="262"/>
    </row>
    <row r="432" spans="1:7" ht="14.25" customHeight="1">
      <c r="A432" s="14" t="s">
        <v>1716</v>
      </c>
      <c r="B432" s="14" t="s">
        <v>9</v>
      </c>
      <c r="C432" s="153"/>
      <c r="D432" s="153"/>
      <c r="E432" s="154"/>
      <c r="F432" s="153"/>
      <c r="G432" s="153"/>
    </row>
    <row r="433" spans="1:7" ht="15" customHeight="1">
      <c r="A433" s="33" t="s">
        <v>116</v>
      </c>
      <c r="B433" s="152">
        <f>COUNTIF($A$27:$A$76,"RH*")</f>
        <v>0</v>
      </c>
    </row>
    <row r="434" spans="1:7" ht="14.25" customHeight="1">
      <c r="A434" s="162" t="s">
        <v>1537</v>
      </c>
      <c r="B434" s="152">
        <f>COUNTIFS($P$27:$P$76,"Actif")</f>
        <v>0</v>
      </c>
      <c r="C434" s="153"/>
      <c r="D434" s="153"/>
      <c r="E434" s="154"/>
      <c r="F434" s="153"/>
      <c r="G434" s="153"/>
    </row>
    <row r="435" spans="1:7" ht="15" customHeight="1">
      <c r="A435" s="33" t="s">
        <v>2324</v>
      </c>
      <c r="B435" s="152">
        <f>COUNTIFS($Y$27:$Y$76,"CDD")</f>
        <v>0</v>
      </c>
    </row>
    <row r="436" spans="1:7" ht="14.25" customHeight="1">
      <c r="A436" s="162" t="s">
        <v>629</v>
      </c>
      <c r="B436" s="152">
        <f>COUNTIFS($Y$27:$Y$76,"Consultant")</f>
        <v>0</v>
      </c>
      <c r="C436" s="153"/>
      <c r="D436" s="153"/>
      <c r="E436" s="154"/>
      <c r="F436" s="153"/>
      <c r="G436" s="153"/>
    </row>
    <row r="437" spans="1:7" ht="15" customHeight="1">
      <c r="A437" s="33" t="s">
        <v>2404</v>
      </c>
      <c r="B437" s="152">
        <f>COUNTIFS($Y$27:$Y$76,"Benevolat")</f>
        <v>0</v>
      </c>
    </row>
    <row r="438" spans="1:7" ht="14.25" customHeight="1">
      <c r="A438" s="162" t="s">
        <v>1415</v>
      </c>
      <c r="B438" s="152">
        <f>COUNTIFS($Y$27:$Y$76,"Stage")</f>
        <v>0</v>
      </c>
      <c r="C438" s="153"/>
      <c r="D438" s="153"/>
      <c r="E438" s="154"/>
      <c r="F438" s="153"/>
      <c r="G438" s="153"/>
    </row>
    <row r="439" spans="1:7" ht="15" customHeight="1">
      <c r="A439" s="33" t="s">
        <v>2405</v>
      </c>
      <c r="B439" s="152">
        <f ca="1">COUNTIFS($AE$27:$AE$76,"A renouveler bientot")</f>
        <v>0</v>
      </c>
    </row>
    <row r="440" spans="1:7" ht="14.25" customHeight="1">
      <c r="A440" s="152" t="str">
        <f>IF(B440="","","DOC"&amp;TEXT(ROW()-399,"00000"))</f>
        <v/>
      </c>
      <c r="B440" s="153"/>
      <c r="C440" s="153"/>
      <c r="D440" s="153"/>
      <c r="E440" s="154"/>
      <c r="F440" s="153"/>
      <c r="G440" s="153"/>
    </row>
    <row r="442" spans="1:7" ht="14.25" customHeight="1">
      <c r="A442" s="303" t="s">
        <v>2406</v>
      </c>
      <c r="B442" s="304"/>
      <c r="C442" s="153"/>
      <c r="D442" s="153"/>
      <c r="E442" s="154"/>
      <c r="F442" s="153"/>
      <c r="G442" s="153"/>
    </row>
    <row r="443" spans="1:7" ht="15" customHeight="1">
      <c r="A443" s="163" t="s">
        <v>2332</v>
      </c>
      <c r="B443" s="163" t="s">
        <v>1521</v>
      </c>
    </row>
    <row r="444" spans="1:7" ht="14.25" customHeight="1">
      <c r="A444" s="162" t="s">
        <v>1176</v>
      </c>
      <c r="B444" s="152">
        <f t="shared" ref="B444:B454" si="19">COUNTIFS($S$27:$S$76,A444)</f>
        <v>0</v>
      </c>
      <c r="C444" s="153"/>
      <c r="D444" s="153"/>
      <c r="E444" s="154"/>
      <c r="F444" s="153"/>
      <c r="G444" s="153"/>
    </row>
    <row r="445" spans="1:7" ht="15" customHeight="1">
      <c r="A445" s="33" t="s">
        <v>1178</v>
      </c>
      <c r="B445" s="152">
        <f t="shared" si="19"/>
        <v>0</v>
      </c>
    </row>
    <row r="446" spans="1:7" ht="14.25" customHeight="1">
      <c r="A446" s="162" t="s">
        <v>1180</v>
      </c>
      <c r="B446" s="152">
        <f t="shared" si="19"/>
        <v>0</v>
      </c>
      <c r="C446" s="153"/>
      <c r="D446" s="153"/>
      <c r="E446" s="154"/>
      <c r="F446" s="153"/>
      <c r="G446" s="153"/>
    </row>
    <row r="447" spans="1:7" ht="15" customHeight="1">
      <c r="A447" s="33" t="s">
        <v>667</v>
      </c>
      <c r="B447" s="152">
        <f t="shared" si="19"/>
        <v>0</v>
      </c>
    </row>
    <row r="448" spans="1:7" ht="14.25" customHeight="1">
      <c r="A448" s="162" t="s">
        <v>1183</v>
      </c>
      <c r="B448" s="152">
        <f t="shared" si="19"/>
        <v>0</v>
      </c>
      <c r="C448" s="153"/>
      <c r="D448" s="153"/>
      <c r="E448" s="154"/>
      <c r="F448" s="153"/>
      <c r="G448" s="153"/>
    </row>
    <row r="449" spans="1:7" ht="15" customHeight="1">
      <c r="A449" s="33" t="s">
        <v>439</v>
      </c>
      <c r="B449" s="152">
        <f t="shared" si="19"/>
        <v>0</v>
      </c>
    </row>
    <row r="450" spans="1:7" ht="14.25" customHeight="1">
      <c r="A450" s="162" t="s">
        <v>665</v>
      </c>
      <c r="B450" s="152">
        <f t="shared" si="19"/>
        <v>0</v>
      </c>
      <c r="C450" s="153"/>
      <c r="D450" s="153"/>
      <c r="E450" s="154"/>
      <c r="F450" s="153"/>
      <c r="G450" s="153"/>
    </row>
    <row r="451" spans="1:7" ht="15" customHeight="1">
      <c r="A451" s="33" t="s">
        <v>1187</v>
      </c>
      <c r="B451" s="152">
        <f t="shared" si="19"/>
        <v>0</v>
      </c>
    </row>
    <row r="452" spans="1:7" ht="14.25" customHeight="1">
      <c r="A452" s="162" t="s">
        <v>1189</v>
      </c>
      <c r="B452" s="152">
        <f t="shared" si="19"/>
        <v>0</v>
      </c>
      <c r="C452" s="153"/>
      <c r="D452" s="153"/>
      <c r="E452" s="154"/>
      <c r="F452" s="153"/>
      <c r="G452" s="153"/>
    </row>
    <row r="453" spans="1:7" ht="15" customHeight="1">
      <c r="A453" s="33" t="s">
        <v>1191</v>
      </c>
      <c r="B453" s="152">
        <f t="shared" si="19"/>
        <v>0</v>
      </c>
    </row>
    <row r="454" spans="1:7" ht="14.25" customHeight="1">
      <c r="A454" s="162" t="s">
        <v>383</v>
      </c>
      <c r="B454" s="152">
        <f t="shared" si="19"/>
        <v>0</v>
      </c>
      <c r="C454" s="153"/>
      <c r="D454" s="153"/>
      <c r="E454" s="154"/>
      <c r="F454" s="153"/>
      <c r="G454" s="153"/>
    </row>
    <row r="456" spans="1:7" ht="14.25" customHeight="1">
      <c r="A456" s="152" t="str">
        <f>IF(B456="","","DOC"&amp;TEXT(ROW()-399,"00000"))</f>
        <v/>
      </c>
      <c r="B456" s="153"/>
      <c r="C456" s="153"/>
      <c r="D456" s="153"/>
      <c r="E456" s="154"/>
      <c r="F456" s="153"/>
      <c r="G456" s="153"/>
    </row>
    <row r="457" spans="1:7" ht="15" customHeight="1">
      <c r="A457" s="302" t="s">
        <v>2407</v>
      </c>
      <c r="B457" s="262"/>
      <c r="C457" s="262"/>
    </row>
    <row r="458" spans="1:7" ht="14.25" customHeight="1">
      <c r="A458" s="14" t="s">
        <v>872</v>
      </c>
      <c r="B458" s="14" t="s">
        <v>2408</v>
      </c>
      <c r="C458" s="14" t="s">
        <v>2409</v>
      </c>
      <c r="D458" s="153"/>
      <c r="E458" s="154"/>
      <c r="F458" s="153"/>
      <c r="G458" s="153"/>
    </row>
    <row r="459" spans="1:7" ht="15" customHeight="1">
      <c r="A459" s="164" t="str">
        <f>IFERROR(INDEX(tbl_Projets[Titre complet du projet],1),"")</f>
        <v>Projet d'appui a l'insertion professionnelle des jeunes</v>
      </c>
      <c r="B459" s="152">
        <f>IF(A459="","",COUNTIFS(tbl_RH_AffectationsProjets[ID Projet],IFERROR(INDEX(tbl_Projets[ID Projet],1),"")))</f>
        <v>0</v>
      </c>
      <c r="C459" s="165">
        <f>IF(A459="","",IFERROR(AVERAGEIFS(tbl_RH_AffectationsProjets[% affectation],tbl_RH_AffectationsProjets[ID Projet],IFERROR(INDEX(tbl_Projets[ID Projet],1),"")),0))</f>
        <v>0</v>
      </c>
    </row>
    <row r="460" spans="1:7" ht="15" customHeight="1">
      <c r="A460" s="164">
        <f>IFERROR(INDEX(tbl_Projets[Titre complet du projet],2),"")</f>
        <v>0</v>
      </c>
      <c r="B460" s="152">
        <f>IF(A460="","",COUNTIFS(tbl_RH_AffectationsProjets[ID Projet],IFERROR(INDEX(tbl_Projets[ID Projet],2),"")))</f>
        <v>30</v>
      </c>
      <c r="C460" s="165">
        <f>IF(A460="","",IFERROR(AVERAGEIFS(tbl_RH_AffectationsProjets[% affectation],tbl_RH_AffectationsProjets[ID Projet],IFERROR(INDEX(tbl_Projets[ID Projet],2),"")),0))</f>
        <v>0</v>
      </c>
    </row>
    <row r="461" spans="1:7" ht="15" customHeight="1">
      <c r="A461" s="164">
        <f>IFERROR(INDEX(tbl_Projets[Titre complet du projet],3),"")</f>
        <v>0</v>
      </c>
      <c r="B461" s="152">
        <f>IF(A461="","",COUNTIFS(tbl_RH_AffectationsProjets[ID Projet],IFERROR(INDEX(tbl_Projets[ID Projet],3),"")))</f>
        <v>30</v>
      </c>
      <c r="C461" s="165">
        <f>IF(A461="","",IFERROR(AVERAGEIFS(tbl_RH_AffectationsProjets[% affectation],tbl_RH_AffectationsProjets[ID Projet],IFERROR(INDEX(tbl_Projets[ID Projet],3),"")),0))</f>
        <v>0</v>
      </c>
    </row>
    <row r="462" spans="1:7" ht="15" customHeight="1">
      <c r="A462" s="164">
        <f>IFERROR(INDEX(tbl_Projets[Titre complet du projet],4),"")</f>
        <v>0</v>
      </c>
      <c r="B462" s="152">
        <f>IF(A462="","",COUNTIFS(tbl_RH_AffectationsProjets[ID Projet],IFERROR(INDEX(tbl_Projets[ID Projet],4),"")))</f>
        <v>30</v>
      </c>
      <c r="C462" s="165">
        <f>IF(A462="","",IFERROR(AVERAGEIFS(tbl_RH_AffectationsProjets[% affectation],tbl_RH_AffectationsProjets[ID Projet],IFERROR(INDEX(tbl_Projets[ID Projet],4),"")),0))</f>
        <v>0</v>
      </c>
    </row>
    <row r="463" spans="1:7" ht="15" customHeight="1">
      <c r="A463" s="164">
        <f>IFERROR(INDEX(tbl_Projets[Titre complet du projet],5),"")</f>
        <v>0</v>
      </c>
      <c r="B463" s="152">
        <f>IF(A463="","",COUNTIFS(tbl_RH_AffectationsProjets[ID Projet],IFERROR(INDEX(tbl_Projets[ID Projet],5),"")))</f>
        <v>30</v>
      </c>
      <c r="C463" s="165">
        <f>IF(A463="","",IFERROR(AVERAGEIFS(tbl_RH_AffectationsProjets[% affectation],tbl_RH_AffectationsProjets[ID Projet],IFERROR(INDEX(tbl_Projets[ID Projet],5),"")),0))</f>
        <v>0</v>
      </c>
    </row>
    <row r="464" spans="1:7" ht="15" customHeight="1">
      <c r="A464" s="164">
        <f>IFERROR(INDEX(tbl_Projets[Titre complet du projet],6),"")</f>
        <v>0</v>
      </c>
      <c r="B464" s="152">
        <f>IF(A464="","",COUNTIFS(tbl_RH_AffectationsProjets[ID Projet],IFERROR(INDEX(tbl_Projets[ID Projet],6),"")))</f>
        <v>30</v>
      </c>
      <c r="C464" s="165">
        <f>IF(A464="","",IFERROR(AVERAGEIFS(tbl_RH_AffectationsProjets[% affectation],tbl_RH_AffectationsProjets[ID Projet],IFERROR(INDEX(tbl_Projets[ID Projet],6),"")),0))</f>
        <v>0</v>
      </c>
    </row>
    <row r="465" spans="1:3" ht="15" customHeight="1">
      <c r="A465" s="164">
        <f>IFERROR(INDEX(tbl_Projets[Titre complet du projet],7),"")</f>
        <v>0</v>
      </c>
      <c r="B465" s="152">
        <f>IF(A465="","",COUNTIFS(tbl_RH_AffectationsProjets[ID Projet],IFERROR(INDEX(tbl_Projets[ID Projet],7),"")))</f>
        <v>30</v>
      </c>
      <c r="C465" s="165">
        <f>IF(A465="","",IFERROR(AVERAGEIFS(tbl_RH_AffectationsProjets[% affectation],tbl_RH_AffectationsProjets[ID Projet],IFERROR(INDEX(tbl_Projets[ID Projet],7),"")),0))</f>
        <v>0</v>
      </c>
    </row>
    <row r="466" spans="1:3" ht="15" customHeight="1">
      <c r="A466" s="164">
        <f>IFERROR(INDEX(tbl_Projets[Titre complet du projet],8),"")</f>
        <v>0</v>
      </c>
      <c r="B466" s="152">
        <f>IF(A466="","",COUNTIFS(tbl_RH_AffectationsProjets[ID Projet],IFERROR(INDEX(tbl_Projets[ID Projet],8),"")))</f>
        <v>30</v>
      </c>
      <c r="C466" s="165">
        <f>IF(A466="","",IFERROR(AVERAGEIFS(tbl_RH_AffectationsProjets[% affectation],tbl_RH_AffectationsProjets[ID Projet],IFERROR(INDEX(tbl_Projets[ID Projet],8),"")),0))</f>
        <v>0</v>
      </c>
    </row>
    <row r="467" spans="1:3" ht="15" customHeight="1">
      <c r="A467" s="164">
        <f>IFERROR(INDEX(tbl_Projets[Titre complet du projet],9),"")</f>
        <v>0</v>
      </c>
      <c r="B467" s="152">
        <f>IF(A467="","",COUNTIFS(tbl_RH_AffectationsProjets[ID Projet],IFERROR(INDEX(tbl_Projets[ID Projet],9),"")))</f>
        <v>30</v>
      </c>
      <c r="C467" s="165">
        <f>IF(A467="","",IFERROR(AVERAGEIFS(tbl_RH_AffectationsProjets[% affectation],tbl_RH_AffectationsProjets[ID Projet],IFERROR(INDEX(tbl_Projets[ID Projet],9),"")),0))</f>
        <v>0</v>
      </c>
    </row>
    <row r="468" spans="1:3" ht="15" customHeight="1">
      <c r="A468" s="164">
        <f>IFERROR(INDEX(tbl_Projets[Titre complet du projet],10),"")</f>
        <v>0</v>
      </c>
      <c r="B468" s="152">
        <f>IF(A468="","",COUNTIFS(tbl_RH_AffectationsProjets[ID Projet],IFERROR(INDEX(tbl_Projets[ID Projet],10),"")))</f>
        <v>30</v>
      </c>
      <c r="C468" s="165">
        <f>IF(A468="","",IFERROR(AVERAGEIFS(tbl_RH_AffectationsProjets[% affectation],tbl_RH_AffectationsProjets[ID Projet],IFERROR(INDEX(tbl_Projets[ID Projet],10),"")),0))</f>
        <v>0</v>
      </c>
    </row>
    <row r="469" spans="1:3" ht="15" customHeight="1">
      <c r="A469" s="164">
        <f>IFERROR(INDEX(tbl_Projets[Titre complet du projet],11),"")</f>
        <v>0</v>
      </c>
      <c r="B469" s="152">
        <f>IF(A469="","",COUNTIFS(tbl_RH_AffectationsProjets[ID Projet],IFERROR(INDEX(tbl_Projets[ID Projet],11),"")))</f>
        <v>30</v>
      </c>
      <c r="C469" s="165">
        <f>IF(A469="","",IFERROR(AVERAGEIFS(tbl_RH_AffectationsProjets[% affectation],tbl_RH_AffectationsProjets[ID Projet],IFERROR(INDEX(tbl_Projets[ID Projet],11),"")),0))</f>
        <v>0</v>
      </c>
    </row>
    <row r="470" spans="1:3" ht="15" customHeight="1">
      <c r="A470" s="164">
        <f>IFERROR(INDEX(tbl_Projets[Titre complet du projet],12),"")</f>
        <v>0</v>
      </c>
      <c r="B470" s="152">
        <f>IF(A470="","",COUNTIFS(tbl_RH_AffectationsProjets[ID Projet],IFERROR(INDEX(tbl_Projets[ID Projet],12),"")))</f>
        <v>30</v>
      </c>
      <c r="C470" s="165">
        <f>IF(A470="","",IFERROR(AVERAGEIFS(tbl_RH_AffectationsProjets[% affectation],tbl_RH_AffectationsProjets[ID Projet],IFERROR(INDEX(tbl_Projets[ID Projet],12),"")),0))</f>
        <v>0</v>
      </c>
    </row>
    <row r="471" spans="1:3" ht="15" customHeight="1">
      <c r="A471" s="164">
        <f>IFERROR(INDEX(tbl_Projets[Titre complet du projet],13),"")</f>
        <v>0</v>
      </c>
      <c r="B471" s="152">
        <f>IF(A471="","",COUNTIFS(tbl_RH_AffectationsProjets[ID Projet],IFERROR(INDEX(tbl_Projets[ID Projet],13),"")))</f>
        <v>30</v>
      </c>
      <c r="C471" s="165">
        <f>IF(A471="","",IFERROR(AVERAGEIFS(tbl_RH_AffectationsProjets[% affectation],tbl_RH_AffectationsProjets[ID Projet],IFERROR(INDEX(tbl_Projets[ID Projet],13),"")),0))</f>
        <v>0</v>
      </c>
    </row>
    <row r="472" spans="1:3" ht="15" customHeight="1">
      <c r="A472" s="164">
        <f>IFERROR(INDEX(tbl_Projets[Titre complet du projet],14),"")</f>
        <v>0</v>
      </c>
      <c r="B472" s="152">
        <f>IF(A472="","",COUNTIFS(tbl_RH_AffectationsProjets[ID Projet],IFERROR(INDEX(tbl_Projets[ID Projet],14),"")))</f>
        <v>30</v>
      </c>
      <c r="C472" s="165">
        <f>IF(A472="","",IFERROR(AVERAGEIFS(tbl_RH_AffectationsProjets[% affectation],tbl_RH_AffectationsProjets[ID Projet],IFERROR(INDEX(tbl_Projets[ID Projet],14),"")),0))</f>
        <v>0</v>
      </c>
    </row>
    <row r="473" spans="1:3" ht="15" customHeight="1">
      <c r="A473" s="164">
        <f>IFERROR(INDEX(tbl_Projets[Titre complet du projet],15),"")</f>
        <v>0</v>
      </c>
      <c r="B473" s="152">
        <f>IF(A473="","",COUNTIFS(tbl_RH_AffectationsProjets[ID Projet],IFERROR(INDEX(tbl_Projets[ID Projet],15),"")))</f>
        <v>30</v>
      </c>
      <c r="C473" s="165">
        <f>IF(A473="","",IFERROR(AVERAGEIFS(tbl_RH_AffectationsProjets[% affectation],tbl_RH_AffectationsProjets[ID Projet],IFERROR(INDEX(tbl_Projets[ID Projet],15),"")),0))</f>
        <v>0</v>
      </c>
    </row>
    <row r="476" spans="1:3" ht="15" customHeight="1">
      <c r="A476" s="302" t="s">
        <v>2410</v>
      </c>
      <c r="B476" s="262"/>
      <c r="C476" s="262"/>
    </row>
    <row r="477" spans="1:3" ht="15" customHeight="1">
      <c r="A477" s="14" t="s">
        <v>10</v>
      </c>
      <c r="B477" s="14" t="s">
        <v>9</v>
      </c>
      <c r="C477" s="14" t="s">
        <v>2411</v>
      </c>
    </row>
    <row r="478" spans="1:3" ht="15" customHeight="1">
      <c r="A478" s="33" t="s">
        <v>4</v>
      </c>
      <c r="B478" s="152">
        <f>COUNTIFS($F$27:$F$76,A478)</f>
        <v>0</v>
      </c>
      <c r="C478" s="165">
        <f>IFERROR(B478/COUNTIF($A$27:$A$76,"RH*"),0)</f>
        <v>0</v>
      </c>
    </row>
    <row r="479" spans="1:3" ht="15" customHeight="1">
      <c r="A479" s="33" t="s">
        <v>14</v>
      </c>
      <c r="B479" s="152">
        <f>COUNTIFS($F$27:$F$76,A479)</f>
        <v>0</v>
      </c>
      <c r="C479" s="165">
        <f>IFERROR(B479/COUNTIF($A$27:$A$76,"RH*"),0)</f>
        <v>0</v>
      </c>
    </row>
    <row r="480" spans="1:3" ht="15" customHeight="1">
      <c r="A480" s="33" t="s">
        <v>503</v>
      </c>
      <c r="B480" s="152">
        <f>COUNTIFS($F$27:$F$76,A480)</f>
        <v>0</v>
      </c>
      <c r="C480" s="165">
        <f>IFERROR(B480/COUNTIF($A$27:$A$76,"RH*"),0)</f>
        <v>0</v>
      </c>
    </row>
    <row r="483" spans="1:18" ht="15" customHeight="1">
      <c r="A483" s="305" t="s">
        <v>2412</v>
      </c>
      <c r="B483" s="262"/>
      <c r="C483" s="262"/>
      <c r="D483" s="262"/>
      <c r="E483" s="262"/>
      <c r="F483" s="262"/>
      <c r="G483" s="262"/>
      <c r="H483" s="262"/>
      <c r="I483" s="262"/>
      <c r="J483" s="262"/>
      <c r="K483" s="262"/>
      <c r="L483" s="262"/>
      <c r="M483" s="262"/>
      <c r="N483" s="262"/>
      <c r="O483" s="262"/>
      <c r="P483" s="262"/>
      <c r="Q483" s="262"/>
      <c r="R483" s="262"/>
    </row>
  </sheetData>
  <mergeCells count="22">
    <mergeCell ref="A483:R483"/>
    <mergeCell ref="A375:E375"/>
    <mergeCell ref="A4:R4"/>
    <mergeCell ref="A1:P1"/>
    <mergeCell ref="A10:R10"/>
    <mergeCell ref="A398:G398"/>
    <mergeCell ref="A177:G177"/>
    <mergeCell ref="A276:I276"/>
    <mergeCell ref="A144:H144"/>
    <mergeCell ref="A342:H342"/>
    <mergeCell ref="A476:C476"/>
    <mergeCell ref="A25:AQ25"/>
    <mergeCell ref="A210:G210"/>
    <mergeCell ref="A457:C457"/>
    <mergeCell ref="A6:R6"/>
    <mergeCell ref="A78:I78"/>
    <mergeCell ref="A309:J309"/>
    <mergeCell ref="A431:B431"/>
    <mergeCell ref="A111:G111"/>
    <mergeCell ref="A442:B442"/>
    <mergeCell ref="A2:R2"/>
    <mergeCell ref="A243:K243"/>
  </mergeCells>
  <conditionalFormatting sqref="P27:P76">
    <cfRule type="expression" dxfId="35" priority="5">
      <formula>P27="Actif"</formula>
    </cfRule>
    <cfRule type="expression" dxfId="34" priority="6">
      <formula>OR(P27="Suspendu",P27="Sorti",P27="Inactif")</formula>
    </cfRule>
    <cfRule type="expression" dxfId="33" priority="7">
      <formula>OR(P27="En conge",P27="En mission",P27="En formation")</formula>
    </cfRule>
  </conditionalFormatting>
  <conditionalFormatting sqref="AE27:AE76">
    <cfRule type="expression" dxfId="32" priority="2">
      <formula>AE27="Expire"</formula>
    </cfRule>
    <cfRule type="expression" dxfId="31" priority="3">
      <formula>AE27="A renouveler bientot"</formula>
    </cfRule>
    <cfRule type="expression" dxfId="30" priority="4">
      <formula>OR(AE27="Actif",AE27="Indetermine (CDI)")</formula>
    </cfRule>
  </conditionalFormatting>
  <dataValidations count="24">
    <dataValidation type="list" sqref="L8">
      <formula1>Liste_AnneesFiltre</formula1>
      <formula2>0</formula2>
    </dataValidation>
    <dataValidation type="list" allowBlank="1" sqref="F27:F76">
      <formula1>Liste_Sexe</formula1>
      <formula2>0</formula2>
    </dataValidation>
    <dataValidation type="list" allowBlank="1" sqref="O27:O76 Y27:Y76">
      <formula1>Liste_TypesContrats</formula1>
      <formula2>0</formula2>
    </dataValidation>
    <dataValidation type="list" allowBlank="1" sqref="P27:P76">
      <formula1>Liste_StatutsRH</formula1>
      <formula2>0</formula2>
    </dataValidation>
    <dataValidation type="list" allowBlank="1" sqref="Q27:Q76">
      <formula1>Liste_Fonctions</formula1>
      <formula2>0</formula2>
    </dataValidation>
    <dataValidation type="list" allowBlank="1" sqref="S27:S76">
      <formula1>Liste_ServicesRH</formula1>
      <formula2>0</formula2>
    </dataValidation>
    <dataValidation type="list" allowBlank="1" sqref="T27:T76">
      <formula1>Liste_NiveauxHierarchiques</formula1>
      <formula2>0</formula2>
    </dataValidation>
    <dataValidation type="list" allowBlank="1" sqref="AD27:AD76 F400:F429 J311:J340 H146:H175 G113:G142">
      <formula1>"Oui,Non"</formula1>
      <formula2>0</formula2>
    </dataValidation>
    <dataValidation type="list" allowBlank="1" sqref="AG27:AG76">
      <formula1>"FCFA,EUR,USD,GBP,Autre"</formula1>
      <formula2>0</formula2>
    </dataValidation>
    <dataValidation type="list" allowBlank="1" sqref="AH27:AH76">
      <formula1>Liste_FrequencesPaiement</formula1>
      <formula2>0</formula2>
    </dataValidation>
    <dataValidation type="list" allowBlank="1" sqref="AP27:AP76">
      <formula1>Liste_MotifsDepart</formula1>
      <formula2>0</formula2>
    </dataValidation>
    <dataValidation type="list" allowBlank="1" sqref="B80:B109 B400:B429 B377:B396 B344:B373 B311:B340 B278:B307 B245:B274 B212:B241 B179:B208 B146:B175 B113:B142">
      <formula1>Liste_RHID</formula1>
      <formula2>0</formula2>
    </dataValidation>
    <dataValidation type="list" allowBlank="1" sqref="C80:C109 E311:E340">
      <formula1>Liste_ActivitesIDProjets</formula1>
      <formula2>0</formula2>
    </dataValidation>
    <dataValidation type="list" allowBlank="1" sqref="I80:I109">
      <formula1>"Active,Terminee,Suspendue"</formula1>
      <formula2>0</formula2>
    </dataValidation>
    <dataValidation type="list" allowBlank="1" sqref="C113:C142">
      <formula1>Liste_ActivitesID</formula1>
      <formula2>0</formula2>
    </dataValidation>
    <dataValidation type="list" allowBlank="1" sqref="D179:D208">
      <formula1>Liste_NiveauxCompetence</formula1>
      <formula2>0</formula2>
    </dataValidation>
    <dataValidation type="list" allowBlank="1" sqref="G212:G241">
      <formula1>"BEPC,BAC,BTS/DUT,Licence,Master,Doctorat,Certificat professionnel,Autre"</formula1>
      <formula2>0</formula2>
    </dataValidation>
    <dataValidation type="list" allowBlank="1" sqref="E245:E274">
      <formula1>"Excellente,Bonne,Satisfaisante,A ameliorer,Insuffisante"</formula1>
      <formula2>0</formula2>
    </dataValidation>
    <dataValidation type="list" allowBlank="1" sqref="C278:C307">
      <formula1>Liste_TypesConge</formula1>
      <formula2>0</formula2>
    </dataValidation>
    <dataValidation type="list" allowBlank="1" sqref="H278:H307">
      <formula1>Liste_StatutsConge</formula1>
      <formula2>0</formula2>
    </dataValidation>
    <dataValidation type="list" allowBlank="1" sqref="H311:H340">
      <formula1>"Planifiee,En cours,Terminee,Annulee"</formula1>
      <formula2>0</formula2>
    </dataValidation>
    <dataValidation type="list" allowBlank="1" sqref="G344:G373">
      <formula1>"Prevu,Partiellement paye,Paye,En retard"</formula1>
      <formula2>0</formula2>
    </dataValidation>
    <dataValidation type="list" allowBlank="1" sqref="D377:D396">
      <formula1>"Present,Absent,Retard,Mission,Conge,Formation,Autre"</formula1>
      <formula2>0</formula2>
    </dataValidation>
    <dataValidation type="list" allowBlank="1" sqref="C400:C429">
      <formula1>Liste_TypesDocumentsRH</formula1>
      <formula2>0</formula2>
    </dataValidation>
  </dataValidations>
  <pageMargins left="0.75" right="0.75" top="1" bottom="1" header="0.511811023622047" footer="0.511811023622047"/>
  <pageSetup paperSize="9" orientation="portrait" horizontalDpi="300" verticalDpi="300"/>
  <tableParts count="16">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171"/>
  <sheetViews>
    <sheetView showGridLines="0" zoomScaleNormal="100" workbookViewId="0">
      <pane ySplit="2" topLeftCell="A47" activePane="bottomLeft" state="frozen"/>
      <selection activeCell="B1" sqref="B1"/>
      <selection pane="bottomLeft" activeCell="G12" sqref="G12"/>
    </sheetView>
  </sheetViews>
  <sheetFormatPr baseColWidth="10" defaultColWidth="8.7109375" defaultRowHeight="15" customHeight="1"/>
  <cols>
    <col min="1" max="2" width="13" customWidth="1"/>
    <col min="3" max="3" width="24" customWidth="1"/>
    <col min="4" max="5" width="16" customWidth="1"/>
    <col min="6" max="6" width="13" customWidth="1"/>
    <col min="7" max="7" width="24" customWidth="1"/>
    <col min="8" max="9" width="16" customWidth="1"/>
    <col min="10" max="14" width="24" customWidth="1"/>
    <col min="15" max="16" width="16" customWidth="1"/>
    <col min="17" max="17" width="24" customWidth="1"/>
    <col min="18" max="18" width="16" customWidth="1"/>
    <col min="19" max="19" width="13" customWidth="1"/>
    <col min="20" max="21" width="24" customWidth="1"/>
    <col min="22" max="22" width="16" customWidth="1"/>
    <col min="23" max="23" width="13" customWidth="1"/>
    <col min="24" max="24" width="16" customWidth="1"/>
    <col min="25" max="32" width="13" customWidth="1"/>
    <col min="33" max="34" width="16" customWidth="1"/>
    <col min="35" max="40" width="13" customWidth="1"/>
    <col min="41" max="45" width="16" customWidth="1"/>
    <col min="46" max="46" width="24" customWidth="1"/>
    <col min="47" max="47" width="13" customWidth="1"/>
    <col min="48" max="48" width="24" customWidth="1"/>
    <col min="49" max="49" width="16" customWidth="1"/>
    <col min="50" max="52" width="24" customWidth="1"/>
  </cols>
  <sheetData>
    <row r="1" spans="1:21" ht="25.5" customHeight="1">
      <c r="A1" s="309" t="s">
        <v>2413</v>
      </c>
      <c r="B1" s="307"/>
      <c r="C1" s="307"/>
      <c r="D1" s="307"/>
      <c r="E1" s="307"/>
      <c r="F1" s="307"/>
      <c r="G1" s="307"/>
      <c r="H1" s="307"/>
      <c r="I1" s="307"/>
      <c r="J1" s="307"/>
      <c r="K1" s="307"/>
      <c r="L1" s="307"/>
      <c r="M1" s="307"/>
      <c r="N1" s="307"/>
      <c r="O1" s="307"/>
      <c r="P1" s="307"/>
      <c r="Q1" s="167" t="s">
        <v>1761</v>
      </c>
      <c r="R1" s="167" t="s">
        <v>1855</v>
      </c>
      <c r="S1" s="167" t="s">
        <v>1634</v>
      </c>
      <c r="T1" s="167" t="s">
        <v>2414</v>
      </c>
      <c r="U1" s="167" t="s">
        <v>1526</v>
      </c>
    </row>
    <row r="2" spans="1:21" ht="18" customHeight="1">
      <c r="A2" s="308" t="s">
        <v>2415</v>
      </c>
      <c r="B2" s="307"/>
      <c r="C2" s="307"/>
      <c r="D2" s="307"/>
      <c r="E2" s="307"/>
      <c r="F2" s="307"/>
      <c r="G2" s="307"/>
      <c r="H2" s="307"/>
      <c r="I2" s="307"/>
      <c r="J2" s="307"/>
      <c r="K2" s="307"/>
      <c r="L2" s="307"/>
      <c r="M2" s="307"/>
      <c r="N2" s="307"/>
      <c r="O2" s="307"/>
      <c r="P2" s="307"/>
      <c r="Q2" s="307"/>
      <c r="R2" s="307"/>
      <c r="S2" s="307"/>
      <c r="T2" s="307"/>
      <c r="U2" s="307"/>
    </row>
    <row r="4" spans="1:21" ht="15" customHeight="1">
      <c r="A4" s="297" t="s">
        <v>1527</v>
      </c>
      <c r="B4" s="262"/>
      <c r="C4" s="262"/>
      <c r="D4" s="262"/>
      <c r="E4" s="262"/>
      <c r="F4" s="262"/>
      <c r="G4" s="262"/>
      <c r="H4" s="262"/>
      <c r="I4" s="262"/>
      <c r="J4" s="262"/>
      <c r="K4" s="262"/>
      <c r="L4" s="262"/>
      <c r="M4" s="262"/>
      <c r="N4" s="262"/>
      <c r="O4" s="262"/>
      <c r="P4" s="262"/>
      <c r="Q4" s="262"/>
      <c r="R4" s="262"/>
      <c r="S4" s="262"/>
      <c r="T4" s="262"/>
      <c r="U4" s="262"/>
    </row>
    <row r="6" spans="1:21" ht="19.5" customHeight="1">
      <c r="A6" s="310" t="s">
        <v>2416</v>
      </c>
      <c r="B6" s="307"/>
      <c r="C6" s="307"/>
      <c r="D6" s="307"/>
      <c r="E6" s="307"/>
      <c r="F6" s="307"/>
      <c r="G6" s="307"/>
      <c r="H6" s="307"/>
      <c r="I6" s="307"/>
      <c r="J6" s="307"/>
      <c r="K6" s="307"/>
      <c r="L6" s="307"/>
      <c r="M6" s="307"/>
      <c r="N6" s="307"/>
      <c r="O6" s="307"/>
      <c r="P6" s="307"/>
      <c r="Q6" s="307"/>
      <c r="R6" s="307"/>
      <c r="S6" s="307"/>
      <c r="T6" s="307"/>
      <c r="U6" s="307"/>
    </row>
    <row r="7" spans="1:21" ht="30" customHeight="1">
      <c r="A7" s="44" t="s">
        <v>2417</v>
      </c>
      <c r="B7" s="44" t="s">
        <v>2418</v>
      </c>
      <c r="C7" s="44" t="s">
        <v>2419</v>
      </c>
      <c r="D7" s="44" t="s">
        <v>2420</v>
      </c>
      <c r="E7" s="44" t="s">
        <v>2421</v>
      </c>
      <c r="F7" s="44" t="s">
        <v>2422</v>
      </c>
      <c r="G7" s="44" t="s">
        <v>2423</v>
      </c>
      <c r="H7" s="44" t="s">
        <v>2424</v>
      </c>
      <c r="I7" s="44" t="s">
        <v>2425</v>
      </c>
      <c r="J7" s="44" t="s">
        <v>2426</v>
      </c>
      <c r="K7" s="44" t="s">
        <v>2427</v>
      </c>
      <c r="L7" s="44" t="s">
        <v>2081</v>
      </c>
      <c r="M7" s="168" t="s">
        <v>1282</v>
      </c>
    </row>
    <row r="8" spans="1:21" ht="21.75" customHeight="1">
      <c r="A8" s="169">
        <f>COUNTIF(A55:A104,"IND*")</f>
        <v>0</v>
      </c>
      <c r="B8" s="169">
        <f>IF(COUNTIF(B55:B104,"&lt;&gt;")=0,0,SUMPRODUCT((B55:B104&lt;&gt;"")/COUNTIF(B55:B104,B55:B104&amp;"")))</f>
        <v>0</v>
      </c>
      <c r="C8" s="169">
        <f>IF(COUNTIF(F55:F104,"&lt;&gt;")=0,0,SUMPRODUCT((F55:F104&lt;&gt;"")/COUNTIF(F55:F104,F55:F104&amp;"")))</f>
        <v>0</v>
      </c>
      <c r="D8" s="169">
        <f>IF($M$7="Total",COUNTIFS(A55:A104,"IND*",AD55:AD104,"&gt;=1"),COUNTIFS(A55:A104,"IND*",AD55:AD104,"&gt;=1",AB55:AB104,"&gt;="&amp;DATE(VALUE($M$7),1,1),AB55:AB104,"&lt;"&amp;DATE(VALUE($M$7)+1,1,1)))</f>
        <v>0</v>
      </c>
      <c r="E8" s="169">
        <f>IF($M$7="Total",COUNTIFS(A55:A104,"IND*",AD55:AD104,"&lt;1",AD55:AD104,"&lt;&gt;"),COUNTIFS(A55:A104,"IND*",AD55:AD104,"&lt;1",AD55:AD104,"&lt;&gt;",AB55:AB104,"&gt;="&amp;DATE(VALUE($M$7),1,1),AB55:AB104,"&lt;"&amp;DATE(VALUE($M$7)+1,1,1)))</f>
        <v>0</v>
      </c>
      <c r="F8" s="170">
        <f>IFERROR(IF($M$7="Total",AVERAGEIFS(AD55:AD104,A55:A104,"IND*",AD55:AD104,"&lt;&gt;"),AVERAGEIFS(AD55:AD104,A55:A104,"IND*",AD55:AD104,"&lt;&gt;",AB55:AB104,"&gt;="&amp;DATE(VALUE($M$7),1,1),AB55:AB104,"&lt;"&amp;DATE(VALUE($M$7)+1,1,1))),0)</f>
        <v>0</v>
      </c>
      <c r="G8" s="169">
        <f>SUMIF(A55:A104,"IND*",AI55:AI104)</f>
        <v>0</v>
      </c>
      <c r="H8" s="169">
        <f>SUMIF(A55:A104,"IND*",AJ55:AJ104)</f>
        <v>0</v>
      </c>
      <c r="I8" s="170">
        <f>IFERROR(H8/G8,0)</f>
        <v>0</v>
      </c>
      <c r="J8" s="169">
        <f>COUNTIFS(A55:A104,"IND*",AG55:AG104,"Excellent")+COUNTIFS(A55:A104,"IND*",AG55:AG104,"Bon")</f>
        <v>0</v>
      </c>
      <c r="K8" s="169">
        <f>COUNTIFS(A55:A104,"IND*",AG55:AG104,"Faible")+COUNTIFS(A55:A104,"IND*",AG55:AG104,"Critique")</f>
        <v>0</v>
      </c>
    </row>
    <row r="10" spans="1:21" ht="19.5" customHeight="1">
      <c r="A10" s="310" t="s">
        <v>2143</v>
      </c>
      <c r="B10" s="307"/>
      <c r="C10" s="307"/>
      <c r="D10" s="307"/>
      <c r="E10" s="307"/>
      <c r="F10" s="307"/>
      <c r="G10" s="307"/>
      <c r="H10" s="307"/>
      <c r="I10" s="307"/>
      <c r="J10" s="307"/>
      <c r="K10" s="307"/>
      <c r="L10" s="307"/>
      <c r="M10" s="307"/>
      <c r="N10" s="307"/>
      <c r="O10" s="307"/>
      <c r="P10" s="307"/>
      <c r="Q10" s="307"/>
      <c r="R10" s="307"/>
      <c r="S10" s="307"/>
      <c r="T10" s="307"/>
      <c r="U10" s="307"/>
    </row>
    <row r="11" spans="1:21" ht="25.5" customHeight="1">
      <c r="A11" s="32" t="s">
        <v>1648</v>
      </c>
      <c r="B11" s="32" t="s">
        <v>1586</v>
      </c>
      <c r="C11" s="32" t="s">
        <v>2417</v>
      </c>
      <c r="D11" s="32" t="s">
        <v>2420</v>
      </c>
      <c r="E11" s="32" t="s">
        <v>2422</v>
      </c>
      <c r="F11" s="32" t="s">
        <v>2424</v>
      </c>
      <c r="G11" s="32" t="s">
        <v>2428</v>
      </c>
    </row>
    <row r="12" spans="1:21" ht="51" customHeight="1">
      <c r="A12" s="36" t="str">
        <f>IF(PROJETS!A56="","",PROJETS!A56)</f>
        <v>PROJ0001</v>
      </c>
      <c r="B12" s="171" t="str">
        <f>IF($A12="","",IFERROR(INDEX(tbl_Projets[Titre complet du projet],MATCH($A12,tbl_Projets[ID Projet],0)),""))</f>
        <v>Projet d'appui a l'insertion professionnelle des jeunes</v>
      </c>
      <c r="C12" s="169">
        <f t="shared" ref="C12:C51" si="0">IF($A12="","",COUNTIFS($B$55:$B$104,$A12))</f>
        <v>0</v>
      </c>
      <c r="D12" s="169">
        <f t="shared" ref="D12:D51" si="1">IF($A12="","",COUNTIFS($B$55:$B$104,$A12,$AD$55:$AD$104,"&gt;=1"))</f>
        <v>0</v>
      </c>
      <c r="E12" s="170" t="str">
        <f t="shared" ref="E12:E51" si="2">IF($A12="","",IFERROR(AVERAGEIFS($AD$55:$AD$104,$B$55:$B$104,$A12,$AD$55:$AD$104,"&lt;&gt;"),""))</f>
        <v/>
      </c>
      <c r="F12" s="169">
        <f t="shared" ref="F12:F51" si="3">IF($A12="","",SUMIFS($AJ$55:$AJ$104,$B$55:$B$104,$A12))</f>
        <v>0</v>
      </c>
      <c r="G12" s="169" t="str">
        <f t="shared" ref="G12:G51" si="4">IF($A12="","",IF(C12=0,"Pas de donnee",IF(E12&gt;=1,"Excellent",IF(E12&gt;=0.8,"Bon",IF(E12&gt;=0.6,"Moyen","A surveiller")))))</f>
        <v>Pas de donnee</v>
      </c>
    </row>
    <row r="13" spans="1:21" ht="15" customHeight="1">
      <c r="A13" s="36" t="str">
        <f>IF(PROJETS!A57="","",PROJETS!A57)</f>
        <v/>
      </c>
      <c r="B13" s="171" t="str">
        <f>IF($A13="","",IFERROR(INDEX(tbl_Projets[Titre complet du projet],MATCH($A13,tbl_Projets[ID Projet],0)),""))</f>
        <v/>
      </c>
      <c r="C13" s="169" t="str">
        <f t="shared" si="0"/>
        <v/>
      </c>
      <c r="D13" s="169" t="str">
        <f t="shared" si="1"/>
        <v/>
      </c>
      <c r="E13" s="170" t="str">
        <f t="shared" si="2"/>
        <v/>
      </c>
      <c r="F13" s="169" t="str">
        <f t="shared" si="3"/>
        <v/>
      </c>
      <c r="G13" s="169" t="str">
        <f t="shared" si="4"/>
        <v/>
      </c>
    </row>
    <row r="14" spans="1:21" ht="15" customHeight="1">
      <c r="A14" s="36" t="str">
        <f>IF(PROJETS!A58="","",PROJETS!A58)</f>
        <v/>
      </c>
      <c r="B14" s="171" t="str">
        <f>IF($A14="","",IFERROR(INDEX(tbl_Projets[Titre complet du projet],MATCH($A14,tbl_Projets[ID Projet],0)),""))</f>
        <v/>
      </c>
      <c r="C14" s="169" t="str">
        <f t="shared" si="0"/>
        <v/>
      </c>
      <c r="D14" s="169" t="str">
        <f t="shared" si="1"/>
        <v/>
      </c>
      <c r="E14" s="170" t="str">
        <f t="shared" si="2"/>
        <v/>
      </c>
      <c r="F14" s="169" t="str">
        <f t="shared" si="3"/>
        <v/>
      </c>
      <c r="G14" s="169" t="str">
        <f t="shared" si="4"/>
        <v/>
      </c>
    </row>
    <row r="15" spans="1:21" ht="15" customHeight="1">
      <c r="A15" s="36" t="str">
        <f>IF(PROJETS!A59="","",PROJETS!A59)</f>
        <v/>
      </c>
      <c r="B15" s="171" t="str">
        <f>IF($A15="","",IFERROR(INDEX(tbl_Projets[Titre complet du projet],MATCH($A15,tbl_Projets[ID Projet],0)),""))</f>
        <v/>
      </c>
      <c r="C15" s="169" t="str">
        <f t="shared" si="0"/>
        <v/>
      </c>
      <c r="D15" s="169" t="str">
        <f t="shared" si="1"/>
        <v/>
      </c>
      <c r="E15" s="170" t="str">
        <f t="shared" si="2"/>
        <v/>
      </c>
      <c r="F15" s="169" t="str">
        <f t="shared" si="3"/>
        <v/>
      </c>
      <c r="G15" s="169" t="str">
        <f t="shared" si="4"/>
        <v/>
      </c>
    </row>
    <row r="16" spans="1:21" ht="15" customHeight="1">
      <c r="A16" s="36" t="str">
        <f>IF(PROJETS!A60="","",PROJETS!A60)</f>
        <v/>
      </c>
      <c r="B16" s="171" t="str">
        <f>IF($A16="","",IFERROR(INDEX(tbl_Projets[Titre complet du projet],MATCH($A16,tbl_Projets[ID Projet],0)),""))</f>
        <v/>
      </c>
      <c r="C16" s="169" t="str">
        <f t="shared" si="0"/>
        <v/>
      </c>
      <c r="D16" s="169" t="str">
        <f t="shared" si="1"/>
        <v/>
      </c>
      <c r="E16" s="170" t="str">
        <f t="shared" si="2"/>
        <v/>
      </c>
      <c r="F16" s="169" t="str">
        <f t="shared" si="3"/>
        <v/>
      </c>
      <c r="G16" s="169" t="str">
        <f t="shared" si="4"/>
        <v/>
      </c>
    </row>
    <row r="17" spans="1:7" ht="15" customHeight="1">
      <c r="A17" s="36" t="str">
        <f>IF(PROJETS!A61="","",PROJETS!A61)</f>
        <v/>
      </c>
      <c r="B17" s="171" t="str">
        <f>IF($A17="","",IFERROR(INDEX(tbl_Projets[Titre complet du projet],MATCH($A17,tbl_Projets[ID Projet],0)),""))</f>
        <v/>
      </c>
      <c r="C17" s="169" t="str">
        <f t="shared" si="0"/>
        <v/>
      </c>
      <c r="D17" s="169" t="str">
        <f t="shared" si="1"/>
        <v/>
      </c>
      <c r="E17" s="170" t="str">
        <f t="shared" si="2"/>
        <v/>
      </c>
      <c r="F17" s="169" t="str">
        <f t="shared" si="3"/>
        <v/>
      </c>
      <c r="G17" s="169" t="str">
        <f t="shared" si="4"/>
        <v/>
      </c>
    </row>
    <row r="18" spans="1:7" ht="15" customHeight="1">
      <c r="A18" s="36" t="str">
        <f>IF(PROJETS!A62="","",PROJETS!A62)</f>
        <v/>
      </c>
      <c r="B18" s="171" t="str">
        <f>IF($A18="","",IFERROR(INDEX(tbl_Projets[Titre complet du projet],MATCH($A18,tbl_Projets[ID Projet],0)),""))</f>
        <v/>
      </c>
      <c r="C18" s="169" t="str">
        <f t="shared" si="0"/>
        <v/>
      </c>
      <c r="D18" s="169" t="str">
        <f t="shared" si="1"/>
        <v/>
      </c>
      <c r="E18" s="170" t="str">
        <f t="shared" si="2"/>
        <v/>
      </c>
      <c r="F18" s="169" t="str">
        <f t="shared" si="3"/>
        <v/>
      </c>
      <c r="G18" s="169" t="str">
        <f t="shared" si="4"/>
        <v/>
      </c>
    </row>
    <row r="19" spans="1:7" ht="15" customHeight="1">
      <c r="A19" s="36" t="str">
        <f>IF(PROJETS!A63="","",PROJETS!A63)</f>
        <v/>
      </c>
      <c r="B19" s="171" t="str">
        <f>IF($A19="","",IFERROR(INDEX(tbl_Projets[Titre complet du projet],MATCH($A19,tbl_Projets[ID Projet],0)),""))</f>
        <v/>
      </c>
      <c r="C19" s="169" t="str">
        <f t="shared" si="0"/>
        <v/>
      </c>
      <c r="D19" s="169" t="str">
        <f t="shared" si="1"/>
        <v/>
      </c>
      <c r="E19" s="170" t="str">
        <f t="shared" si="2"/>
        <v/>
      </c>
      <c r="F19" s="169" t="str">
        <f t="shared" si="3"/>
        <v/>
      </c>
      <c r="G19" s="169" t="str">
        <f t="shared" si="4"/>
        <v/>
      </c>
    </row>
    <row r="20" spans="1:7" ht="15" customHeight="1">
      <c r="A20" s="36" t="str">
        <f>IF(PROJETS!A64="","",PROJETS!A64)</f>
        <v/>
      </c>
      <c r="B20" s="171" t="str">
        <f>IF($A20="","",IFERROR(INDEX(tbl_Projets[Titre complet du projet],MATCH($A20,tbl_Projets[ID Projet],0)),""))</f>
        <v/>
      </c>
      <c r="C20" s="169" t="str">
        <f t="shared" si="0"/>
        <v/>
      </c>
      <c r="D20" s="169" t="str">
        <f t="shared" si="1"/>
        <v/>
      </c>
      <c r="E20" s="170" t="str">
        <f t="shared" si="2"/>
        <v/>
      </c>
      <c r="F20" s="169" t="str">
        <f t="shared" si="3"/>
        <v/>
      </c>
      <c r="G20" s="169" t="str">
        <f t="shared" si="4"/>
        <v/>
      </c>
    </row>
    <row r="21" spans="1:7" ht="15" customHeight="1">
      <c r="A21" s="36" t="str">
        <f>IF(PROJETS!A65="","",PROJETS!A65)</f>
        <v/>
      </c>
      <c r="B21" s="171" t="str">
        <f>IF($A21="","",IFERROR(INDEX(tbl_Projets[Titre complet du projet],MATCH($A21,tbl_Projets[ID Projet],0)),""))</f>
        <v/>
      </c>
      <c r="C21" s="169" t="str">
        <f t="shared" si="0"/>
        <v/>
      </c>
      <c r="D21" s="169" t="str">
        <f t="shared" si="1"/>
        <v/>
      </c>
      <c r="E21" s="170" t="str">
        <f t="shared" si="2"/>
        <v/>
      </c>
      <c r="F21" s="169" t="str">
        <f t="shared" si="3"/>
        <v/>
      </c>
      <c r="G21" s="169" t="str">
        <f t="shared" si="4"/>
        <v/>
      </c>
    </row>
    <row r="22" spans="1:7" ht="15" customHeight="1">
      <c r="A22" s="36" t="str">
        <f>IF(PROJETS!A66="","",PROJETS!A66)</f>
        <v/>
      </c>
      <c r="B22" s="171" t="str">
        <f>IF($A22="","",IFERROR(INDEX(tbl_Projets[Titre complet du projet],MATCH($A22,tbl_Projets[ID Projet],0)),""))</f>
        <v/>
      </c>
      <c r="C22" s="169" t="str">
        <f t="shared" si="0"/>
        <v/>
      </c>
      <c r="D22" s="169" t="str">
        <f t="shared" si="1"/>
        <v/>
      </c>
      <c r="E22" s="170" t="str">
        <f t="shared" si="2"/>
        <v/>
      </c>
      <c r="F22" s="169" t="str">
        <f t="shared" si="3"/>
        <v/>
      </c>
      <c r="G22" s="169" t="str">
        <f t="shared" si="4"/>
        <v/>
      </c>
    </row>
    <row r="23" spans="1:7" ht="15" customHeight="1">
      <c r="A23" s="36" t="str">
        <f>IF(PROJETS!A67="","",PROJETS!A67)</f>
        <v/>
      </c>
      <c r="B23" s="171" t="str">
        <f>IF($A23="","",IFERROR(INDEX(tbl_Projets[Titre complet du projet],MATCH($A23,tbl_Projets[ID Projet],0)),""))</f>
        <v/>
      </c>
      <c r="C23" s="169" t="str">
        <f t="shared" si="0"/>
        <v/>
      </c>
      <c r="D23" s="169" t="str">
        <f t="shared" si="1"/>
        <v/>
      </c>
      <c r="E23" s="170" t="str">
        <f t="shared" si="2"/>
        <v/>
      </c>
      <c r="F23" s="169" t="str">
        <f t="shared" si="3"/>
        <v/>
      </c>
      <c r="G23" s="169" t="str">
        <f t="shared" si="4"/>
        <v/>
      </c>
    </row>
    <row r="24" spans="1:7" ht="15" customHeight="1">
      <c r="A24" s="36" t="str">
        <f>IF(PROJETS!A68="","",PROJETS!A68)</f>
        <v/>
      </c>
      <c r="B24" s="171" t="str">
        <f>IF($A24="","",IFERROR(INDEX(tbl_Projets[Titre complet du projet],MATCH($A24,tbl_Projets[ID Projet],0)),""))</f>
        <v/>
      </c>
      <c r="C24" s="169" t="str">
        <f t="shared" si="0"/>
        <v/>
      </c>
      <c r="D24" s="169" t="str">
        <f t="shared" si="1"/>
        <v/>
      </c>
      <c r="E24" s="170" t="str">
        <f t="shared" si="2"/>
        <v/>
      </c>
      <c r="F24" s="169" t="str">
        <f t="shared" si="3"/>
        <v/>
      </c>
      <c r="G24" s="169" t="str">
        <f t="shared" si="4"/>
        <v/>
      </c>
    </row>
    <row r="25" spans="1:7" ht="15" customHeight="1">
      <c r="A25" s="36" t="str">
        <f>IF(PROJETS!A69="","",PROJETS!A69)</f>
        <v/>
      </c>
      <c r="B25" s="171" t="str">
        <f>IF($A25="","",IFERROR(INDEX(tbl_Projets[Titre complet du projet],MATCH($A25,tbl_Projets[ID Projet],0)),""))</f>
        <v/>
      </c>
      <c r="C25" s="169" t="str">
        <f t="shared" si="0"/>
        <v/>
      </c>
      <c r="D25" s="169" t="str">
        <f t="shared" si="1"/>
        <v/>
      </c>
      <c r="E25" s="170" t="str">
        <f t="shared" si="2"/>
        <v/>
      </c>
      <c r="F25" s="169" t="str">
        <f t="shared" si="3"/>
        <v/>
      </c>
      <c r="G25" s="169" t="str">
        <f t="shared" si="4"/>
        <v/>
      </c>
    </row>
    <row r="26" spans="1:7" ht="15" customHeight="1">
      <c r="A26" s="36" t="str">
        <f>IF(PROJETS!A70="","",PROJETS!A70)</f>
        <v/>
      </c>
      <c r="B26" s="171" t="str">
        <f>IF($A26="","",IFERROR(INDEX(tbl_Projets[Titre complet du projet],MATCH($A26,tbl_Projets[ID Projet],0)),""))</f>
        <v/>
      </c>
      <c r="C26" s="169" t="str">
        <f t="shared" si="0"/>
        <v/>
      </c>
      <c r="D26" s="169" t="str">
        <f t="shared" si="1"/>
        <v/>
      </c>
      <c r="E26" s="170" t="str">
        <f t="shared" si="2"/>
        <v/>
      </c>
      <c r="F26" s="169" t="str">
        <f t="shared" si="3"/>
        <v/>
      </c>
      <c r="G26" s="169" t="str">
        <f t="shared" si="4"/>
        <v/>
      </c>
    </row>
    <row r="27" spans="1:7" ht="15" customHeight="1">
      <c r="A27" s="36" t="str">
        <f>IF(PROJETS!A71="","",PROJETS!A71)</f>
        <v/>
      </c>
      <c r="B27" s="171" t="str">
        <f>IF($A27="","",IFERROR(INDEX(tbl_Projets[Titre complet du projet],MATCH($A27,tbl_Projets[ID Projet],0)),""))</f>
        <v/>
      </c>
      <c r="C27" s="169" t="str">
        <f t="shared" si="0"/>
        <v/>
      </c>
      <c r="D27" s="169" t="str">
        <f t="shared" si="1"/>
        <v/>
      </c>
      <c r="E27" s="170" t="str">
        <f t="shared" si="2"/>
        <v/>
      </c>
      <c r="F27" s="169" t="str">
        <f t="shared" si="3"/>
        <v/>
      </c>
      <c r="G27" s="169" t="str">
        <f t="shared" si="4"/>
        <v/>
      </c>
    </row>
    <row r="28" spans="1:7" ht="15" customHeight="1">
      <c r="A28" s="36" t="str">
        <f>IF(PROJETS!A72="","",PROJETS!A72)</f>
        <v/>
      </c>
      <c r="B28" s="171" t="str">
        <f>IF($A28="","",IFERROR(INDEX(tbl_Projets[Titre complet du projet],MATCH($A28,tbl_Projets[ID Projet],0)),""))</f>
        <v/>
      </c>
      <c r="C28" s="169" t="str">
        <f t="shared" si="0"/>
        <v/>
      </c>
      <c r="D28" s="169" t="str">
        <f t="shared" si="1"/>
        <v/>
      </c>
      <c r="E28" s="170" t="str">
        <f t="shared" si="2"/>
        <v/>
      </c>
      <c r="F28" s="169" t="str">
        <f t="shared" si="3"/>
        <v/>
      </c>
      <c r="G28" s="169" t="str">
        <f t="shared" si="4"/>
        <v/>
      </c>
    </row>
    <row r="29" spans="1:7" ht="15" customHeight="1">
      <c r="A29" s="36" t="str">
        <f>IF(PROJETS!A73="","",PROJETS!A73)</f>
        <v/>
      </c>
      <c r="B29" s="171" t="str">
        <f>IF($A29="","",IFERROR(INDEX(tbl_Projets[Titre complet du projet],MATCH($A29,tbl_Projets[ID Projet],0)),""))</f>
        <v/>
      </c>
      <c r="C29" s="169" t="str">
        <f t="shared" si="0"/>
        <v/>
      </c>
      <c r="D29" s="169" t="str">
        <f t="shared" si="1"/>
        <v/>
      </c>
      <c r="E29" s="170" t="str">
        <f t="shared" si="2"/>
        <v/>
      </c>
      <c r="F29" s="169" t="str">
        <f t="shared" si="3"/>
        <v/>
      </c>
      <c r="G29" s="169" t="str">
        <f t="shared" si="4"/>
        <v/>
      </c>
    </row>
    <row r="30" spans="1:7" ht="15" customHeight="1">
      <c r="A30" s="36" t="str">
        <f>IF(PROJETS!A74="","",PROJETS!A74)</f>
        <v/>
      </c>
      <c r="B30" s="171" t="str">
        <f>IF($A30="","",IFERROR(INDEX(tbl_Projets[Titre complet du projet],MATCH($A30,tbl_Projets[ID Projet],0)),""))</f>
        <v/>
      </c>
      <c r="C30" s="169" t="str">
        <f t="shared" si="0"/>
        <v/>
      </c>
      <c r="D30" s="169" t="str">
        <f t="shared" si="1"/>
        <v/>
      </c>
      <c r="E30" s="170" t="str">
        <f t="shared" si="2"/>
        <v/>
      </c>
      <c r="F30" s="169" t="str">
        <f t="shared" si="3"/>
        <v/>
      </c>
      <c r="G30" s="169" t="str">
        <f t="shared" si="4"/>
        <v/>
      </c>
    </row>
    <row r="31" spans="1:7" ht="15" customHeight="1">
      <c r="A31" s="36" t="str">
        <f>IF(PROJETS!A75="","",PROJETS!A75)</f>
        <v/>
      </c>
      <c r="B31" s="171" t="str">
        <f>IF($A31="","",IFERROR(INDEX(tbl_Projets[Titre complet du projet],MATCH($A31,tbl_Projets[ID Projet],0)),""))</f>
        <v/>
      </c>
      <c r="C31" s="169" t="str">
        <f t="shared" si="0"/>
        <v/>
      </c>
      <c r="D31" s="169" t="str">
        <f t="shared" si="1"/>
        <v/>
      </c>
      <c r="E31" s="170" t="str">
        <f t="shared" si="2"/>
        <v/>
      </c>
      <c r="F31" s="169" t="str">
        <f t="shared" si="3"/>
        <v/>
      </c>
      <c r="G31" s="169" t="str">
        <f t="shared" si="4"/>
        <v/>
      </c>
    </row>
    <row r="32" spans="1:7" ht="15" customHeight="1">
      <c r="A32" s="36" t="str">
        <f>IF(PROJETS!A76="","",PROJETS!A76)</f>
        <v/>
      </c>
      <c r="B32" s="171" t="str">
        <f>IF($A32="","",IFERROR(INDEX(tbl_Projets[Titre complet du projet],MATCH($A32,tbl_Projets[ID Projet],0)),""))</f>
        <v/>
      </c>
      <c r="C32" s="169" t="str">
        <f t="shared" si="0"/>
        <v/>
      </c>
      <c r="D32" s="169" t="str">
        <f t="shared" si="1"/>
        <v/>
      </c>
      <c r="E32" s="170" t="str">
        <f t="shared" si="2"/>
        <v/>
      </c>
      <c r="F32" s="169" t="str">
        <f t="shared" si="3"/>
        <v/>
      </c>
      <c r="G32" s="169" t="str">
        <f t="shared" si="4"/>
        <v/>
      </c>
    </row>
    <row r="33" spans="1:7" ht="15" customHeight="1">
      <c r="A33" s="36" t="str">
        <f>IF(PROJETS!A77="","",PROJETS!A77)</f>
        <v/>
      </c>
      <c r="B33" s="171" t="str">
        <f>IF($A33="","",IFERROR(INDEX(tbl_Projets[Titre complet du projet],MATCH($A33,tbl_Projets[ID Projet],0)),""))</f>
        <v/>
      </c>
      <c r="C33" s="169" t="str">
        <f t="shared" si="0"/>
        <v/>
      </c>
      <c r="D33" s="169" t="str">
        <f t="shared" si="1"/>
        <v/>
      </c>
      <c r="E33" s="170" t="str">
        <f t="shared" si="2"/>
        <v/>
      </c>
      <c r="F33" s="169" t="str">
        <f t="shared" si="3"/>
        <v/>
      </c>
      <c r="G33" s="169" t="str">
        <f t="shared" si="4"/>
        <v/>
      </c>
    </row>
    <row r="34" spans="1:7" ht="15" customHeight="1">
      <c r="A34" s="36" t="str">
        <f>IF(PROJETS!A78="","",PROJETS!A78)</f>
        <v/>
      </c>
      <c r="B34" s="171" t="str">
        <f>IF($A34="","",IFERROR(INDEX(tbl_Projets[Titre complet du projet],MATCH($A34,tbl_Projets[ID Projet],0)),""))</f>
        <v/>
      </c>
      <c r="C34" s="169" t="str">
        <f t="shared" si="0"/>
        <v/>
      </c>
      <c r="D34" s="169" t="str">
        <f t="shared" si="1"/>
        <v/>
      </c>
      <c r="E34" s="170" t="str">
        <f t="shared" si="2"/>
        <v/>
      </c>
      <c r="F34" s="169" t="str">
        <f t="shared" si="3"/>
        <v/>
      </c>
      <c r="G34" s="169" t="str">
        <f t="shared" si="4"/>
        <v/>
      </c>
    </row>
    <row r="35" spans="1:7" ht="15" customHeight="1">
      <c r="A35" s="36" t="str">
        <f>IF(PROJETS!A79="","",PROJETS!A79)</f>
        <v/>
      </c>
      <c r="B35" s="171" t="str">
        <f>IF($A35="","",IFERROR(INDEX(tbl_Projets[Titre complet du projet],MATCH($A35,tbl_Projets[ID Projet],0)),""))</f>
        <v/>
      </c>
      <c r="C35" s="169" t="str">
        <f t="shared" si="0"/>
        <v/>
      </c>
      <c r="D35" s="169" t="str">
        <f t="shared" si="1"/>
        <v/>
      </c>
      <c r="E35" s="170" t="str">
        <f t="shared" si="2"/>
        <v/>
      </c>
      <c r="F35" s="169" t="str">
        <f t="shared" si="3"/>
        <v/>
      </c>
      <c r="G35" s="169" t="str">
        <f t="shared" si="4"/>
        <v/>
      </c>
    </row>
    <row r="36" spans="1:7" ht="15" customHeight="1">
      <c r="A36" s="36" t="str">
        <f>IF(PROJETS!A80="","",PROJETS!A80)</f>
        <v/>
      </c>
      <c r="B36" s="171" t="str">
        <f>IF($A36="","",IFERROR(INDEX(tbl_Projets[Titre complet du projet],MATCH($A36,tbl_Projets[ID Projet],0)),""))</f>
        <v/>
      </c>
      <c r="C36" s="169" t="str">
        <f t="shared" si="0"/>
        <v/>
      </c>
      <c r="D36" s="169" t="str">
        <f t="shared" si="1"/>
        <v/>
      </c>
      <c r="E36" s="170" t="str">
        <f t="shared" si="2"/>
        <v/>
      </c>
      <c r="F36" s="169" t="str">
        <f t="shared" si="3"/>
        <v/>
      </c>
      <c r="G36" s="169" t="str">
        <f t="shared" si="4"/>
        <v/>
      </c>
    </row>
    <row r="37" spans="1:7" ht="15" customHeight="1">
      <c r="A37" s="36" t="str">
        <f>IF(PROJETS!A81="","",PROJETS!A81)</f>
        <v/>
      </c>
      <c r="B37" s="171" t="str">
        <f>IF($A37="","",IFERROR(INDEX(tbl_Projets[Titre complet du projet],MATCH($A37,tbl_Projets[ID Projet],0)),""))</f>
        <v/>
      </c>
      <c r="C37" s="169" t="str">
        <f t="shared" si="0"/>
        <v/>
      </c>
      <c r="D37" s="169" t="str">
        <f t="shared" si="1"/>
        <v/>
      </c>
      <c r="E37" s="170" t="str">
        <f t="shared" si="2"/>
        <v/>
      </c>
      <c r="F37" s="169" t="str">
        <f t="shared" si="3"/>
        <v/>
      </c>
      <c r="G37" s="169" t="str">
        <f t="shared" si="4"/>
        <v/>
      </c>
    </row>
    <row r="38" spans="1:7" ht="15" customHeight="1">
      <c r="A38" s="36" t="str">
        <f>IF(PROJETS!A82="","",PROJETS!A82)</f>
        <v/>
      </c>
      <c r="B38" s="171" t="str">
        <f>IF($A38="","",IFERROR(INDEX(tbl_Projets[Titre complet du projet],MATCH($A38,tbl_Projets[ID Projet],0)),""))</f>
        <v/>
      </c>
      <c r="C38" s="169" t="str">
        <f t="shared" si="0"/>
        <v/>
      </c>
      <c r="D38" s="169" t="str">
        <f t="shared" si="1"/>
        <v/>
      </c>
      <c r="E38" s="170" t="str">
        <f t="shared" si="2"/>
        <v/>
      </c>
      <c r="F38" s="169" t="str">
        <f t="shared" si="3"/>
        <v/>
      </c>
      <c r="G38" s="169" t="str">
        <f t="shared" si="4"/>
        <v/>
      </c>
    </row>
    <row r="39" spans="1:7" ht="15" customHeight="1">
      <c r="A39" s="36" t="str">
        <f>IF(PROJETS!A83="","",PROJETS!A83)</f>
        <v/>
      </c>
      <c r="B39" s="171" t="str">
        <f>IF($A39="","",IFERROR(INDEX(tbl_Projets[Titre complet du projet],MATCH($A39,tbl_Projets[ID Projet],0)),""))</f>
        <v/>
      </c>
      <c r="C39" s="169" t="str">
        <f t="shared" si="0"/>
        <v/>
      </c>
      <c r="D39" s="169" t="str">
        <f t="shared" si="1"/>
        <v/>
      </c>
      <c r="E39" s="170" t="str">
        <f t="shared" si="2"/>
        <v/>
      </c>
      <c r="F39" s="169" t="str">
        <f t="shared" si="3"/>
        <v/>
      </c>
      <c r="G39" s="169" t="str">
        <f t="shared" si="4"/>
        <v/>
      </c>
    </row>
    <row r="40" spans="1:7" ht="15" customHeight="1">
      <c r="A40" s="36" t="str">
        <f>IF(PROJETS!A84="","",PROJETS!A84)</f>
        <v/>
      </c>
      <c r="B40" s="171" t="str">
        <f>IF($A40="","",IFERROR(INDEX(tbl_Projets[Titre complet du projet],MATCH($A40,tbl_Projets[ID Projet],0)),""))</f>
        <v/>
      </c>
      <c r="C40" s="169" t="str">
        <f t="shared" si="0"/>
        <v/>
      </c>
      <c r="D40" s="169" t="str">
        <f t="shared" si="1"/>
        <v/>
      </c>
      <c r="E40" s="170" t="str">
        <f t="shared" si="2"/>
        <v/>
      </c>
      <c r="F40" s="169" t="str">
        <f t="shared" si="3"/>
        <v/>
      </c>
      <c r="G40" s="169" t="str">
        <f t="shared" si="4"/>
        <v/>
      </c>
    </row>
    <row r="41" spans="1:7" ht="15" customHeight="1">
      <c r="A41" s="36" t="str">
        <f>IF(PROJETS!A85="","",PROJETS!A85)</f>
        <v/>
      </c>
      <c r="B41" s="171" t="str">
        <f>IF($A41="","",IFERROR(INDEX(tbl_Projets[Titre complet du projet],MATCH($A41,tbl_Projets[ID Projet],0)),""))</f>
        <v/>
      </c>
      <c r="C41" s="169" t="str">
        <f t="shared" si="0"/>
        <v/>
      </c>
      <c r="D41" s="169" t="str">
        <f t="shared" si="1"/>
        <v/>
      </c>
      <c r="E41" s="170" t="str">
        <f t="shared" si="2"/>
        <v/>
      </c>
      <c r="F41" s="169" t="str">
        <f t="shared" si="3"/>
        <v/>
      </c>
      <c r="G41" s="169" t="str">
        <f t="shared" si="4"/>
        <v/>
      </c>
    </row>
    <row r="42" spans="1:7" ht="15" customHeight="1">
      <c r="A42" s="36" t="str">
        <f>IF(PROJETS!A86="","",PROJETS!A86)</f>
        <v/>
      </c>
      <c r="B42" s="171" t="str">
        <f>IF($A42="","",IFERROR(INDEX(tbl_Projets[Titre complet du projet],MATCH($A42,tbl_Projets[ID Projet],0)),""))</f>
        <v/>
      </c>
      <c r="C42" s="169" t="str">
        <f t="shared" si="0"/>
        <v/>
      </c>
      <c r="D42" s="169" t="str">
        <f t="shared" si="1"/>
        <v/>
      </c>
      <c r="E42" s="170" t="str">
        <f t="shared" si="2"/>
        <v/>
      </c>
      <c r="F42" s="169" t="str">
        <f t="shared" si="3"/>
        <v/>
      </c>
      <c r="G42" s="169" t="str">
        <f t="shared" si="4"/>
        <v/>
      </c>
    </row>
    <row r="43" spans="1:7" ht="15" customHeight="1">
      <c r="A43" s="36" t="str">
        <f>IF(PROJETS!A87="","",PROJETS!A87)</f>
        <v/>
      </c>
      <c r="B43" s="171" t="str">
        <f>IF($A43="","",IFERROR(INDEX(tbl_Projets[Titre complet du projet],MATCH($A43,tbl_Projets[ID Projet],0)),""))</f>
        <v/>
      </c>
      <c r="C43" s="169" t="str">
        <f t="shared" si="0"/>
        <v/>
      </c>
      <c r="D43" s="169" t="str">
        <f t="shared" si="1"/>
        <v/>
      </c>
      <c r="E43" s="170" t="str">
        <f t="shared" si="2"/>
        <v/>
      </c>
      <c r="F43" s="169" t="str">
        <f t="shared" si="3"/>
        <v/>
      </c>
      <c r="G43" s="169" t="str">
        <f t="shared" si="4"/>
        <v/>
      </c>
    </row>
    <row r="44" spans="1:7" ht="15" customHeight="1">
      <c r="A44" s="36" t="str">
        <f>IF(PROJETS!A88="","",PROJETS!A88)</f>
        <v/>
      </c>
      <c r="B44" s="171" t="str">
        <f>IF($A44="","",IFERROR(INDEX(tbl_Projets[Titre complet du projet],MATCH($A44,tbl_Projets[ID Projet],0)),""))</f>
        <v/>
      </c>
      <c r="C44" s="169" t="str">
        <f t="shared" si="0"/>
        <v/>
      </c>
      <c r="D44" s="169" t="str">
        <f t="shared" si="1"/>
        <v/>
      </c>
      <c r="E44" s="170" t="str">
        <f t="shared" si="2"/>
        <v/>
      </c>
      <c r="F44" s="169" t="str">
        <f t="shared" si="3"/>
        <v/>
      </c>
      <c r="G44" s="169" t="str">
        <f t="shared" si="4"/>
        <v/>
      </c>
    </row>
    <row r="45" spans="1:7" ht="15" customHeight="1">
      <c r="A45" s="36" t="str">
        <f>IF(PROJETS!A89="","",PROJETS!A89)</f>
        <v/>
      </c>
      <c r="B45" s="171" t="str">
        <f>IF($A45="","",IFERROR(INDEX(tbl_Projets[Titre complet du projet],MATCH($A45,tbl_Projets[ID Projet],0)),""))</f>
        <v/>
      </c>
      <c r="C45" s="169" t="str">
        <f t="shared" si="0"/>
        <v/>
      </c>
      <c r="D45" s="169" t="str">
        <f t="shared" si="1"/>
        <v/>
      </c>
      <c r="E45" s="170" t="str">
        <f t="shared" si="2"/>
        <v/>
      </c>
      <c r="F45" s="169" t="str">
        <f t="shared" si="3"/>
        <v/>
      </c>
      <c r="G45" s="169" t="str">
        <f t="shared" si="4"/>
        <v/>
      </c>
    </row>
    <row r="46" spans="1:7" ht="15" customHeight="1">
      <c r="A46" s="36" t="str">
        <f>IF(PROJETS!A90="","",PROJETS!A90)</f>
        <v/>
      </c>
      <c r="B46" s="171" t="str">
        <f>IF($A46="","",IFERROR(INDEX(tbl_Projets[Titre complet du projet],MATCH($A46,tbl_Projets[ID Projet],0)),""))</f>
        <v/>
      </c>
      <c r="C46" s="169" t="str">
        <f t="shared" si="0"/>
        <v/>
      </c>
      <c r="D46" s="169" t="str">
        <f t="shared" si="1"/>
        <v/>
      </c>
      <c r="E46" s="170" t="str">
        <f t="shared" si="2"/>
        <v/>
      </c>
      <c r="F46" s="169" t="str">
        <f t="shared" si="3"/>
        <v/>
      </c>
      <c r="G46" s="169" t="str">
        <f t="shared" si="4"/>
        <v/>
      </c>
    </row>
    <row r="47" spans="1:7" ht="15" customHeight="1">
      <c r="A47" s="36" t="str">
        <f>IF(PROJETS!A91="","",PROJETS!A91)</f>
        <v/>
      </c>
      <c r="B47" s="171" t="str">
        <f>IF($A47="","",IFERROR(INDEX(tbl_Projets[Titre complet du projet],MATCH($A47,tbl_Projets[ID Projet],0)),""))</f>
        <v/>
      </c>
      <c r="C47" s="169" t="str">
        <f t="shared" si="0"/>
        <v/>
      </c>
      <c r="D47" s="169" t="str">
        <f t="shared" si="1"/>
        <v/>
      </c>
      <c r="E47" s="170" t="str">
        <f t="shared" si="2"/>
        <v/>
      </c>
      <c r="F47" s="169" t="str">
        <f t="shared" si="3"/>
        <v/>
      </c>
      <c r="G47" s="169" t="str">
        <f t="shared" si="4"/>
        <v/>
      </c>
    </row>
    <row r="48" spans="1:7" ht="15" customHeight="1">
      <c r="A48" s="36" t="str">
        <f>IF(PROJETS!A92="","",PROJETS!A92)</f>
        <v/>
      </c>
      <c r="B48" s="171" t="str">
        <f>IF($A48="","",IFERROR(INDEX(tbl_Projets[Titre complet du projet],MATCH($A48,tbl_Projets[ID Projet],0)),""))</f>
        <v/>
      </c>
      <c r="C48" s="169" t="str">
        <f t="shared" si="0"/>
        <v/>
      </c>
      <c r="D48" s="169" t="str">
        <f t="shared" si="1"/>
        <v/>
      </c>
      <c r="E48" s="170" t="str">
        <f t="shared" si="2"/>
        <v/>
      </c>
      <c r="F48" s="169" t="str">
        <f t="shared" si="3"/>
        <v/>
      </c>
      <c r="G48" s="169" t="str">
        <f t="shared" si="4"/>
        <v/>
      </c>
    </row>
    <row r="49" spans="1:52" ht="15" customHeight="1">
      <c r="A49" s="36" t="str">
        <f>IF(PROJETS!A93="","",PROJETS!A93)</f>
        <v/>
      </c>
      <c r="B49" s="171" t="str">
        <f>IF($A49="","",IFERROR(INDEX(tbl_Projets[Titre complet du projet],MATCH($A49,tbl_Projets[ID Projet],0)),""))</f>
        <v/>
      </c>
      <c r="C49" s="169" t="str">
        <f t="shared" si="0"/>
        <v/>
      </c>
      <c r="D49" s="169" t="str">
        <f t="shared" si="1"/>
        <v/>
      </c>
      <c r="E49" s="170" t="str">
        <f t="shared" si="2"/>
        <v/>
      </c>
      <c r="F49" s="169" t="str">
        <f t="shared" si="3"/>
        <v/>
      </c>
      <c r="G49" s="169" t="str">
        <f t="shared" si="4"/>
        <v/>
      </c>
    </row>
    <row r="50" spans="1:52" ht="15" customHeight="1">
      <c r="A50" s="36" t="str">
        <f>IF(PROJETS!A94="","",PROJETS!A94)</f>
        <v/>
      </c>
      <c r="B50" s="171" t="str">
        <f>IF($A50="","",IFERROR(INDEX(tbl_Projets[Titre complet du projet],MATCH($A50,tbl_Projets[ID Projet],0)),""))</f>
        <v/>
      </c>
      <c r="C50" s="169" t="str">
        <f t="shared" si="0"/>
        <v/>
      </c>
      <c r="D50" s="169" t="str">
        <f t="shared" si="1"/>
        <v/>
      </c>
      <c r="E50" s="170" t="str">
        <f t="shared" si="2"/>
        <v/>
      </c>
      <c r="F50" s="169" t="str">
        <f t="shared" si="3"/>
        <v/>
      </c>
      <c r="G50" s="169" t="str">
        <f t="shared" si="4"/>
        <v/>
      </c>
    </row>
    <row r="51" spans="1:52" ht="15" customHeight="1">
      <c r="A51" s="36" t="str">
        <f>IF(PROJETS!A95="","",PROJETS!A95)</f>
        <v/>
      </c>
      <c r="B51" s="171" t="str">
        <f>IF($A51="","",IFERROR(INDEX(tbl_Projets[Titre complet du projet],MATCH($A51,tbl_Projets[ID Projet],0)),""))</f>
        <v/>
      </c>
      <c r="C51" s="169" t="str">
        <f t="shared" si="0"/>
        <v/>
      </c>
      <c r="D51" s="169" t="str">
        <f t="shared" si="1"/>
        <v/>
      </c>
      <c r="E51" s="170" t="str">
        <f t="shared" si="2"/>
        <v/>
      </c>
      <c r="F51" s="169" t="str">
        <f t="shared" si="3"/>
        <v/>
      </c>
      <c r="G51" s="169" t="str">
        <f t="shared" si="4"/>
        <v/>
      </c>
    </row>
    <row r="53" spans="1:52" ht="19.5" customHeight="1">
      <c r="A53" s="310" t="s">
        <v>2429</v>
      </c>
      <c r="B53" s="307"/>
      <c r="C53" s="307"/>
      <c r="D53" s="307"/>
      <c r="E53" s="307"/>
      <c r="F53" s="307"/>
      <c r="G53" s="307"/>
      <c r="H53" s="307"/>
      <c r="I53" s="307"/>
      <c r="J53" s="307"/>
      <c r="K53" s="307"/>
      <c r="L53" s="307"/>
      <c r="M53" s="307"/>
      <c r="N53" s="307"/>
      <c r="O53" s="307"/>
      <c r="P53" s="307"/>
      <c r="Q53" s="307"/>
      <c r="R53" s="307"/>
      <c r="S53" s="307"/>
      <c r="T53" s="307"/>
      <c r="U53" s="307"/>
    </row>
    <row r="54" spans="1:52" ht="39.75" customHeight="1">
      <c r="A54" s="32" t="s">
        <v>2430</v>
      </c>
      <c r="B54" s="32" t="s">
        <v>1648</v>
      </c>
      <c r="C54" s="32" t="s">
        <v>1586</v>
      </c>
      <c r="D54" s="32" t="s">
        <v>1540</v>
      </c>
      <c r="E54" s="32" t="s">
        <v>1645</v>
      </c>
      <c r="F54" s="32" t="s">
        <v>1774</v>
      </c>
      <c r="G54" s="32" t="s">
        <v>2431</v>
      </c>
      <c r="H54" s="32" t="s">
        <v>1771</v>
      </c>
      <c r="I54" s="32" t="s">
        <v>2432</v>
      </c>
      <c r="J54" s="32" t="s">
        <v>1658</v>
      </c>
      <c r="K54" s="32" t="s">
        <v>1709</v>
      </c>
      <c r="L54" s="32" t="s">
        <v>2433</v>
      </c>
      <c r="M54" s="32" t="s">
        <v>2434</v>
      </c>
      <c r="N54" s="32" t="s">
        <v>2435</v>
      </c>
      <c r="O54" s="32" t="s">
        <v>2436</v>
      </c>
      <c r="P54" s="32" t="s">
        <v>2437</v>
      </c>
      <c r="Q54" s="32" t="s">
        <v>2438</v>
      </c>
      <c r="R54" s="32" t="s">
        <v>2439</v>
      </c>
      <c r="S54" s="32" t="s">
        <v>1659</v>
      </c>
      <c r="T54" s="32" t="s">
        <v>1660</v>
      </c>
      <c r="U54" s="32" t="s">
        <v>2440</v>
      </c>
      <c r="V54" s="32" t="s">
        <v>2441</v>
      </c>
      <c r="W54" s="32" t="s">
        <v>2442</v>
      </c>
      <c r="X54" s="32" t="s">
        <v>2443</v>
      </c>
      <c r="Y54" s="32" t="s">
        <v>2444</v>
      </c>
      <c r="Z54" s="32" t="s">
        <v>2445</v>
      </c>
      <c r="AA54" s="32" t="s">
        <v>1719</v>
      </c>
      <c r="AB54" s="32" t="s">
        <v>2446</v>
      </c>
      <c r="AC54" s="32" t="s">
        <v>197</v>
      </c>
      <c r="AD54" s="32" t="s">
        <v>1850</v>
      </c>
      <c r="AE54" s="32" t="s">
        <v>2447</v>
      </c>
      <c r="AF54" s="32" t="s">
        <v>2121</v>
      </c>
      <c r="AG54" s="32" t="s">
        <v>2382</v>
      </c>
      <c r="AH54" s="32" t="s">
        <v>2448</v>
      </c>
      <c r="AI54" s="32" t="s">
        <v>2423</v>
      </c>
      <c r="AJ54" s="32" t="s">
        <v>2424</v>
      </c>
      <c r="AK54" s="32" t="s">
        <v>2449</v>
      </c>
      <c r="AL54" s="32" t="s">
        <v>2450</v>
      </c>
      <c r="AM54" s="32" t="s">
        <v>2451</v>
      </c>
      <c r="AN54" s="32" t="s">
        <v>2452</v>
      </c>
      <c r="AO54" s="32" t="s">
        <v>949</v>
      </c>
      <c r="AP54" s="32" t="s">
        <v>943</v>
      </c>
      <c r="AQ54" s="32" t="s">
        <v>2453</v>
      </c>
      <c r="AR54" s="32" t="s">
        <v>2454</v>
      </c>
      <c r="AS54" s="32" t="s">
        <v>1602</v>
      </c>
      <c r="AT54" s="32" t="s">
        <v>2455</v>
      </c>
      <c r="AU54" s="32" t="s">
        <v>1598</v>
      </c>
      <c r="AV54" s="32" t="s">
        <v>2456</v>
      </c>
      <c r="AW54" s="32" t="s">
        <v>2457</v>
      </c>
      <c r="AX54" s="32" t="s">
        <v>2458</v>
      </c>
      <c r="AY54" s="32" t="s">
        <v>2230</v>
      </c>
      <c r="AZ54" s="32" t="s">
        <v>1611</v>
      </c>
    </row>
    <row r="55" spans="1:52" ht="15" customHeight="1">
      <c r="A55" s="172" t="str">
        <f t="shared" ref="A55:A86" si="5">IF(M55="","","IND"&amp;TEXT(ROW()-54,"00000"))</f>
        <v/>
      </c>
      <c r="B55" s="173"/>
      <c r="C55" s="174" t="str">
        <f>IF(B55="","",IFERROR(INDEX(tbl_Projets[Titre complet du projet],MATCH(B55,tbl_Projets[ID Projet],0)),""))</f>
        <v/>
      </c>
      <c r="D55" s="172" t="str">
        <f>IF(B55="","",IFERROR(INDEX(tbl_Projets[Domaine d''intervention],MATCH(B55,tbl_Projets[ID Projet],0)),""))</f>
        <v/>
      </c>
      <c r="E55" s="172" t="str">
        <f>IF(B55="","",IFERROR(INDEX(tbl_Projets[Statut du projet],MATCH(B55,tbl_Projets[ID Projet],0)),""))</f>
        <v/>
      </c>
      <c r="F55" s="173"/>
      <c r="G55" s="174" t="str">
        <f>IF(F55="","",IFERROR(INDEX(tbl_Activites[Intitule de l''activite],MATCH(F55,tbl_Activites[ID Activite],0)),""))</f>
        <v/>
      </c>
      <c r="H55" s="172" t="str">
        <f>IF(F55="","",IFERROR(INDEX(tbl_Activites[Statut de l''activite],MATCH(F55,tbl_Activites[ID Activite],0)),""))</f>
        <v/>
      </c>
      <c r="I55" s="173"/>
      <c r="J55" s="174" t="str">
        <f>IF(B55="","",IFERROR(INDEX(tbl_Projets[Objectif general],MATCH(B55,tbl_Projets[ID Projet],0)),""))</f>
        <v/>
      </c>
      <c r="K55" s="173"/>
      <c r="L55" s="173"/>
      <c r="M55" s="173"/>
      <c r="N55" s="173"/>
      <c r="O55" s="173"/>
      <c r="P55" s="173"/>
      <c r="Q55" s="173"/>
      <c r="R55" s="173"/>
      <c r="S55" s="173"/>
      <c r="T55" s="172" t="str">
        <f>IF(S55="","",IFERROR(INDEX(tbl_RH[Nom complet],MATCH(S55,tbl_RH[ID RH],0)),""))</f>
        <v/>
      </c>
      <c r="U55" s="172" t="str">
        <f>IF(S55="","",IFERROR(INDEX(tbl_RH[Fonction],MATCH(S55,tbl_RH[ID RH],0)),""))</f>
        <v/>
      </c>
      <c r="V55" s="173"/>
      <c r="W55" s="173"/>
      <c r="X55" s="173"/>
      <c r="Y55" s="173"/>
      <c r="Z55" s="173"/>
      <c r="AA55" s="173"/>
      <c r="AB55" s="173"/>
      <c r="AC55" s="175" t="str">
        <f>IF(AB55="","",INDEX(PARAMETRES!$C$53:$C$64,MONTH(AB55))&amp;" "&amp;YEAR(AB55))</f>
        <v/>
      </c>
      <c r="AD55" s="176" t="str">
        <f t="shared" ref="AD55:AD86" si="6">IF(OR(M55="",AA55=""),"",IF(AND(Z55&lt;&gt;"",Z55&lt;&gt;0),IFERROR(AA55/Z55,""),IF(AND(Y55&lt;&gt;"",Y55&lt;&gt;0),IFERROR(AA55/Y55,""),"")))</f>
        <v/>
      </c>
      <c r="AE55" s="175" t="str">
        <f t="shared" ref="AE55:AE86" si="7">IF(AD55="","",IF(AND(Z55&lt;&gt;"",Z55&lt;&gt;0),AA55-Z55,IF(AND(Y55&lt;&gt;"",Y55&lt;&gt;0),AA55-Y55,"")))</f>
        <v/>
      </c>
      <c r="AF55" s="176" t="str">
        <f t="shared" ref="AF55:AF86" si="8">IF(AD55="","",AD55-1)</f>
        <v/>
      </c>
      <c r="AG55" s="175" t="str">
        <f t="shared" ref="AG55:AG86" si="9">IF(AD55="","",IF(AD55&gt;=1,"Excellent",IF(AD55&gt;=0.9,"Bon",IF(AD55&gt;=0.7,"Moyen",IF(AD55&gt;=0.5,"Faible","Critique")))))</f>
        <v/>
      </c>
      <c r="AH55" s="175" t="str">
        <f t="shared" ref="AH55:AH86" si="10">IF(AD55="","",IF(AD55&gt;=1,"OK - Cible atteinte",IF(AD55&gt;=0.8,"Attention","Insuffisant")))</f>
        <v/>
      </c>
      <c r="AI55" s="173"/>
      <c r="AJ55" s="173"/>
      <c r="AK55" s="173"/>
      <c r="AL55" s="173"/>
      <c r="AM55" s="173"/>
      <c r="AN55" s="176" t="str">
        <f t="shared" ref="AN55:AN86" si="11">IF(AI55="","",IF(AI55=0,"",IFERROR(AJ55/AI55,"")))</f>
        <v/>
      </c>
      <c r="AO55" s="173"/>
      <c r="AP55" s="172" t="str">
        <f>IF(AO55="","",IFERROR(INDEX(PARAMETRES!$D$536:$D$586,MATCH(AO55,PARAMETRES!$J$536:$J$586,0)),""))</f>
        <v/>
      </c>
      <c r="AQ55" s="172" t="str">
        <f>IF(AO55="","",IFERROR(INDEX(PARAMETRES!$F$536:$F$586,MATCH(AO55,PARAMETRES!$J$536:$J$586,0)),""))</f>
        <v/>
      </c>
      <c r="AR55" s="173"/>
      <c r="AS55" s="173"/>
      <c r="AT55" s="173"/>
      <c r="AU55" s="173"/>
      <c r="AV55" s="173"/>
      <c r="AW55" s="173"/>
      <c r="AX55" s="173"/>
      <c r="AY55" s="175" t="str">
        <f t="shared" ref="AY55:AY86" si="12">IF(M55="","",IF(AND(AA55="",OR(Y55&lt;&gt;"",Z55&lt;&gt;"")),"Donnee manquante",IF(AD55&lt;0.8,"Cible non atteinte",IF(AD55&lt;1,"A surveiller","OK"))))</f>
        <v/>
      </c>
      <c r="AZ55" s="173"/>
    </row>
    <row r="56" spans="1:52" ht="15" customHeight="1">
      <c r="A56" s="172" t="str">
        <f t="shared" si="5"/>
        <v/>
      </c>
      <c r="B56" s="173"/>
      <c r="C56" s="174" t="str">
        <f>IF(B56="","",IFERROR(INDEX(tbl_Projets[Titre complet du projet],MATCH(B56,tbl_Projets[ID Projet],0)),""))</f>
        <v/>
      </c>
      <c r="D56" s="172" t="str">
        <f>IF(B56="","",IFERROR(INDEX(tbl_Projets[Domaine d''intervention],MATCH(B56,tbl_Projets[ID Projet],0)),""))</f>
        <v/>
      </c>
      <c r="E56" s="172" t="str">
        <f>IF(B56="","",IFERROR(INDEX(tbl_Projets[Statut du projet],MATCH(B56,tbl_Projets[ID Projet],0)),""))</f>
        <v/>
      </c>
      <c r="F56" s="173"/>
      <c r="G56" s="174" t="str">
        <f>IF(F56="","",IFERROR(INDEX(tbl_Activites[Intitule de l''activite],MATCH(F56,tbl_Activites[ID Activite],0)),""))</f>
        <v/>
      </c>
      <c r="H56" s="172" t="str">
        <f>IF(F56="","",IFERROR(INDEX(tbl_Activites[Statut de l''activite],MATCH(F56,tbl_Activites[ID Activite],0)),""))</f>
        <v/>
      </c>
      <c r="I56" s="173"/>
      <c r="J56" s="174" t="str">
        <f>IF(B56="","",IFERROR(INDEX(tbl_Projets[Objectif general],MATCH(B56,tbl_Projets[ID Projet],0)),""))</f>
        <v/>
      </c>
      <c r="K56" s="173"/>
      <c r="L56" s="173"/>
      <c r="M56" s="173"/>
      <c r="N56" s="173"/>
      <c r="O56" s="173"/>
      <c r="P56" s="173"/>
      <c r="Q56" s="173"/>
      <c r="R56" s="173"/>
      <c r="S56" s="173"/>
      <c r="T56" s="172" t="str">
        <f>IF(S56="","",IFERROR(INDEX(tbl_RH[Nom complet],MATCH(S56,tbl_RH[ID RH],0)),""))</f>
        <v/>
      </c>
      <c r="U56" s="172" t="str">
        <f>IF(S56="","",IFERROR(INDEX(tbl_RH[Fonction],MATCH(S56,tbl_RH[ID RH],0)),""))</f>
        <v/>
      </c>
      <c r="V56" s="173"/>
      <c r="W56" s="173"/>
      <c r="X56" s="173"/>
      <c r="Y56" s="173"/>
      <c r="Z56" s="173"/>
      <c r="AA56" s="173"/>
      <c r="AB56" s="173"/>
      <c r="AC56" s="175" t="str">
        <f>IF(AB56="","",INDEX(PARAMETRES!$C$53:$C$64,MONTH(AB56))&amp;" "&amp;YEAR(AB56))</f>
        <v/>
      </c>
      <c r="AD56" s="176" t="str">
        <f t="shared" si="6"/>
        <v/>
      </c>
      <c r="AE56" s="175" t="str">
        <f t="shared" si="7"/>
        <v/>
      </c>
      <c r="AF56" s="176" t="str">
        <f t="shared" si="8"/>
        <v/>
      </c>
      <c r="AG56" s="175" t="str">
        <f t="shared" si="9"/>
        <v/>
      </c>
      <c r="AH56" s="175" t="str">
        <f t="shared" si="10"/>
        <v/>
      </c>
      <c r="AI56" s="173"/>
      <c r="AJ56" s="173"/>
      <c r="AK56" s="173"/>
      <c r="AL56" s="173"/>
      <c r="AM56" s="173"/>
      <c r="AN56" s="176" t="str">
        <f t="shared" si="11"/>
        <v/>
      </c>
      <c r="AO56" s="173"/>
      <c r="AP56" s="172" t="str">
        <f>IF(AO56="","",IFERROR(INDEX(PARAMETRES!$D$536:$D$586,MATCH(AO56,PARAMETRES!$J$536:$J$586,0)),""))</f>
        <v/>
      </c>
      <c r="AQ56" s="172" t="str">
        <f>IF(AO56="","",IFERROR(INDEX(PARAMETRES!$F$536:$F$586,MATCH(AO56,PARAMETRES!$J$536:$J$586,0)),""))</f>
        <v/>
      </c>
      <c r="AR56" s="173"/>
      <c r="AS56" s="173"/>
      <c r="AT56" s="173"/>
      <c r="AU56" s="173"/>
      <c r="AV56" s="173"/>
      <c r="AW56" s="173"/>
      <c r="AX56" s="173"/>
      <c r="AY56" s="175" t="str">
        <f t="shared" si="12"/>
        <v/>
      </c>
      <c r="AZ56" s="173"/>
    </row>
    <row r="57" spans="1:52" ht="15" customHeight="1">
      <c r="A57" s="172" t="str">
        <f t="shared" si="5"/>
        <v/>
      </c>
      <c r="B57" s="173"/>
      <c r="C57" s="174" t="str">
        <f>IF(B57="","",IFERROR(INDEX(tbl_Projets[Titre complet du projet],MATCH(B57,tbl_Projets[ID Projet],0)),""))</f>
        <v/>
      </c>
      <c r="D57" s="172" t="str">
        <f>IF(B57="","",IFERROR(INDEX(tbl_Projets[Domaine d''intervention],MATCH(B57,tbl_Projets[ID Projet],0)),""))</f>
        <v/>
      </c>
      <c r="E57" s="172" t="str">
        <f>IF(B57="","",IFERROR(INDEX(tbl_Projets[Statut du projet],MATCH(B57,tbl_Projets[ID Projet],0)),""))</f>
        <v/>
      </c>
      <c r="F57" s="173"/>
      <c r="G57" s="174" t="str">
        <f>IF(F57="","",IFERROR(INDEX(tbl_Activites[Intitule de l''activite],MATCH(F57,tbl_Activites[ID Activite],0)),""))</f>
        <v/>
      </c>
      <c r="H57" s="172" t="str">
        <f>IF(F57="","",IFERROR(INDEX(tbl_Activites[Statut de l''activite],MATCH(F57,tbl_Activites[ID Activite],0)),""))</f>
        <v/>
      </c>
      <c r="I57" s="173"/>
      <c r="J57" s="174" t="str">
        <f>IF(B57="","",IFERROR(INDEX(tbl_Projets[Objectif general],MATCH(B57,tbl_Projets[ID Projet],0)),""))</f>
        <v/>
      </c>
      <c r="K57" s="173"/>
      <c r="L57" s="173"/>
      <c r="M57" s="173"/>
      <c r="N57" s="173"/>
      <c r="O57" s="173"/>
      <c r="P57" s="173"/>
      <c r="Q57" s="173"/>
      <c r="R57" s="173"/>
      <c r="S57" s="173"/>
      <c r="T57" s="172" t="str">
        <f>IF(S57="","",IFERROR(INDEX(tbl_RH[Nom complet],MATCH(S57,tbl_RH[ID RH],0)),""))</f>
        <v/>
      </c>
      <c r="U57" s="172" t="str">
        <f>IF(S57="","",IFERROR(INDEX(tbl_RH[Fonction],MATCH(S57,tbl_RH[ID RH],0)),""))</f>
        <v/>
      </c>
      <c r="V57" s="173"/>
      <c r="W57" s="173"/>
      <c r="X57" s="173"/>
      <c r="Y57" s="173"/>
      <c r="Z57" s="173"/>
      <c r="AA57" s="173"/>
      <c r="AB57" s="173"/>
      <c r="AC57" s="175" t="str">
        <f>IF(AB57="","",INDEX(PARAMETRES!$C$53:$C$64,MONTH(AB57))&amp;" "&amp;YEAR(AB57))</f>
        <v/>
      </c>
      <c r="AD57" s="176" t="str">
        <f t="shared" si="6"/>
        <v/>
      </c>
      <c r="AE57" s="175" t="str">
        <f t="shared" si="7"/>
        <v/>
      </c>
      <c r="AF57" s="176" t="str">
        <f t="shared" si="8"/>
        <v/>
      </c>
      <c r="AG57" s="175" t="str">
        <f t="shared" si="9"/>
        <v/>
      </c>
      <c r="AH57" s="175" t="str">
        <f t="shared" si="10"/>
        <v/>
      </c>
      <c r="AI57" s="173"/>
      <c r="AJ57" s="173"/>
      <c r="AK57" s="173"/>
      <c r="AL57" s="173"/>
      <c r="AM57" s="173"/>
      <c r="AN57" s="176" t="str">
        <f t="shared" si="11"/>
        <v/>
      </c>
      <c r="AO57" s="173"/>
      <c r="AP57" s="172" t="str">
        <f>IF(AO57="","",IFERROR(INDEX(PARAMETRES!$D$536:$D$586,MATCH(AO57,PARAMETRES!$J$536:$J$586,0)),""))</f>
        <v/>
      </c>
      <c r="AQ57" s="172" t="str">
        <f>IF(AO57="","",IFERROR(INDEX(PARAMETRES!$F$536:$F$586,MATCH(AO57,PARAMETRES!$J$536:$J$586,0)),""))</f>
        <v/>
      </c>
      <c r="AR57" s="173"/>
      <c r="AS57" s="173"/>
      <c r="AT57" s="173"/>
      <c r="AU57" s="173"/>
      <c r="AV57" s="173"/>
      <c r="AW57" s="173"/>
      <c r="AX57" s="173"/>
      <c r="AY57" s="175" t="str">
        <f t="shared" si="12"/>
        <v/>
      </c>
      <c r="AZ57" s="173"/>
    </row>
    <row r="58" spans="1:52" ht="15" customHeight="1">
      <c r="A58" s="172" t="str">
        <f t="shared" si="5"/>
        <v/>
      </c>
      <c r="B58" s="173"/>
      <c r="C58" s="174" t="str">
        <f>IF(B58="","",IFERROR(INDEX(tbl_Projets[Titre complet du projet],MATCH(B58,tbl_Projets[ID Projet],0)),""))</f>
        <v/>
      </c>
      <c r="D58" s="172" t="str">
        <f>IF(B58="","",IFERROR(INDEX(tbl_Projets[Domaine d''intervention],MATCH(B58,tbl_Projets[ID Projet],0)),""))</f>
        <v/>
      </c>
      <c r="E58" s="172" t="str">
        <f>IF(B58="","",IFERROR(INDEX(tbl_Projets[Statut du projet],MATCH(B58,tbl_Projets[ID Projet],0)),""))</f>
        <v/>
      </c>
      <c r="F58" s="173"/>
      <c r="G58" s="174" t="str">
        <f>IF(F58="","",IFERROR(INDEX(tbl_Activites[Intitule de l''activite],MATCH(F58,tbl_Activites[ID Activite],0)),""))</f>
        <v/>
      </c>
      <c r="H58" s="172" t="str">
        <f>IF(F58="","",IFERROR(INDEX(tbl_Activites[Statut de l''activite],MATCH(F58,tbl_Activites[ID Activite],0)),""))</f>
        <v/>
      </c>
      <c r="I58" s="173"/>
      <c r="J58" s="174" t="str">
        <f>IF(B58="","",IFERROR(INDEX(tbl_Projets[Objectif general],MATCH(B58,tbl_Projets[ID Projet],0)),""))</f>
        <v/>
      </c>
      <c r="K58" s="173"/>
      <c r="L58" s="173"/>
      <c r="M58" s="173"/>
      <c r="N58" s="173"/>
      <c r="O58" s="173"/>
      <c r="P58" s="173"/>
      <c r="Q58" s="173"/>
      <c r="R58" s="173"/>
      <c r="S58" s="173"/>
      <c r="T58" s="172" t="str">
        <f>IF(S58="","",IFERROR(INDEX(tbl_RH[Nom complet],MATCH(S58,tbl_RH[ID RH],0)),""))</f>
        <v/>
      </c>
      <c r="U58" s="172" t="str">
        <f>IF(S58="","",IFERROR(INDEX(tbl_RH[Fonction],MATCH(S58,tbl_RH[ID RH],0)),""))</f>
        <v/>
      </c>
      <c r="V58" s="173"/>
      <c r="W58" s="173"/>
      <c r="X58" s="173"/>
      <c r="Y58" s="173"/>
      <c r="Z58" s="173"/>
      <c r="AA58" s="173"/>
      <c r="AB58" s="173"/>
      <c r="AC58" s="175" t="str">
        <f>IF(AB58="","",INDEX(PARAMETRES!$C$53:$C$64,MONTH(AB58))&amp;" "&amp;YEAR(AB58))</f>
        <v/>
      </c>
      <c r="AD58" s="176" t="str">
        <f t="shared" si="6"/>
        <v/>
      </c>
      <c r="AE58" s="175" t="str">
        <f t="shared" si="7"/>
        <v/>
      </c>
      <c r="AF58" s="176" t="str">
        <f t="shared" si="8"/>
        <v/>
      </c>
      <c r="AG58" s="175" t="str">
        <f t="shared" si="9"/>
        <v/>
      </c>
      <c r="AH58" s="175" t="str">
        <f t="shared" si="10"/>
        <v/>
      </c>
      <c r="AI58" s="173"/>
      <c r="AJ58" s="173"/>
      <c r="AK58" s="173"/>
      <c r="AL58" s="173"/>
      <c r="AM58" s="173"/>
      <c r="AN58" s="176" t="str">
        <f t="shared" si="11"/>
        <v/>
      </c>
      <c r="AO58" s="173"/>
      <c r="AP58" s="172" t="str">
        <f>IF(AO58="","",IFERROR(INDEX(PARAMETRES!$D$536:$D$586,MATCH(AO58,PARAMETRES!$J$536:$J$586,0)),""))</f>
        <v/>
      </c>
      <c r="AQ58" s="172" t="str">
        <f>IF(AO58="","",IFERROR(INDEX(PARAMETRES!$F$536:$F$586,MATCH(AO58,PARAMETRES!$J$536:$J$586,0)),""))</f>
        <v/>
      </c>
      <c r="AR58" s="173"/>
      <c r="AS58" s="173"/>
      <c r="AT58" s="173"/>
      <c r="AU58" s="173"/>
      <c r="AV58" s="173"/>
      <c r="AW58" s="173"/>
      <c r="AX58" s="173"/>
      <c r="AY58" s="175" t="str">
        <f t="shared" si="12"/>
        <v/>
      </c>
      <c r="AZ58" s="173"/>
    </row>
    <row r="59" spans="1:52" ht="15" customHeight="1">
      <c r="A59" s="172" t="str">
        <f t="shared" si="5"/>
        <v/>
      </c>
      <c r="B59" s="173"/>
      <c r="C59" s="174" t="str">
        <f>IF(B59="","",IFERROR(INDEX(tbl_Projets[Titre complet du projet],MATCH(B59,tbl_Projets[ID Projet],0)),""))</f>
        <v/>
      </c>
      <c r="D59" s="172" t="str">
        <f>IF(B59="","",IFERROR(INDEX(tbl_Projets[Domaine d''intervention],MATCH(B59,tbl_Projets[ID Projet],0)),""))</f>
        <v/>
      </c>
      <c r="E59" s="172" t="str">
        <f>IF(B59="","",IFERROR(INDEX(tbl_Projets[Statut du projet],MATCH(B59,tbl_Projets[ID Projet],0)),""))</f>
        <v/>
      </c>
      <c r="F59" s="173"/>
      <c r="G59" s="174" t="str">
        <f>IF(F59="","",IFERROR(INDEX(tbl_Activites[Intitule de l''activite],MATCH(F59,tbl_Activites[ID Activite],0)),""))</f>
        <v/>
      </c>
      <c r="H59" s="172" t="str">
        <f>IF(F59="","",IFERROR(INDEX(tbl_Activites[Statut de l''activite],MATCH(F59,tbl_Activites[ID Activite],0)),""))</f>
        <v/>
      </c>
      <c r="I59" s="173"/>
      <c r="J59" s="174" t="str">
        <f>IF(B59="","",IFERROR(INDEX(tbl_Projets[Objectif general],MATCH(B59,tbl_Projets[ID Projet],0)),""))</f>
        <v/>
      </c>
      <c r="K59" s="173"/>
      <c r="L59" s="173"/>
      <c r="M59" s="173"/>
      <c r="N59" s="173"/>
      <c r="O59" s="173"/>
      <c r="P59" s="173"/>
      <c r="Q59" s="173"/>
      <c r="R59" s="173"/>
      <c r="S59" s="173"/>
      <c r="T59" s="172" t="str">
        <f>IF(S59="","",IFERROR(INDEX(tbl_RH[Nom complet],MATCH(S59,tbl_RH[ID RH],0)),""))</f>
        <v/>
      </c>
      <c r="U59" s="172" t="str">
        <f>IF(S59="","",IFERROR(INDEX(tbl_RH[Fonction],MATCH(S59,tbl_RH[ID RH],0)),""))</f>
        <v/>
      </c>
      <c r="V59" s="173"/>
      <c r="W59" s="173"/>
      <c r="X59" s="173"/>
      <c r="Y59" s="173"/>
      <c r="Z59" s="173"/>
      <c r="AA59" s="173"/>
      <c r="AB59" s="173"/>
      <c r="AC59" s="175" t="str">
        <f>IF(AB59="","",INDEX(PARAMETRES!$C$53:$C$64,MONTH(AB59))&amp;" "&amp;YEAR(AB59))</f>
        <v/>
      </c>
      <c r="AD59" s="176" t="str">
        <f t="shared" si="6"/>
        <v/>
      </c>
      <c r="AE59" s="175" t="str">
        <f t="shared" si="7"/>
        <v/>
      </c>
      <c r="AF59" s="176" t="str">
        <f t="shared" si="8"/>
        <v/>
      </c>
      <c r="AG59" s="175" t="str">
        <f t="shared" si="9"/>
        <v/>
      </c>
      <c r="AH59" s="175" t="str">
        <f t="shared" si="10"/>
        <v/>
      </c>
      <c r="AI59" s="173"/>
      <c r="AJ59" s="173"/>
      <c r="AK59" s="173"/>
      <c r="AL59" s="173"/>
      <c r="AM59" s="173"/>
      <c r="AN59" s="176" t="str">
        <f t="shared" si="11"/>
        <v/>
      </c>
      <c r="AO59" s="173"/>
      <c r="AP59" s="172" t="str">
        <f>IF(AO59="","",IFERROR(INDEX(PARAMETRES!$D$536:$D$586,MATCH(AO59,PARAMETRES!$J$536:$J$586,0)),""))</f>
        <v/>
      </c>
      <c r="AQ59" s="172" t="str">
        <f>IF(AO59="","",IFERROR(INDEX(PARAMETRES!$F$536:$F$586,MATCH(AO59,PARAMETRES!$J$536:$J$586,0)),""))</f>
        <v/>
      </c>
      <c r="AR59" s="173"/>
      <c r="AS59" s="173"/>
      <c r="AT59" s="173"/>
      <c r="AU59" s="173"/>
      <c r="AV59" s="173"/>
      <c r="AW59" s="173"/>
      <c r="AX59" s="173"/>
      <c r="AY59" s="175" t="str">
        <f t="shared" si="12"/>
        <v/>
      </c>
      <c r="AZ59" s="173"/>
    </row>
    <row r="60" spans="1:52" ht="15" customHeight="1">
      <c r="A60" s="172" t="str">
        <f t="shared" si="5"/>
        <v/>
      </c>
      <c r="B60" s="173"/>
      <c r="C60" s="174" t="str">
        <f>IF(B60="","",IFERROR(INDEX(tbl_Projets[Titre complet du projet],MATCH(B60,tbl_Projets[ID Projet],0)),""))</f>
        <v/>
      </c>
      <c r="D60" s="172" t="str">
        <f>IF(B60="","",IFERROR(INDEX(tbl_Projets[Domaine d''intervention],MATCH(B60,tbl_Projets[ID Projet],0)),""))</f>
        <v/>
      </c>
      <c r="E60" s="172" t="str">
        <f>IF(B60="","",IFERROR(INDEX(tbl_Projets[Statut du projet],MATCH(B60,tbl_Projets[ID Projet],0)),""))</f>
        <v/>
      </c>
      <c r="F60" s="173"/>
      <c r="G60" s="174" t="str">
        <f>IF(F60="","",IFERROR(INDEX(tbl_Activites[Intitule de l''activite],MATCH(F60,tbl_Activites[ID Activite],0)),""))</f>
        <v/>
      </c>
      <c r="H60" s="172" t="str">
        <f>IF(F60="","",IFERROR(INDEX(tbl_Activites[Statut de l''activite],MATCH(F60,tbl_Activites[ID Activite],0)),""))</f>
        <v/>
      </c>
      <c r="I60" s="173"/>
      <c r="J60" s="174" t="str">
        <f>IF(B60="","",IFERROR(INDEX(tbl_Projets[Objectif general],MATCH(B60,tbl_Projets[ID Projet],0)),""))</f>
        <v/>
      </c>
      <c r="K60" s="173"/>
      <c r="L60" s="173"/>
      <c r="M60" s="173"/>
      <c r="N60" s="173"/>
      <c r="O60" s="173"/>
      <c r="P60" s="173"/>
      <c r="Q60" s="173"/>
      <c r="R60" s="173"/>
      <c r="S60" s="173"/>
      <c r="T60" s="172" t="str">
        <f>IF(S60="","",IFERROR(INDEX(tbl_RH[Nom complet],MATCH(S60,tbl_RH[ID RH],0)),""))</f>
        <v/>
      </c>
      <c r="U60" s="172" t="str">
        <f>IF(S60="","",IFERROR(INDEX(tbl_RH[Fonction],MATCH(S60,tbl_RH[ID RH],0)),""))</f>
        <v/>
      </c>
      <c r="V60" s="173"/>
      <c r="W60" s="173"/>
      <c r="X60" s="173"/>
      <c r="Y60" s="173"/>
      <c r="Z60" s="173"/>
      <c r="AA60" s="173"/>
      <c r="AB60" s="173"/>
      <c r="AC60" s="175" t="str">
        <f>IF(AB60="","",INDEX(PARAMETRES!$C$53:$C$64,MONTH(AB60))&amp;" "&amp;YEAR(AB60))</f>
        <v/>
      </c>
      <c r="AD60" s="176" t="str">
        <f t="shared" si="6"/>
        <v/>
      </c>
      <c r="AE60" s="175" t="str">
        <f t="shared" si="7"/>
        <v/>
      </c>
      <c r="AF60" s="176" t="str">
        <f t="shared" si="8"/>
        <v/>
      </c>
      <c r="AG60" s="175" t="str">
        <f t="shared" si="9"/>
        <v/>
      </c>
      <c r="AH60" s="175" t="str">
        <f t="shared" si="10"/>
        <v/>
      </c>
      <c r="AI60" s="173"/>
      <c r="AJ60" s="173"/>
      <c r="AK60" s="173"/>
      <c r="AL60" s="173"/>
      <c r="AM60" s="173"/>
      <c r="AN60" s="176" t="str">
        <f t="shared" si="11"/>
        <v/>
      </c>
      <c r="AO60" s="173"/>
      <c r="AP60" s="172" t="str">
        <f>IF(AO60="","",IFERROR(INDEX(PARAMETRES!$D$536:$D$586,MATCH(AO60,PARAMETRES!$J$536:$J$586,0)),""))</f>
        <v/>
      </c>
      <c r="AQ60" s="172" t="str">
        <f>IF(AO60="","",IFERROR(INDEX(PARAMETRES!$F$536:$F$586,MATCH(AO60,PARAMETRES!$J$536:$J$586,0)),""))</f>
        <v/>
      </c>
      <c r="AR60" s="173"/>
      <c r="AS60" s="173"/>
      <c r="AT60" s="173"/>
      <c r="AU60" s="173"/>
      <c r="AV60" s="173"/>
      <c r="AW60" s="173"/>
      <c r="AX60" s="173"/>
      <c r="AY60" s="175" t="str">
        <f t="shared" si="12"/>
        <v/>
      </c>
      <c r="AZ60" s="173"/>
    </row>
    <row r="61" spans="1:52" ht="15" customHeight="1">
      <c r="A61" s="172" t="str">
        <f t="shared" si="5"/>
        <v/>
      </c>
      <c r="B61" s="173"/>
      <c r="C61" s="174" t="str">
        <f>IF(B61="","",IFERROR(INDEX(tbl_Projets[Titre complet du projet],MATCH(B61,tbl_Projets[ID Projet],0)),""))</f>
        <v/>
      </c>
      <c r="D61" s="172" t="str">
        <f>IF(B61="","",IFERROR(INDEX(tbl_Projets[Domaine d''intervention],MATCH(B61,tbl_Projets[ID Projet],0)),""))</f>
        <v/>
      </c>
      <c r="E61" s="172" t="str">
        <f>IF(B61="","",IFERROR(INDEX(tbl_Projets[Statut du projet],MATCH(B61,tbl_Projets[ID Projet],0)),""))</f>
        <v/>
      </c>
      <c r="F61" s="173"/>
      <c r="G61" s="174" t="str">
        <f>IF(F61="","",IFERROR(INDEX(tbl_Activites[Intitule de l''activite],MATCH(F61,tbl_Activites[ID Activite],0)),""))</f>
        <v/>
      </c>
      <c r="H61" s="172" t="str">
        <f>IF(F61="","",IFERROR(INDEX(tbl_Activites[Statut de l''activite],MATCH(F61,tbl_Activites[ID Activite],0)),""))</f>
        <v/>
      </c>
      <c r="I61" s="173"/>
      <c r="J61" s="174" t="str">
        <f>IF(B61="","",IFERROR(INDEX(tbl_Projets[Objectif general],MATCH(B61,tbl_Projets[ID Projet],0)),""))</f>
        <v/>
      </c>
      <c r="K61" s="173"/>
      <c r="L61" s="173"/>
      <c r="M61" s="173"/>
      <c r="N61" s="173"/>
      <c r="O61" s="173"/>
      <c r="P61" s="173"/>
      <c r="Q61" s="173"/>
      <c r="R61" s="173"/>
      <c r="S61" s="173"/>
      <c r="T61" s="172" t="str">
        <f>IF(S61="","",IFERROR(INDEX(tbl_RH[Nom complet],MATCH(S61,tbl_RH[ID RH],0)),""))</f>
        <v/>
      </c>
      <c r="U61" s="172" t="str">
        <f>IF(S61="","",IFERROR(INDEX(tbl_RH[Fonction],MATCH(S61,tbl_RH[ID RH],0)),""))</f>
        <v/>
      </c>
      <c r="V61" s="173"/>
      <c r="W61" s="173"/>
      <c r="X61" s="173"/>
      <c r="Y61" s="173"/>
      <c r="Z61" s="173"/>
      <c r="AA61" s="173"/>
      <c r="AB61" s="173"/>
      <c r="AC61" s="175" t="str">
        <f>IF(AB61="","",INDEX(PARAMETRES!$C$53:$C$64,MONTH(AB61))&amp;" "&amp;YEAR(AB61))</f>
        <v/>
      </c>
      <c r="AD61" s="176" t="str">
        <f t="shared" si="6"/>
        <v/>
      </c>
      <c r="AE61" s="175" t="str">
        <f t="shared" si="7"/>
        <v/>
      </c>
      <c r="AF61" s="176" t="str">
        <f t="shared" si="8"/>
        <v/>
      </c>
      <c r="AG61" s="175" t="str">
        <f t="shared" si="9"/>
        <v/>
      </c>
      <c r="AH61" s="175" t="str">
        <f t="shared" si="10"/>
        <v/>
      </c>
      <c r="AI61" s="173"/>
      <c r="AJ61" s="173"/>
      <c r="AK61" s="173"/>
      <c r="AL61" s="173"/>
      <c r="AM61" s="173"/>
      <c r="AN61" s="176" t="str">
        <f t="shared" si="11"/>
        <v/>
      </c>
      <c r="AO61" s="173"/>
      <c r="AP61" s="172" t="str">
        <f>IF(AO61="","",IFERROR(INDEX(PARAMETRES!$D$536:$D$586,MATCH(AO61,PARAMETRES!$J$536:$J$586,0)),""))</f>
        <v/>
      </c>
      <c r="AQ61" s="172" t="str">
        <f>IF(AO61="","",IFERROR(INDEX(PARAMETRES!$F$536:$F$586,MATCH(AO61,PARAMETRES!$J$536:$J$586,0)),""))</f>
        <v/>
      </c>
      <c r="AR61" s="173"/>
      <c r="AS61" s="173"/>
      <c r="AT61" s="173"/>
      <c r="AU61" s="173"/>
      <c r="AV61" s="173"/>
      <c r="AW61" s="173"/>
      <c r="AX61" s="173"/>
      <c r="AY61" s="175" t="str">
        <f t="shared" si="12"/>
        <v/>
      </c>
      <c r="AZ61" s="173"/>
    </row>
    <row r="62" spans="1:52" ht="15" customHeight="1">
      <c r="A62" s="172" t="str">
        <f t="shared" si="5"/>
        <v/>
      </c>
      <c r="B62" s="173"/>
      <c r="C62" s="174" t="str">
        <f>IF(B62="","",IFERROR(INDEX(tbl_Projets[Titre complet du projet],MATCH(B62,tbl_Projets[ID Projet],0)),""))</f>
        <v/>
      </c>
      <c r="D62" s="172" t="str">
        <f>IF(B62="","",IFERROR(INDEX(tbl_Projets[Domaine d''intervention],MATCH(B62,tbl_Projets[ID Projet],0)),""))</f>
        <v/>
      </c>
      <c r="E62" s="172" t="str">
        <f>IF(B62="","",IFERROR(INDEX(tbl_Projets[Statut du projet],MATCH(B62,tbl_Projets[ID Projet],0)),""))</f>
        <v/>
      </c>
      <c r="F62" s="173"/>
      <c r="G62" s="174" t="str">
        <f>IF(F62="","",IFERROR(INDEX(tbl_Activites[Intitule de l''activite],MATCH(F62,tbl_Activites[ID Activite],0)),""))</f>
        <v/>
      </c>
      <c r="H62" s="172" t="str">
        <f>IF(F62="","",IFERROR(INDEX(tbl_Activites[Statut de l''activite],MATCH(F62,tbl_Activites[ID Activite],0)),""))</f>
        <v/>
      </c>
      <c r="I62" s="173"/>
      <c r="J62" s="174" t="str">
        <f>IF(B62="","",IFERROR(INDEX(tbl_Projets[Objectif general],MATCH(B62,tbl_Projets[ID Projet],0)),""))</f>
        <v/>
      </c>
      <c r="K62" s="173"/>
      <c r="L62" s="173"/>
      <c r="M62" s="173"/>
      <c r="N62" s="173"/>
      <c r="O62" s="173"/>
      <c r="P62" s="173"/>
      <c r="Q62" s="173"/>
      <c r="R62" s="173"/>
      <c r="S62" s="173"/>
      <c r="T62" s="172" t="str">
        <f>IF(S62="","",IFERROR(INDEX(tbl_RH[Nom complet],MATCH(S62,tbl_RH[ID RH],0)),""))</f>
        <v/>
      </c>
      <c r="U62" s="172" t="str">
        <f>IF(S62="","",IFERROR(INDEX(tbl_RH[Fonction],MATCH(S62,tbl_RH[ID RH],0)),""))</f>
        <v/>
      </c>
      <c r="V62" s="173"/>
      <c r="W62" s="173"/>
      <c r="X62" s="173"/>
      <c r="Y62" s="173"/>
      <c r="Z62" s="173"/>
      <c r="AA62" s="173"/>
      <c r="AB62" s="173"/>
      <c r="AC62" s="175" t="str">
        <f>IF(AB62="","",INDEX(PARAMETRES!$C$53:$C$64,MONTH(AB62))&amp;" "&amp;YEAR(AB62))</f>
        <v/>
      </c>
      <c r="AD62" s="176" t="str">
        <f t="shared" si="6"/>
        <v/>
      </c>
      <c r="AE62" s="175" t="str">
        <f t="shared" si="7"/>
        <v/>
      </c>
      <c r="AF62" s="176" t="str">
        <f t="shared" si="8"/>
        <v/>
      </c>
      <c r="AG62" s="175" t="str">
        <f t="shared" si="9"/>
        <v/>
      </c>
      <c r="AH62" s="175" t="str">
        <f t="shared" si="10"/>
        <v/>
      </c>
      <c r="AI62" s="173"/>
      <c r="AJ62" s="173"/>
      <c r="AK62" s="173"/>
      <c r="AL62" s="173"/>
      <c r="AM62" s="173"/>
      <c r="AN62" s="176" t="str">
        <f t="shared" si="11"/>
        <v/>
      </c>
      <c r="AO62" s="173"/>
      <c r="AP62" s="172" t="str">
        <f>IF(AO62="","",IFERROR(INDEX(PARAMETRES!$D$536:$D$586,MATCH(AO62,PARAMETRES!$J$536:$J$586,0)),""))</f>
        <v/>
      </c>
      <c r="AQ62" s="172" t="str">
        <f>IF(AO62="","",IFERROR(INDEX(PARAMETRES!$F$536:$F$586,MATCH(AO62,PARAMETRES!$J$536:$J$586,0)),""))</f>
        <v/>
      </c>
      <c r="AR62" s="173"/>
      <c r="AS62" s="173"/>
      <c r="AT62" s="173"/>
      <c r="AU62" s="173"/>
      <c r="AV62" s="173"/>
      <c r="AW62" s="173"/>
      <c r="AX62" s="173"/>
      <c r="AY62" s="175" t="str">
        <f t="shared" si="12"/>
        <v/>
      </c>
      <c r="AZ62" s="173"/>
    </row>
    <row r="63" spans="1:52" ht="15" customHeight="1">
      <c r="A63" s="172" t="str">
        <f t="shared" si="5"/>
        <v/>
      </c>
      <c r="B63" s="173"/>
      <c r="C63" s="174" t="str">
        <f>IF(B63="","",IFERROR(INDEX(tbl_Projets[Titre complet du projet],MATCH(B63,tbl_Projets[ID Projet],0)),""))</f>
        <v/>
      </c>
      <c r="D63" s="172" t="str">
        <f>IF(B63="","",IFERROR(INDEX(tbl_Projets[Domaine d''intervention],MATCH(B63,tbl_Projets[ID Projet],0)),""))</f>
        <v/>
      </c>
      <c r="E63" s="172" t="str">
        <f>IF(B63="","",IFERROR(INDEX(tbl_Projets[Statut du projet],MATCH(B63,tbl_Projets[ID Projet],0)),""))</f>
        <v/>
      </c>
      <c r="F63" s="173"/>
      <c r="G63" s="174" t="str">
        <f>IF(F63="","",IFERROR(INDEX(tbl_Activites[Intitule de l''activite],MATCH(F63,tbl_Activites[ID Activite],0)),""))</f>
        <v/>
      </c>
      <c r="H63" s="172" t="str">
        <f>IF(F63="","",IFERROR(INDEX(tbl_Activites[Statut de l''activite],MATCH(F63,tbl_Activites[ID Activite],0)),""))</f>
        <v/>
      </c>
      <c r="I63" s="173"/>
      <c r="J63" s="174" t="str">
        <f>IF(B63="","",IFERROR(INDEX(tbl_Projets[Objectif general],MATCH(B63,tbl_Projets[ID Projet],0)),""))</f>
        <v/>
      </c>
      <c r="K63" s="173"/>
      <c r="L63" s="173"/>
      <c r="M63" s="173"/>
      <c r="N63" s="173"/>
      <c r="O63" s="173"/>
      <c r="P63" s="173"/>
      <c r="Q63" s="173"/>
      <c r="R63" s="173"/>
      <c r="S63" s="173"/>
      <c r="T63" s="172" t="str">
        <f>IF(S63="","",IFERROR(INDEX(tbl_RH[Nom complet],MATCH(S63,tbl_RH[ID RH],0)),""))</f>
        <v/>
      </c>
      <c r="U63" s="172" t="str">
        <f>IF(S63="","",IFERROR(INDEX(tbl_RH[Fonction],MATCH(S63,tbl_RH[ID RH],0)),""))</f>
        <v/>
      </c>
      <c r="V63" s="173"/>
      <c r="W63" s="173"/>
      <c r="X63" s="173"/>
      <c r="Y63" s="173"/>
      <c r="Z63" s="173"/>
      <c r="AA63" s="173"/>
      <c r="AB63" s="173"/>
      <c r="AC63" s="175" t="str">
        <f>IF(AB63="","",INDEX(PARAMETRES!$C$53:$C$64,MONTH(AB63))&amp;" "&amp;YEAR(AB63))</f>
        <v/>
      </c>
      <c r="AD63" s="176" t="str">
        <f t="shared" si="6"/>
        <v/>
      </c>
      <c r="AE63" s="175" t="str">
        <f t="shared" si="7"/>
        <v/>
      </c>
      <c r="AF63" s="176" t="str">
        <f t="shared" si="8"/>
        <v/>
      </c>
      <c r="AG63" s="175" t="str">
        <f t="shared" si="9"/>
        <v/>
      </c>
      <c r="AH63" s="175" t="str">
        <f t="shared" si="10"/>
        <v/>
      </c>
      <c r="AI63" s="173"/>
      <c r="AJ63" s="173"/>
      <c r="AK63" s="173"/>
      <c r="AL63" s="173"/>
      <c r="AM63" s="173"/>
      <c r="AN63" s="176" t="str">
        <f t="shared" si="11"/>
        <v/>
      </c>
      <c r="AO63" s="173"/>
      <c r="AP63" s="172" t="str">
        <f>IF(AO63="","",IFERROR(INDEX(PARAMETRES!$D$536:$D$586,MATCH(AO63,PARAMETRES!$J$536:$J$586,0)),""))</f>
        <v/>
      </c>
      <c r="AQ63" s="172" t="str">
        <f>IF(AO63="","",IFERROR(INDEX(PARAMETRES!$F$536:$F$586,MATCH(AO63,PARAMETRES!$J$536:$J$586,0)),""))</f>
        <v/>
      </c>
      <c r="AR63" s="173"/>
      <c r="AS63" s="173"/>
      <c r="AT63" s="173"/>
      <c r="AU63" s="173"/>
      <c r="AV63" s="173"/>
      <c r="AW63" s="173"/>
      <c r="AX63" s="173"/>
      <c r="AY63" s="175" t="str">
        <f t="shared" si="12"/>
        <v/>
      </c>
      <c r="AZ63" s="173"/>
    </row>
    <row r="64" spans="1:52" ht="15" customHeight="1">
      <c r="A64" s="172" t="str">
        <f t="shared" si="5"/>
        <v/>
      </c>
      <c r="B64" s="173"/>
      <c r="C64" s="174" t="str">
        <f>IF(B64="","",IFERROR(INDEX(tbl_Projets[Titre complet du projet],MATCH(B64,tbl_Projets[ID Projet],0)),""))</f>
        <v/>
      </c>
      <c r="D64" s="172" t="str">
        <f>IF(B64="","",IFERROR(INDEX(tbl_Projets[Domaine d''intervention],MATCH(B64,tbl_Projets[ID Projet],0)),""))</f>
        <v/>
      </c>
      <c r="E64" s="172" t="str">
        <f>IF(B64="","",IFERROR(INDEX(tbl_Projets[Statut du projet],MATCH(B64,tbl_Projets[ID Projet],0)),""))</f>
        <v/>
      </c>
      <c r="F64" s="173"/>
      <c r="G64" s="174" t="str">
        <f>IF(F64="","",IFERROR(INDEX(tbl_Activites[Intitule de l''activite],MATCH(F64,tbl_Activites[ID Activite],0)),""))</f>
        <v/>
      </c>
      <c r="H64" s="172" t="str">
        <f>IF(F64="","",IFERROR(INDEX(tbl_Activites[Statut de l''activite],MATCH(F64,tbl_Activites[ID Activite],0)),""))</f>
        <v/>
      </c>
      <c r="I64" s="173"/>
      <c r="J64" s="174" t="str">
        <f>IF(B64="","",IFERROR(INDEX(tbl_Projets[Objectif general],MATCH(B64,tbl_Projets[ID Projet],0)),""))</f>
        <v/>
      </c>
      <c r="K64" s="173"/>
      <c r="L64" s="173"/>
      <c r="M64" s="173"/>
      <c r="N64" s="173"/>
      <c r="O64" s="173"/>
      <c r="P64" s="173"/>
      <c r="Q64" s="173"/>
      <c r="R64" s="173"/>
      <c r="S64" s="173"/>
      <c r="T64" s="172" t="str">
        <f>IF(S64="","",IFERROR(INDEX(tbl_RH[Nom complet],MATCH(S64,tbl_RH[ID RH],0)),""))</f>
        <v/>
      </c>
      <c r="U64" s="172" t="str">
        <f>IF(S64="","",IFERROR(INDEX(tbl_RH[Fonction],MATCH(S64,tbl_RH[ID RH],0)),""))</f>
        <v/>
      </c>
      <c r="V64" s="173"/>
      <c r="W64" s="173"/>
      <c r="X64" s="173"/>
      <c r="Y64" s="173"/>
      <c r="Z64" s="173"/>
      <c r="AA64" s="173"/>
      <c r="AB64" s="173"/>
      <c r="AC64" s="175" t="str">
        <f>IF(AB64="","",INDEX(PARAMETRES!$C$53:$C$64,MONTH(AB64))&amp;" "&amp;YEAR(AB64))</f>
        <v/>
      </c>
      <c r="AD64" s="176" t="str">
        <f t="shared" si="6"/>
        <v/>
      </c>
      <c r="AE64" s="175" t="str">
        <f t="shared" si="7"/>
        <v/>
      </c>
      <c r="AF64" s="176" t="str">
        <f t="shared" si="8"/>
        <v/>
      </c>
      <c r="AG64" s="175" t="str">
        <f t="shared" si="9"/>
        <v/>
      </c>
      <c r="AH64" s="175" t="str">
        <f t="shared" si="10"/>
        <v/>
      </c>
      <c r="AI64" s="173"/>
      <c r="AJ64" s="173"/>
      <c r="AK64" s="173"/>
      <c r="AL64" s="173"/>
      <c r="AM64" s="173"/>
      <c r="AN64" s="176" t="str">
        <f t="shared" si="11"/>
        <v/>
      </c>
      <c r="AO64" s="173"/>
      <c r="AP64" s="172" t="str">
        <f>IF(AO64="","",IFERROR(INDEX(PARAMETRES!$D$536:$D$586,MATCH(AO64,PARAMETRES!$J$536:$J$586,0)),""))</f>
        <v/>
      </c>
      <c r="AQ64" s="172" t="str">
        <f>IF(AO64="","",IFERROR(INDEX(PARAMETRES!$F$536:$F$586,MATCH(AO64,PARAMETRES!$J$536:$J$586,0)),""))</f>
        <v/>
      </c>
      <c r="AR64" s="173"/>
      <c r="AS64" s="173"/>
      <c r="AT64" s="173"/>
      <c r="AU64" s="173"/>
      <c r="AV64" s="173"/>
      <c r="AW64" s="173"/>
      <c r="AX64" s="173"/>
      <c r="AY64" s="175" t="str">
        <f t="shared" si="12"/>
        <v/>
      </c>
      <c r="AZ64" s="173"/>
    </row>
    <row r="65" spans="1:52" ht="15" customHeight="1">
      <c r="A65" s="172" t="str">
        <f t="shared" si="5"/>
        <v/>
      </c>
      <c r="B65" s="173"/>
      <c r="C65" s="174" t="str">
        <f>IF(B65="","",IFERROR(INDEX(tbl_Projets[Titre complet du projet],MATCH(B65,tbl_Projets[ID Projet],0)),""))</f>
        <v/>
      </c>
      <c r="D65" s="172" t="str">
        <f>IF(B65="","",IFERROR(INDEX(tbl_Projets[Domaine d''intervention],MATCH(B65,tbl_Projets[ID Projet],0)),""))</f>
        <v/>
      </c>
      <c r="E65" s="172" t="str">
        <f>IF(B65="","",IFERROR(INDEX(tbl_Projets[Statut du projet],MATCH(B65,tbl_Projets[ID Projet],0)),""))</f>
        <v/>
      </c>
      <c r="F65" s="173"/>
      <c r="G65" s="174" t="str">
        <f>IF(F65="","",IFERROR(INDEX(tbl_Activites[Intitule de l''activite],MATCH(F65,tbl_Activites[ID Activite],0)),""))</f>
        <v/>
      </c>
      <c r="H65" s="172" t="str">
        <f>IF(F65="","",IFERROR(INDEX(tbl_Activites[Statut de l''activite],MATCH(F65,tbl_Activites[ID Activite],0)),""))</f>
        <v/>
      </c>
      <c r="I65" s="173"/>
      <c r="J65" s="174" t="str">
        <f>IF(B65="","",IFERROR(INDEX(tbl_Projets[Objectif general],MATCH(B65,tbl_Projets[ID Projet],0)),""))</f>
        <v/>
      </c>
      <c r="K65" s="173"/>
      <c r="L65" s="173"/>
      <c r="M65" s="173"/>
      <c r="N65" s="173"/>
      <c r="O65" s="173"/>
      <c r="P65" s="173"/>
      <c r="Q65" s="173"/>
      <c r="R65" s="173"/>
      <c r="S65" s="173"/>
      <c r="T65" s="172" t="str">
        <f>IF(S65="","",IFERROR(INDEX(tbl_RH[Nom complet],MATCH(S65,tbl_RH[ID RH],0)),""))</f>
        <v/>
      </c>
      <c r="U65" s="172" t="str">
        <f>IF(S65="","",IFERROR(INDEX(tbl_RH[Fonction],MATCH(S65,tbl_RH[ID RH],0)),""))</f>
        <v/>
      </c>
      <c r="V65" s="173"/>
      <c r="W65" s="173"/>
      <c r="X65" s="173"/>
      <c r="Y65" s="173"/>
      <c r="Z65" s="173"/>
      <c r="AA65" s="173"/>
      <c r="AB65" s="173"/>
      <c r="AC65" s="175" t="str">
        <f>IF(AB65="","",INDEX(PARAMETRES!$C$53:$C$64,MONTH(AB65))&amp;" "&amp;YEAR(AB65))</f>
        <v/>
      </c>
      <c r="AD65" s="176" t="str">
        <f t="shared" si="6"/>
        <v/>
      </c>
      <c r="AE65" s="175" t="str">
        <f t="shared" si="7"/>
        <v/>
      </c>
      <c r="AF65" s="176" t="str">
        <f t="shared" si="8"/>
        <v/>
      </c>
      <c r="AG65" s="175" t="str">
        <f t="shared" si="9"/>
        <v/>
      </c>
      <c r="AH65" s="175" t="str">
        <f t="shared" si="10"/>
        <v/>
      </c>
      <c r="AI65" s="173"/>
      <c r="AJ65" s="173"/>
      <c r="AK65" s="173"/>
      <c r="AL65" s="173"/>
      <c r="AM65" s="173"/>
      <c r="AN65" s="176" t="str">
        <f t="shared" si="11"/>
        <v/>
      </c>
      <c r="AO65" s="173"/>
      <c r="AP65" s="172" t="str">
        <f>IF(AO65="","",IFERROR(INDEX(PARAMETRES!$D$536:$D$586,MATCH(AO65,PARAMETRES!$J$536:$J$586,0)),""))</f>
        <v/>
      </c>
      <c r="AQ65" s="172" t="str">
        <f>IF(AO65="","",IFERROR(INDEX(PARAMETRES!$F$536:$F$586,MATCH(AO65,PARAMETRES!$J$536:$J$586,0)),""))</f>
        <v/>
      </c>
      <c r="AR65" s="173"/>
      <c r="AS65" s="173"/>
      <c r="AT65" s="173"/>
      <c r="AU65" s="173"/>
      <c r="AV65" s="173"/>
      <c r="AW65" s="173"/>
      <c r="AX65" s="173"/>
      <c r="AY65" s="175" t="str">
        <f t="shared" si="12"/>
        <v/>
      </c>
      <c r="AZ65" s="173"/>
    </row>
    <row r="66" spans="1:52" ht="15" customHeight="1">
      <c r="A66" s="172" t="str">
        <f t="shared" si="5"/>
        <v/>
      </c>
      <c r="B66" s="173"/>
      <c r="C66" s="174" t="str">
        <f>IF(B66="","",IFERROR(INDEX(tbl_Projets[Titre complet du projet],MATCH(B66,tbl_Projets[ID Projet],0)),""))</f>
        <v/>
      </c>
      <c r="D66" s="172" t="str">
        <f>IF(B66="","",IFERROR(INDEX(tbl_Projets[Domaine d''intervention],MATCH(B66,tbl_Projets[ID Projet],0)),""))</f>
        <v/>
      </c>
      <c r="E66" s="172" t="str">
        <f>IF(B66="","",IFERROR(INDEX(tbl_Projets[Statut du projet],MATCH(B66,tbl_Projets[ID Projet],0)),""))</f>
        <v/>
      </c>
      <c r="F66" s="173"/>
      <c r="G66" s="174" t="str">
        <f>IF(F66="","",IFERROR(INDEX(tbl_Activites[Intitule de l''activite],MATCH(F66,tbl_Activites[ID Activite],0)),""))</f>
        <v/>
      </c>
      <c r="H66" s="172" t="str">
        <f>IF(F66="","",IFERROR(INDEX(tbl_Activites[Statut de l''activite],MATCH(F66,tbl_Activites[ID Activite],0)),""))</f>
        <v/>
      </c>
      <c r="I66" s="173"/>
      <c r="J66" s="174" t="str">
        <f>IF(B66="","",IFERROR(INDEX(tbl_Projets[Objectif general],MATCH(B66,tbl_Projets[ID Projet],0)),""))</f>
        <v/>
      </c>
      <c r="K66" s="173"/>
      <c r="L66" s="173"/>
      <c r="M66" s="173"/>
      <c r="N66" s="173"/>
      <c r="O66" s="173"/>
      <c r="P66" s="173"/>
      <c r="Q66" s="173"/>
      <c r="R66" s="173"/>
      <c r="S66" s="173"/>
      <c r="T66" s="172" t="str">
        <f>IF(S66="","",IFERROR(INDEX(tbl_RH[Nom complet],MATCH(S66,tbl_RH[ID RH],0)),""))</f>
        <v/>
      </c>
      <c r="U66" s="172" t="str">
        <f>IF(S66="","",IFERROR(INDEX(tbl_RH[Fonction],MATCH(S66,tbl_RH[ID RH],0)),""))</f>
        <v/>
      </c>
      <c r="V66" s="173"/>
      <c r="W66" s="173"/>
      <c r="X66" s="173"/>
      <c r="Y66" s="173"/>
      <c r="Z66" s="173"/>
      <c r="AA66" s="173"/>
      <c r="AB66" s="173"/>
      <c r="AC66" s="175" t="str">
        <f>IF(AB66="","",INDEX(PARAMETRES!$C$53:$C$64,MONTH(AB66))&amp;" "&amp;YEAR(AB66))</f>
        <v/>
      </c>
      <c r="AD66" s="176" t="str">
        <f t="shared" si="6"/>
        <v/>
      </c>
      <c r="AE66" s="175" t="str">
        <f t="shared" si="7"/>
        <v/>
      </c>
      <c r="AF66" s="176" t="str">
        <f t="shared" si="8"/>
        <v/>
      </c>
      <c r="AG66" s="175" t="str">
        <f t="shared" si="9"/>
        <v/>
      </c>
      <c r="AH66" s="175" t="str">
        <f t="shared" si="10"/>
        <v/>
      </c>
      <c r="AI66" s="173"/>
      <c r="AJ66" s="173"/>
      <c r="AK66" s="173"/>
      <c r="AL66" s="173"/>
      <c r="AM66" s="173"/>
      <c r="AN66" s="176" t="str">
        <f t="shared" si="11"/>
        <v/>
      </c>
      <c r="AO66" s="173"/>
      <c r="AP66" s="172" t="str">
        <f>IF(AO66="","",IFERROR(INDEX(PARAMETRES!$D$536:$D$586,MATCH(AO66,PARAMETRES!$J$536:$J$586,0)),""))</f>
        <v/>
      </c>
      <c r="AQ66" s="172" t="str">
        <f>IF(AO66="","",IFERROR(INDEX(PARAMETRES!$F$536:$F$586,MATCH(AO66,PARAMETRES!$J$536:$J$586,0)),""))</f>
        <v/>
      </c>
      <c r="AR66" s="173"/>
      <c r="AS66" s="173"/>
      <c r="AT66" s="173"/>
      <c r="AU66" s="173"/>
      <c r="AV66" s="173"/>
      <c r="AW66" s="173"/>
      <c r="AX66" s="173"/>
      <c r="AY66" s="175" t="str">
        <f t="shared" si="12"/>
        <v/>
      </c>
      <c r="AZ66" s="173"/>
    </row>
    <row r="67" spans="1:52" ht="15" customHeight="1">
      <c r="A67" s="172" t="str">
        <f t="shared" si="5"/>
        <v/>
      </c>
      <c r="B67" s="173"/>
      <c r="C67" s="174" t="str">
        <f>IF(B67="","",IFERROR(INDEX(tbl_Projets[Titre complet du projet],MATCH(B67,tbl_Projets[ID Projet],0)),""))</f>
        <v/>
      </c>
      <c r="D67" s="172" t="str">
        <f>IF(B67="","",IFERROR(INDEX(tbl_Projets[Domaine d''intervention],MATCH(B67,tbl_Projets[ID Projet],0)),""))</f>
        <v/>
      </c>
      <c r="E67" s="172" t="str">
        <f>IF(B67="","",IFERROR(INDEX(tbl_Projets[Statut du projet],MATCH(B67,tbl_Projets[ID Projet],0)),""))</f>
        <v/>
      </c>
      <c r="F67" s="173"/>
      <c r="G67" s="174" t="str">
        <f>IF(F67="","",IFERROR(INDEX(tbl_Activites[Intitule de l''activite],MATCH(F67,tbl_Activites[ID Activite],0)),""))</f>
        <v/>
      </c>
      <c r="H67" s="172" t="str">
        <f>IF(F67="","",IFERROR(INDEX(tbl_Activites[Statut de l''activite],MATCH(F67,tbl_Activites[ID Activite],0)),""))</f>
        <v/>
      </c>
      <c r="I67" s="173"/>
      <c r="J67" s="174" t="str">
        <f>IF(B67="","",IFERROR(INDEX(tbl_Projets[Objectif general],MATCH(B67,tbl_Projets[ID Projet],0)),""))</f>
        <v/>
      </c>
      <c r="K67" s="173"/>
      <c r="L67" s="173"/>
      <c r="M67" s="173"/>
      <c r="N67" s="173"/>
      <c r="O67" s="173"/>
      <c r="P67" s="173"/>
      <c r="Q67" s="173"/>
      <c r="R67" s="173"/>
      <c r="S67" s="173"/>
      <c r="T67" s="172" t="str">
        <f>IF(S67="","",IFERROR(INDEX(tbl_RH[Nom complet],MATCH(S67,tbl_RH[ID RH],0)),""))</f>
        <v/>
      </c>
      <c r="U67" s="172" t="str">
        <f>IF(S67="","",IFERROR(INDEX(tbl_RH[Fonction],MATCH(S67,tbl_RH[ID RH],0)),""))</f>
        <v/>
      </c>
      <c r="V67" s="173"/>
      <c r="W67" s="173"/>
      <c r="X67" s="173"/>
      <c r="Y67" s="173"/>
      <c r="Z67" s="173"/>
      <c r="AA67" s="173"/>
      <c r="AB67" s="173"/>
      <c r="AC67" s="175" t="str">
        <f>IF(AB67="","",INDEX(PARAMETRES!$C$53:$C$64,MONTH(AB67))&amp;" "&amp;YEAR(AB67))</f>
        <v/>
      </c>
      <c r="AD67" s="176" t="str">
        <f t="shared" si="6"/>
        <v/>
      </c>
      <c r="AE67" s="175" t="str">
        <f t="shared" si="7"/>
        <v/>
      </c>
      <c r="AF67" s="176" t="str">
        <f t="shared" si="8"/>
        <v/>
      </c>
      <c r="AG67" s="175" t="str">
        <f t="shared" si="9"/>
        <v/>
      </c>
      <c r="AH67" s="175" t="str">
        <f t="shared" si="10"/>
        <v/>
      </c>
      <c r="AI67" s="173"/>
      <c r="AJ67" s="173"/>
      <c r="AK67" s="173"/>
      <c r="AL67" s="173"/>
      <c r="AM67" s="173"/>
      <c r="AN67" s="176" t="str">
        <f t="shared" si="11"/>
        <v/>
      </c>
      <c r="AO67" s="173"/>
      <c r="AP67" s="172" t="str">
        <f>IF(AO67="","",IFERROR(INDEX(PARAMETRES!$D$536:$D$586,MATCH(AO67,PARAMETRES!$J$536:$J$586,0)),""))</f>
        <v/>
      </c>
      <c r="AQ67" s="172" t="str">
        <f>IF(AO67="","",IFERROR(INDEX(PARAMETRES!$F$536:$F$586,MATCH(AO67,PARAMETRES!$J$536:$J$586,0)),""))</f>
        <v/>
      </c>
      <c r="AR67" s="173"/>
      <c r="AS67" s="173"/>
      <c r="AT67" s="173"/>
      <c r="AU67" s="173"/>
      <c r="AV67" s="173"/>
      <c r="AW67" s="173"/>
      <c r="AX67" s="173"/>
      <c r="AY67" s="175" t="str">
        <f t="shared" si="12"/>
        <v/>
      </c>
      <c r="AZ67" s="173"/>
    </row>
    <row r="68" spans="1:52" ht="15" customHeight="1">
      <c r="A68" s="172" t="str">
        <f t="shared" si="5"/>
        <v/>
      </c>
      <c r="B68" s="173"/>
      <c r="C68" s="174" t="str">
        <f>IF(B68="","",IFERROR(INDEX(tbl_Projets[Titre complet du projet],MATCH(B68,tbl_Projets[ID Projet],0)),""))</f>
        <v/>
      </c>
      <c r="D68" s="172" t="str">
        <f>IF(B68="","",IFERROR(INDEX(tbl_Projets[Domaine d''intervention],MATCH(B68,tbl_Projets[ID Projet],0)),""))</f>
        <v/>
      </c>
      <c r="E68" s="172" t="str">
        <f>IF(B68="","",IFERROR(INDEX(tbl_Projets[Statut du projet],MATCH(B68,tbl_Projets[ID Projet],0)),""))</f>
        <v/>
      </c>
      <c r="F68" s="173"/>
      <c r="G68" s="174" t="str">
        <f>IF(F68="","",IFERROR(INDEX(tbl_Activites[Intitule de l''activite],MATCH(F68,tbl_Activites[ID Activite],0)),""))</f>
        <v/>
      </c>
      <c r="H68" s="172" t="str">
        <f>IF(F68="","",IFERROR(INDEX(tbl_Activites[Statut de l''activite],MATCH(F68,tbl_Activites[ID Activite],0)),""))</f>
        <v/>
      </c>
      <c r="I68" s="173"/>
      <c r="J68" s="174" t="str">
        <f>IF(B68="","",IFERROR(INDEX(tbl_Projets[Objectif general],MATCH(B68,tbl_Projets[ID Projet],0)),""))</f>
        <v/>
      </c>
      <c r="K68" s="173"/>
      <c r="L68" s="173"/>
      <c r="M68" s="173"/>
      <c r="N68" s="173"/>
      <c r="O68" s="173"/>
      <c r="P68" s="173"/>
      <c r="Q68" s="173"/>
      <c r="R68" s="173"/>
      <c r="S68" s="173"/>
      <c r="T68" s="172" t="str">
        <f>IF(S68="","",IFERROR(INDEX(tbl_RH[Nom complet],MATCH(S68,tbl_RH[ID RH],0)),""))</f>
        <v/>
      </c>
      <c r="U68" s="172" t="str">
        <f>IF(S68="","",IFERROR(INDEX(tbl_RH[Fonction],MATCH(S68,tbl_RH[ID RH],0)),""))</f>
        <v/>
      </c>
      <c r="V68" s="173"/>
      <c r="W68" s="173"/>
      <c r="X68" s="173"/>
      <c r="Y68" s="173"/>
      <c r="Z68" s="173"/>
      <c r="AA68" s="173"/>
      <c r="AB68" s="173"/>
      <c r="AC68" s="175" t="str">
        <f>IF(AB68="","",INDEX(PARAMETRES!$C$53:$C$64,MONTH(AB68))&amp;" "&amp;YEAR(AB68))</f>
        <v/>
      </c>
      <c r="AD68" s="176" t="str">
        <f t="shared" si="6"/>
        <v/>
      </c>
      <c r="AE68" s="175" t="str">
        <f t="shared" si="7"/>
        <v/>
      </c>
      <c r="AF68" s="176" t="str">
        <f t="shared" si="8"/>
        <v/>
      </c>
      <c r="AG68" s="175" t="str">
        <f t="shared" si="9"/>
        <v/>
      </c>
      <c r="AH68" s="175" t="str">
        <f t="shared" si="10"/>
        <v/>
      </c>
      <c r="AI68" s="173"/>
      <c r="AJ68" s="173"/>
      <c r="AK68" s="173"/>
      <c r="AL68" s="173"/>
      <c r="AM68" s="173"/>
      <c r="AN68" s="176" t="str">
        <f t="shared" si="11"/>
        <v/>
      </c>
      <c r="AO68" s="173"/>
      <c r="AP68" s="172" t="str">
        <f>IF(AO68="","",IFERROR(INDEX(PARAMETRES!$D$536:$D$586,MATCH(AO68,PARAMETRES!$J$536:$J$586,0)),""))</f>
        <v/>
      </c>
      <c r="AQ68" s="172" t="str">
        <f>IF(AO68="","",IFERROR(INDEX(PARAMETRES!$F$536:$F$586,MATCH(AO68,PARAMETRES!$J$536:$J$586,0)),""))</f>
        <v/>
      </c>
      <c r="AR68" s="173"/>
      <c r="AS68" s="173"/>
      <c r="AT68" s="173"/>
      <c r="AU68" s="173"/>
      <c r="AV68" s="173"/>
      <c r="AW68" s="173"/>
      <c r="AX68" s="173"/>
      <c r="AY68" s="175" t="str">
        <f t="shared" si="12"/>
        <v/>
      </c>
      <c r="AZ68" s="173"/>
    </row>
    <row r="69" spans="1:52" ht="15" customHeight="1">
      <c r="A69" s="172" t="str">
        <f t="shared" si="5"/>
        <v/>
      </c>
      <c r="B69" s="173"/>
      <c r="C69" s="174" t="str">
        <f>IF(B69="","",IFERROR(INDEX(tbl_Projets[Titre complet du projet],MATCH(B69,tbl_Projets[ID Projet],0)),""))</f>
        <v/>
      </c>
      <c r="D69" s="172" t="str">
        <f>IF(B69="","",IFERROR(INDEX(tbl_Projets[Domaine d''intervention],MATCH(B69,tbl_Projets[ID Projet],0)),""))</f>
        <v/>
      </c>
      <c r="E69" s="172" t="str">
        <f>IF(B69="","",IFERROR(INDEX(tbl_Projets[Statut du projet],MATCH(B69,tbl_Projets[ID Projet],0)),""))</f>
        <v/>
      </c>
      <c r="F69" s="173"/>
      <c r="G69" s="174" t="str">
        <f>IF(F69="","",IFERROR(INDEX(tbl_Activites[Intitule de l''activite],MATCH(F69,tbl_Activites[ID Activite],0)),""))</f>
        <v/>
      </c>
      <c r="H69" s="172" t="str">
        <f>IF(F69="","",IFERROR(INDEX(tbl_Activites[Statut de l''activite],MATCH(F69,tbl_Activites[ID Activite],0)),""))</f>
        <v/>
      </c>
      <c r="I69" s="173"/>
      <c r="J69" s="174" t="str">
        <f>IF(B69="","",IFERROR(INDEX(tbl_Projets[Objectif general],MATCH(B69,tbl_Projets[ID Projet],0)),""))</f>
        <v/>
      </c>
      <c r="K69" s="173"/>
      <c r="L69" s="173"/>
      <c r="M69" s="173"/>
      <c r="N69" s="173"/>
      <c r="O69" s="173"/>
      <c r="P69" s="173"/>
      <c r="Q69" s="173"/>
      <c r="R69" s="173"/>
      <c r="S69" s="173"/>
      <c r="T69" s="172" t="str">
        <f>IF(S69="","",IFERROR(INDEX(tbl_RH[Nom complet],MATCH(S69,tbl_RH[ID RH],0)),""))</f>
        <v/>
      </c>
      <c r="U69" s="172" t="str">
        <f>IF(S69="","",IFERROR(INDEX(tbl_RH[Fonction],MATCH(S69,tbl_RH[ID RH],0)),""))</f>
        <v/>
      </c>
      <c r="V69" s="173"/>
      <c r="W69" s="173"/>
      <c r="X69" s="173"/>
      <c r="Y69" s="173"/>
      <c r="Z69" s="173"/>
      <c r="AA69" s="173"/>
      <c r="AB69" s="173"/>
      <c r="AC69" s="175" t="str">
        <f>IF(AB69="","",INDEX(PARAMETRES!$C$53:$C$64,MONTH(AB69))&amp;" "&amp;YEAR(AB69))</f>
        <v/>
      </c>
      <c r="AD69" s="176" t="str">
        <f t="shared" si="6"/>
        <v/>
      </c>
      <c r="AE69" s="175" t="str">
        <f t="shared" si="7"/>
        <v/>
      </c>
      <c r="AF69" s="176" t="str">
        <f t="shared" si="8"/>
        <v/>
      </c>
      <c r="AG69" s="175" t="str">
        <f t="shared" si="9"/>
        <v/>
      </c>
      <c r="AH69" s="175" t="str">
        <f t="shared" si="10"/>
        <v/>
      </c>
      <c r="AI69" s="173"/>
      <c r="AJ69" s="173"/>
      <c r="AK69" s="173"/>
      <c r="AL69" s="173"/>
      <c r="AM69" s="173"/>
      <c r="AN69" s="176" t="str">
        <f t="shared" si="11"/>
        <v/>
      </c>
      <c r="AO69" s="173"/>
      <c r="AP69" s="172" t="str">
        <f>IF(AO69="","",IFERROR(INDEX(PARAMETRES!$D$536:$D$586,MATCH(AO69,PARAMETRES!$J$536:$J$586,0)),""))</f>
        <v/>
      </c>
      <c r="AQ69" s="172" t="str">
        <f>IF(AO69="","",IFERROR(INDEX(PARAMETRES!$F$536:$F$586,MATCH(AO69,PARAMETRES!$J$536:$J$586,0)),""))</f>
        <v/>
      </c>
      <c r="AR69" s="173"/>
      <c r="AS69" s="173"/>
      <c r="AT69" s="173"/>
      <c r="AU69" s="173"/>
      <c r="AV69" s="173"/>
      <c r="AW69" s="173"/>
      <c r="AX69" s="173"/>
      <c r="AY69" s="175" t="str">
        <f t="shared" si="12"/>
        <v/>
      </c>
      <c r="AZ69" s="173"/>
    </row>
    <row r="70" spans="1:52" ht="15" customHeight="1">
      <c r="A70" s="172" t="str">
        <f t="shared" si="5"/>
        <v/>
      </c>
      <c r="B70" s="173"/>
      <c r="C70" s="174" t="str">
        <f>IF(B70="","",IFERROR(INDEX(tbl_Projets[Titre complet du projet],MATCH(B70,tbl_Projets[ID Projet],0)),""))</f>
        <v/>
      </c>
      <c r="D70" s="172" t="str">
        <f>IF(B70="","",IFERROR(INDEX(tbl_Projets[Domaine d''intervention],MATCH(B70,tbl_Projets[ID Projet],0)),""))</f>
        <v/>
      </c>
      <c r="E70" s="172" t="str">
        <f>IF(B70="","",IFERROR(INDEX(tbl_Projets[Statut du projet],MATCH(B70,tbl_Projets[ID Projet],0)),""))</f>
        <v/>
      </c>
      <c r="F70" s="173"/>
      <c r="G70" s="174" t="str">
        <f>IF(F70="","",IFERROR(INDEX(tbl_Activites[Intitule de l''activite],MATCH(F70,tbl_Activites[ID Activite],0)),""))</f>
        <v/>
      </c>
      <c r="H70" s="172" t="str">
        <f>IF(F70="","",IFERROR(INDEX(tbl_Activites[Statut de l''activite],MATCH(F70,tbl_Activites[ID Activite],0)),""))</f>
        <v/>
      </c>
      <c r="I70" s="173"/>
      <c r="J70" s="174" t="str">
        <f>IF(B70="","",IFERROR(INDEX(tbl_Projets[Objectif general],MATCH(B70,tbl_Projets[ID Projet],0)),""))</f>
        <v/>
      </c>
      <c r="K70" s="173"/>
      <c r="L70" s="173"/>
      <c r="M70" s="173"/>
      <c r="N70" s="173"/>
      <c r="O70" s="173"/>
      <c r="P70" s="173"/>
      <c r="Q70" s="173"/>
      <c r="R70" s="173"/>
      <c r="S70" s="173"/>
      <c r="T70" s="172" t="str">
        <f>IF(S70="","",IFERROR(INDEX(tbl_RH[Nom complet],MATCH(S70,tbl_RH[ID RH],0)),""))</f>
        <v/>
      </c>
      <c r="U70" s="172" t="str">
        <f>IF(S70="","",IFERROR(INDEX(tbl_RH[Fonction],MATCH(S70,tbl_RH[ID RH],0)),""))</f>
        <v/>
      </c>
      <c r="V70" s="173"/>
      <c r="W70" s="173"/>
      <c r="X70" s="173"/>
      <c r="Y70" s="173"/>
      <c r="Z70" s="173"/>
      <c r="AA70" s="173"/>
      <c r="AB70" s="173"/>
      <c r="AC70" s="175" t="str">
        <f>IF(AB70="","",INDEX(PARAMETRES!$C$53:$C$64,MONTH(AB70))&amp;" "&amp;YEAR(AB70))</f>
        <v/>
      </c>
      <c r="AD70" s="176" t="str">
        <f t="shared" si="6"/>
        <v/>
      </c>
      <c r="AE70" s="175" t="str">
        <f t="shared" si="7"/>
        <v/>
      </c>
      <c r="AF70" s="176" t="str">
        <f t="shared" si="8"/>
        <v/>
      </c>
      <c r="AG70" s="175" t="str">
        <f t="shared" si="9"/>
        <v/>
      </c>
      <c r="AH70" s="175" t="str">
        <f t="shared" si="10"/>
        <v/>
      </c>
      <c r="AI70" s="173"/>
      <c r="AJ70" s="173"/>
      <c r="AK70" s="173"/>
      <c r="AL70" s="173"/>
      <c r="AM70" s="173"/>
      <c r="AN70" s="176" t="str">
        <f t="shared" si="11"/>
        <v/>
      </c>
      <c r="AO70" s="173"/>
      <c r="AP70" s="172" t="str">
        <f>IF(AO70="","",IFERROR(INDEX(PARAMETRES!$D$536:$D$586,MATCH(AO70,PARAMETRES!$J$536:$J$586,0)),""))</f>
        <v/>
      </c>
      <c r="AQ70" s="172" t="str">
        <f>IF(AO70="","",IFERROR(INDEX(PARAMETRES!$F$536:$F$586,MATCH(AO70,PARAMETRES!$J$536:$J$586,0)),""))</f>
        <v/>
      </c>
      <c r="AR70" s="173"/>
      <c r="AS70" s="173"/>
      <c r="AT70" s="173"/>
      <c r="AU70" s="173"/>
      <c r="AV70" s="173"/>
      <c r="AW70" s="173"/>
      <c r="AX70" s="173"/>
      <c r="AY70" s="175" t="str">
        <f t="shared" si="12"/>
        <v/>
      </c>
      <c r="AZ70" s="173"/>
    </row>
    <row r="71" spans="1:52" ht="15" customHeight="1">
      <c r="A71" s="172" t="str">
        <f t="shared" si="5"/>
        <v/>
      </c>
      <c r="B71" s="173"/>
      <c r="C71" s="174" t="str">
        <f>IF(B71="","",IFERROR(INDEX(tbl_Projets[Titre complet du projet],MATCH(B71,tbl_Projets[ID Projet],0)),""))</f>
        <v/>
      </c>
      <c r="D71" s="172" t="str">
        <f>IF(B71="","",IFERROR(INDEX(tbl_Projets[Domaine d''intervention],MATCH(B71,tbl_Projets[ID Projet],0)),""))</f>
        <v/>
      </c>
      <c r="E71" s="172" t="str">
        <f>IF(B71="","",IFERROR(INDEX(tbl_Projets[Statut du projet],MATCH(B71,tbl_Projets[ID Projet],0)),""))</f>
        <v/>
      </c>
      <c r="F71" s="173"/>
      <c r="G71" s="174" t="str">
        <f>IF(F71="","",IFERROR(INDEX(tbl_Activites[Intitule de l''activite],MATCH(F71,tbl_Activites[ID Activite],0)),""))</f>
        <v/>
      </c>
      <c r="H71" s="172" t="str">
        <f>IF(F71="","",IFERROR(INDEX(tbl_Activites[Statut de l''activite],MATCH(F71,tbl_Activites[ID Activite],0)),""))</f>
        <v/>
      </c>
      <c r="I71" s="173"/>
      <c r="J71" s="174" t="str">
        <f>IF(B71="","",IFERROR(INDEX(tbl_Projets[Objectif general],MATCH(B71,tbl_Projets[ID Projet],0)),""))</f>
        <v/>
      </c>
      <c r="K71" s="173"/>
      <c r="L71" s="173"/>
      <c r="M71" s="173"/>
      <c r="N71" s="173"/>
      <c r="O71" s="173"/>
      <c r="P71" s="173"/>
      <c r="Q71" s="173"/>
      <c r="R71" s="173"/>
      <c r="S71" s="173"/>
      <c r="T71" s="172" t="str">
        <f>IF(S71="","",IFERROR(INDEX(tbl_RH[Nom complet],MATCH(S71,tbl_RH[ID RH],0)),""))</f>
        <v/>
      </c>
      <c r="U71" s="172" t="str">
        <f>IF(S71="","",IFERROR(INDEX(tbl_RH[Fonction],MATCH(S71,tbl_RH[ID RH],0)),""))</f>
        <v/>
      </c>
      <c r="V71" s="173"/>
      <c r="W71" s="173"/>
      <c r="X71" s="173"/>
      <c r="Y71" s="173"/>
      <c r="Z71" s="173"/>
      <c r="AA71" s="173"/>
      <c r="AB71" s="173"/>
      <c r="AC71" s="175" t="str">
        <f>IF(AB71="","",INDEX(PARAMETRES!$C$53:$C$64,MONTH(AB71))&amp;" "&amp;YEAR(AB71))</f>
        <v/>
      </c>
      <c r="AD71" s="176" t="str">
        <f t="shared" si="6"/>
        <v/>
      </c>
      <c r="AE71" s="175" t="str">
        <f t="shared" si="7"/>
        <v/>
      </c>
      <c r="AF71" s="176" t="str">
        <f t="shared" si="8"/>
        <v/>
      </c>
      <c r="AG71" s="175" t="str">
        <f t="shared" si="9"/>
        <v/>
      </c>
      <c r="AH71" s="175" t="str">
        <f t="shared" si="10"/>
        <v/>
      </c>
      <c r="AI71" s="173"/>
      <c r="AJ71" s="173"/>
      <c r="AK71" s="173"/>
      <c r="AL71" s="173"/>
      <c r="AM71" s="173"/>
      <c r="AN71" s="176" t="str">
        <f t="shared" si="11"/>
        <v/>
      </c>
      <c r="AO71" s="173"/>
      <c r="AP71" s="172" t="str">
        <f>IF(AO71="","",IFERROR(INDEX(PARAMETRES!$D$536:$D$586,MATCH(AO71,PARAMETRES!$J$536:$J$586,0)),""))</f>
        <v/>
      </c>
      <c r="AQ71" s="172" t="str">
        <f>IF(AO71="","",IFERROR(INDEX(PARAMETRES!$F$536:$F$586,MATCH(AO71,PARAMETRES!$J$536:$J$586,0)),""))</f>
        <v/>
      </c>
      <c r="AR71" s="173"/>
      <c r="AS71" s="173"/>
      <c r="AT71" s="173"/>
      <c r="AU71" s="173"/>
      <c r="AV71" s="173"/>
      <c r="AW71" s="173"/>
      <c r="AX71" s="173"/>
      <c r="AY71" s="175" t="str">
        <f t="shared" si="12"/>
        <v/>
      </c>
      <c r="AZ71" s="173"/>
    </row>
    <row r="72" spans="1:52" ht="15" customHeight="1">
      <c r="A72" s="172" t="str">
        <f t="shared" si="5"/>
        <v/>
      </c>
      <c r="B72" s="173"/>
      <c r="C72" s="174" t="str">
        <f>IF(B72="","",IFERROR(INDEX(tbl_Projets[Titre complet du projet],MATCH(B72,tbl_Projets[ID Projet],0)),""))</f>
        <v/>
      </c>
      <c r="D72" s="172" t="str">
        <f>IF(B72="","",IFERROR(INDEX(tbl_Projets[Domaine d''intervention],MATCH(B72,tbl_Projets[ID Projet],0)),""))</f>
        <v/>
      </c>
      <c r="E72" s="172" t="str">
        <f>IF(B72="","",IFERROR(INDEX(tbl_Projets[Statut du projet],MATCH(B72,tbl_Projets[ID Projet],0)),""))</f>
        <v/>
      </c>
      <c r="F72" s="173"/>
      <c r="G72" s="174" t="str">
        <f>IF(F72="","",IFERROR(INDEX(tbl_Activites[Intitule de l''activite],MATCH(F72,tbl_Activites[ID Activite],0)),""))</f>
        <v/>
      </c>
      <c r="H72" s="172" t="str">
        <f>IF(F72="","",IFERROR(INDEX(tbl_Activites[Statut de l''activite],MATCH(F72,tbl_Activites[ID Activite],0)),""))</f>
        <v/>
      </c>
      <c r="I72" s="173"/>
      <c r="J72" s="174" t="str">
        <f>IF(B72="","",IFERROR(INDEX(tbl_Projets[Objectif general],MATCH(B72,tbl_Projets[ID Projet],0)),""))</f>
        <v/>
      </c>
      <c r="K72" s="173"/>
      <c r="L72" s="173"/>
      <c r="M72" s="173"/>
      <c r="N72" s="173"/>
      <c r="O72" s="173"/>
      <c r="P72" s="173"/>
      <c r="Q72" s="173"/>
      <c r="R72" s="173"/>
      <c r="S72" s="173"/>
      <c r="T72" s="172" t="str">
        <f>IF(S72="","",IFERROR(INDEX(tbl_RH[Nom complet],MATCH(S72,tbl_RH[ID RH],0)),""))</f>
        <v/>
      </c>
      <c r="U72" s="172" t="str">
        <f>IF(S72="","",IFERROR(INDEX(tbl_RH[Fonction],MATCH(S72,tbl_RH[ID RH],0)),""))</f>
        <v/>
      </c>
      <c r="V72" s="173"/>
      <c r="W72" s="173"/>
      <c r="X72" s="173"/>
      <c r="Y72" s="173"/>
      <c r="Z72" s="173"/>
      <c r="AA72" s="173"/>
      <c r="AB72" s="173"/>
      <c r="AC72" s="175" t="str">
        <f>IF(AB72="","",INDEX(PARAMETRES!$C$53:$C$64,MONTH(AB72))&amp;" "&amp;YEAR(AB72))</f>
        <v/>
      </c>
      <c r="AD72" s="176" t="str">
        <f t="shared" si="6"/>
        <v/>
      </c>
      <c r="AE72" s="175" t="str">
        <f t="shared" si="7"/>
        <v/>
      </c>
      <c r="AF72" s="176" t="str">
        <f t="shared" si="8"/>
        <v/>
      </c>
      <c r="AG72" s="175" t="str">
        <f t="shared" si="9"/>
        <v/>
      </c>
      <c r="AH72" s="175" t="str">
        <f t="shared" si="10"/>
        <v/>
      </c>
      <c r="AI72" s="173"/>
      <c r="AJ72" s="173"/>
      <c r="AK72" s="173"/>
      <c r="AL72" s="173"/>
      <c r="AM72" s="173"/>
      <c r="AN72" s="176" t="str">
        <f t="shared" si="11"/>
        <v/>
      </c>
      <c r="AO72" s="173"/>
      <c r="AP72" s="172" t="str">
        <f>IF(AO72="","",IFERROR(INDEX(PARAMETRES!$D$536:$D$586,MATCH(AO72,PARAMETRES!$J$536:$J$586,0)),""))</f>
        <v/>
      </c>
      <c r="AQ72" s="172" t="str">
        <f>IF(AO72="","",IFERROR(INDEX(PARAMETRES!$F$536:$F$586,MATCH(AO72,PARAMETRES!$J$536:$J$586,0)),""))</f>
        <v/>
      </c>
      <c r="AR72" s="173"/>
      <c r="AS72" s="173"/>
      <c r="AT72" s="173"/>
      <c r="AU72" s="173"/>
      <c r="AV72" s="173"/>
      <c r="AW72" s="173"/>
      <c r="AX72" s="173"/>
      <c r="AY72" s="175" t="str">
        <f t="shared" si="12"/>
        <v/>
      </c>
      <c r="AZ72" s="173"/>
    </row>
    <row r="73" spans="1:52" ht="15" customHeight="1">
      <c r="A73" s="172" t="str">
        <f t="shared" si="5"/>
        <v/>
      </c>
      <c r="B73" s="173"/>
      <c r="C73" s="174" t="str">
        <f>IF(B73="","",IFERROR(INDEX(tbl_Projets[Titre complet du projet],MATCH(B73,tbl_Projets[ID Projet],0)),""))</f>
        <v/>
      </c>
      <c r="D73" s="172" t="str">
        <f>IF(B73="","",IFERROR(INDEX(tbl_Projets[Domaine d''intervention],MATCH(B73,tbl_Projets[ID Projet],0)),""))</f>
        <v/>
      </c>
      <c r="E73" s="172" t="str">
        <f>IF(B73="","",IFERROR(INDEX(tbl_Projets[Statut du projet],MATCH(B73,tbl_Projets[ID Projet],0)),""))</f>
        <v/>
      </c>
      <c r="F73" s="173"/>
      <c r="G73" s="174" t="str">
        <f>IF(F73="","",IFERROR(INDEX(tbl_Activites[Intitule de l''activite],MATCH(F73,tbl_Activites[ID Activite],0)),""))</f>
        <v/>
      </c>
      <c r="H73" s="172" t="str">
        <f>IF(F73="","",IFERROR(INDEX(tbl_Activites[Statut de l''activite],MATCH(F73,tbl_Activites[ID Activite],0)),""))</f>
        <v/>
      </c>
      <c r="I73" s="173"/>
      <c r="J73" s="174" t="str">
        <f>IF(B73="","",IFERROR(INDEX(tbl_Projets[Objectif general],MATCH(B73,tbl_Projets[ID Projet],0)),""))</f>
        <v/>
      </c>
      <c r="K73" s="173"/>
      <c r="L73" s="173"/>
      <c r="M73" s="173"/>
      <c r="N73" s="173"/>
      <c r="O73" s="173"/>
      <c r="P73" s="173"/>
      <c r="Q73" s="173"/>
      <c r="R73" s="173"/>
      <c r="S73" s="173"/>
      <c r="T73" s="172" t="str">
        <f>IF(S73="","",IFERROR(INDEX(tbl_RH[Nom complet],MATCH(S73,tbl_RH[ID RH],0)),""))</f>
        <v/>
      </c>
      <c r="U73" s="172" t="str">
        <f>IF(S73="","",IFERROR(INDEX(tbl_RH[Fonction],MATCH(S73,tbl_RH[ID RH],0)),""))</f>
        <v/>
      </c>
      <c r="V73" s="173"/>
      <c r="W73" s="173"/>
      <c r="X73" s="173"/>
      <c r="Y73" s="173"/>
      <c r="Z73" s="173"/>
      <c r="AA73" s="173"/>
      <c r="AB73" s="173"/>
      <c r="AC73" s="175" t="str">
        <f>IF(AB73="","",INDEX(PARAMETRES!$C$53:$C$64,MONTH(AB73))&amp;" "&amp;YEAR(AB73))</f>
        <v/>
      </c>
      <c r="AD73" s="176" t="str">
        <f t="shared" si="6"/>
        <v/>
      </c>
      <c r="AE73" s="175" t="str">
        <f t="shared" si="7"/>
        <v/>
      </c>
      <c r="AF73" s="176" t="str">
        <f t="shared" si="8"/>
        <v/>
      </c>
      <c r="AG73" s="175" t="str">
        <f t="shared" si="9"/>
        <v/>
      </c>
      <c r="AH73" s="175" t="str">
        <f t="shared" si="10"/>
        <v/>
      </c>
      <c r="AI73" s="173"/>
      <c r="AJ73" s="173"/>
      <c r="AK73" s="173"/>
      <c r="AL73" s="173"/>
      <c r="AM73" s="173"/>
      <c r="AN73" s="176" t="str">
        <f t="shared" si="11"/>
        <v/>
      </c>
      <c r="AO73" s="173"/>
      <c r="AP73" s="172" t="str">
        <f>IF(AO73="","",IFERROR(INDEX(PARAMETRES!$D$536:$D$586,MATCH(AO73,PARAMETRES!$J$536:$J$586,0)),""))</f>
        <v/>
      </c>
      <c r="AQ73" s="172" t="str">
        <f>IF(AO73="","",IFERROR(INDEX(PARAMETRES!$F$536:$F$586,MATCH(AO73,PARAMETRES!$J$536:$J$586,0)),""))</f>
        <v/>
      </c>
      <c r="AR73" s="173"/>
      <c r="AS73" s="173"/>
      <c r="AT73" s="173"/>
      <c r="AU73" s="173"/>
      <c r="AV73" s="173"/>
      <c r="AW73" s="173"/>
      <c r="AX73" s="173"/>
      <c r="AY73" s="175" t="str">
        <f t="shared" si="12"/>
        <v/>
      </c>
      <c r="AZ73" s="173"/>
    </row>
    <row r="74" spans="1:52" ht="15" customHeight="1">
      <c r="A74" s="172" t="str">
        <f t="shared" si="5"/>
        <v/>
      </c>
      <c r="B74" s="173"/>
      <c r="C74" s="174" t="str">
        <f>IF(B74="","",IFERROR(INDEX(tbl_Projets[Titre complet du projet],MATCH(B74,tbl_Projets[ID Projet],0)),""))</f>
        <v/>
      </c>
      <c r="D74" s="172" t="str">
        <f>IF(B74="","",IFERROR(INDEX(tbl_Projets[Domaine d''intervention],MATCH(B74,tbl_Projets[ID Projet],0)),""))</f>
        <v/>
      </c>
      <c r="E74" s="172" t="str">
        <f>IF(B74="","",IFERROR(INDEX(tbl_Projets[Statut du projet],MATCH(B74,tbl_Projets[ID Projet],0)),""))</f>
        <v/>
      </c>
      <c r="F74" s="173"/>
      <c r="G74" s="174" t="str">
        <f>IF(F74="","",IFERROR(INDEX(tbl_Activites[Intitule de l''activite],MATCH(F74,tbl_Activites[ID Activite],0)),""))</f>
        <v/>
      </c>
      <c r="H74" s="172" t="str">
        <f>IF(F74="","",IFERROR(INDEX(tbl_Activites[Statut de l''activite],MATCH(F74,tbl_Activites[ID Activite],0)),""))</f>
        <v/>
      </c>
      <c r="I74" s="173"/>
      <c r="J74" s="174" t="str">
        <f>IF(B74="","",IFERROR(INDEX(tbl_Projets[Objectif general],MATCH(B74,tbl_Projets[ID Projet],0)),""))</f>
        <v/>
      </c>
      <c r="K74" s="173"/>
      <c r="L74" s="173"/>
      <c r="M74" s="173"/>
      <c r="N74" s="173"/>
      <c r="O74" s="173"/>
      <c r="P74" s="173"/>
      <c r="Q74" s="173"/>
      <c r="R74" s="173"/>
      <c r="S74" s="173"/>
      <c r="T74" s="172" t="str">
        <f>IF(S74="","",IFERROR(INDEX(tbl_RH[Nom complet],MATCH(S74,tbl_RH[ID RH],0)),""))</f>
        <v/>
      </c>
      <c r="U74" s="172" t="str">
        <f>IF(S74="","",IFERROR(INDEX(tbl_RH[Fonction],MATCH(S74,tbl_RH[ID RH],0)),""))</f>
        <v/>
      </c>
      <c r="V74" s="173"/>
      <c r="W74" s="173"/>
      <c r="X74" s="173"/>
      <c r="Y74" s="173"/>
      <c r="Z74" s="173"/>
      <c r="AA74" s="173"/>
      <c r="AB74" s="173"/>
      <c r="AC74" s="175" t="str">
        <f>IF(AB74="","",INDEX(PARAMETRES!$C$53:$C$64,MONTH(AB74))&amp;" "&amp;YEAR(AB74))</f>
        <v/>
      </c>
      <c r="AD74" s="176" t="str">
        <f t="shared" si="6"/>
        <v/>
      </c>
      <c r="AE74" s="175" t="str">
        <f t="shared" si="7"/>
        <v/>
      </c>
      <c r="AF74" s="176" t="str">
        <f t="shared" si="8"/>
        <v/>
      </c>
      <c r="AG74" s="175" t="str">
        <f t="shared" si="9"/>
        <v/>
      </c>
      <c r="AH74" s="175" t="str">
        <f t="shared" si="10"/>
        <v/>
      </c>
      <c r="AI74" s="173"/>
      <c r="AJ74" s="173"/>
      <c r="AK74" s="173"/>
      <c r="AL74" s="173"/>
      <c r="AM74" s="173"/>
      <c r="AN74" s="176" t="str">
        <f t="shared" si="11"/>
        <v/>
      </c>
      <c r="AO74" s="173"/>
      <c r="AP74" s="172" t="str">
        <f>IF(AO74="","",IFERROR(INDEX(PARAMETRES!$D$536:$D$586,MATCH(AO74,PARAMETRES!$J$536:$J$586,0)),""))</f>
        <v/>
      </c>
      <c r="AQ74" s="172" t="str">
        <f>IF(AO74="","",IFERROR(INDEX(PARAMETRES!$F$536:$F$586,MATCH(AO74,PARAMETRES!$J$536:$J$586,0)),""))</f>
        <v/>
      </c>
      <c r="AR74" s="173"/>
      <c r="AS74" s="173"/>
      <c r="AT74" s="173"/>
      <c r="AU74" s="173"/>
      <c r="AV74" s="173"/>
      <c r="AW74" s="173"/>
      <c r="AX74" s="173"/>
      <c r="AY74" s="175" t="str">
        <f t="shared" si="12"/>
        <v/>
      </c>
      <c r="AZ74" s="173"/>
    </row>
    <row r="75" spans="1:52" ht="15" customHeight="1">
      <c r="A75" s="172" t="str">
        <f t="shared" si="5"/>
        <v/>
      </c>
      <c r="B75" s="173"/>
      <c r="C75" s="174" t="str">
        <f>IF(B75="","",IFERROR(INDEX(tbl_Projets[Titre complet du projet],MATCH(B75,tbl_Projets[ID Projet],0)),""))</f>
        <v/>
      </c>
      <c r="D75" s="172" t="str">
        <f>IF(B75="","",IFERROR(INDEX(tbl_Projets[Domaine d''intervention],MATCH(B75,tbl_Projets[ID Projet],0)),""))</f>
        <v/>
      </c>
      <c r="E75" s="172" t="str">
        <f>IF(B75="","",IFERROR(INDEX(tbl_Projets[Statut du projet],MATCH(B75,tbl_Projets[ID Projet],0)),""))</f>
        <v/>
      </c>
      <c r="F75" s="173"/>
      <c r="G75" s="174" t="str">
        <f>IF(F75="","",IFERROR(INDEX(tbl_Activites[Intitule de l''activite],MATCH(F75,tbl_Activites[ID Activite],0)),""))</f>
        <v/>
      </c>
      <c r="H75" s="172" t="str">
        <f>IF(F75="","",IFERROR(INDEX(tbl_Activites[Statut de l''activite],MATCH(F75,tbl_Activites[ID Activite],0)),""))</f>
        <v/>
      </c>
      <c r="I75" s="173"/>
      <c r="J75" s="174" t="str">
        <f>IF(B75="","",IFERROR(INDEX(tbl_Projets[Objectif general],MATCH(B75,tbl_Projets[ID Projet],0)),""))</f>
        <v/>
      </c>
      <c r="K75" s="173"/>
      <c r="L75" s="173"/>
      <c r="M75" s="173"/>
      <c r="N75" s="173"/>
      <c r="O75" s="173"/>
      <c r="P75" s="173"/>
      <c r="Q75" s="173"/>
      <c r="R75" s="173"/>
      <c r="S75" s="173"/>
      <c r="T75" s="172" t="str">
        <f>IF(S75="","",IFERROR(INDEX(tbl_RH[Nom complet],MATCH(S75,tbl_RH[ID RH],0)),""))</f>
        <v/>
      </c>
      <c r="U75" s="172" t="str">
        <f>IF(S75="","",IFERROR(INDEX(tbl_RH[Fonction],MATCH(S75,tbl_RH[ID RH],0)),""))</f>
        <v/>
      </c>
      <c r="V75" s="173"/>
      <c r="W75" s="173"/>
      <c r="X75" s="173"/>
      <c r="Y75" s="173"/>
      <c r="Z75" s="173"/>
      <c r="AA75" s="173"/>
      <c r="AB75" s="173"/>
      <c r="AC75" s="175" t="str">
        <f>IF(AB75="","",INDEX(PARAMETRES!$C$53:$C$64,MONTH(AB75))&amp;" "&amp;YEAR(AB75))</f>
        <v/>
      </c>
      <c r="AD75" s="176" t="str">
        <f t="shared" si="6"/>
        <v/>
      </c>
      <c r="AE75" s="175" t="str">
        <f t="shared" si="7"/>
        <v/>
      </c>
      <c r="AF75" s="176" t="str">
        <f t="shared" si="8"/>
        <v/>
      </c>
      <c r="AG75" s="175" t="str">
        <f t="shared" si="9"/>
        <v/>
      </c>
      <c r="AH75" s="175" t="str">
        <f t="shared" si="10"/>
        <v/>
      </c>
      <c r="AI75" s="173"/>
      <c r="AJ75" s="173"/>
      <c r="AK75" s="173"/>
      <c r="AL75" s="173"/>
      <c r="AM75" s="173"/>
      <c r="AN75" s="176" t="str">
        <f t="shared" si="11"/>
        <v/>
      </c>
      <c r="AO75" s="173"/>
      <c r="AP75" s="172" t="str">
        <f>IF(AO75="","",IFERROR(INDEX(PARAMETRES!$D$536:$D$586,MATCH(AO75,PARAMETRES!$J$536:$J$586,0)),""))</f>
        <v/>
      </c>
      <c r="AQ75" s="172" t="str">
        <f>IF(AO75="","",IFERROR(INDEX(PARAMETRES!$F$536:$F$586,MATCH(AO75,PARAMETRES!$J$536:$J$586,0)),""))</f>
        <v/>
      </c>
      <c r="AR75" s="173"/>
      <c r="AS75" s="173"/>
      <c r="AT75" s="173"/>
      <c r="AU75" s="173"/>
      <c r="AV75" s="173"/>
      <c r="AW75" s="173"/>
      <c r="AX75" s="173"/>
      <c r="AY75" s="175" t="str">
        <f t="shared" si="12"/>
        <v/>
      </c>
      <c r="AZ75" s="173"/>
    </row>
    <row r="76" spans="1:52" ht="15" customHeight="1">
      <c r="A76" s="172" t="str">
        <f t="shared" si="5"/>
        <v/>
      </c>
      <c r="B76" s="173"/>
      <c r="C76" s="174" t="str">
        <f>IF(B76="","",IFERROR(INDEX(tbl_Projets[Titre complet du projet],MATCH(B76,tbl_Projets[ID Projet],0)),""))</f>
        <v/>
      </c>
      <c r="D76" s="172" t="str">
        <f>IF(B76="","",IFERROR(INDEX(tbl_Projets[Domaine d''intervention],MATCH(B76,tbl_Projets[ID Projet],0)),""))</f>
        <v/>
      </c>
      <c r="E76" s="172" t="str">
        <f>IF(B76="","",IFERROR(INDEX(tbl_Projets[Statut du projet],MATCH(B76,tbl_Projets[ID Projet],0)),""))</f>
        <v/>
      </c>
      <c r="F76" s="173"/>
      <c r="G76" s="174" t="str">
        <f>IF(F76="","",IFERROR(INDEX(tbl_Activites[Intitule de l''activite],MATCH(F76,tbl_Activites[ID Activite],0)),""))</f>
        <v/>
      </c>
      <c r="H76" s="172" t="str">
        <f>IF(F76="","",IFERROR(INDEX(tbl_Activites[Statut de l''activite],MATCH(F76,tbl_Activites[ID Activite],0)),""))</f>
        <v/>
      </c>
      <c r="I76" s="173"/>
      <c r="J76" s="174" t="str">
        <f>IF(B76="","",IFERROR(INDEX(tbl_Projets[Objectif general],MATCH(B76,tbl_Projets[ID Projet],0)),""))</f>
        <v/>
      </c>
      <c r="K76" s="173"/>
      <c r="L76" s="173"/>
      <c r="M76" s="173"/>
      <c r="N76" s="173"/>
      <c r="O76" s="173"/>
      <c r="P76" s="173"/>
      <c r="Q76" s="173"/>
      <c r="R76" s="173"/>
      <c r="S76" s="173"/>
      <c r="T76" s="172" t="str">
        <f>IF(S76="","",IFERROR(INDEX(tbl_RH[Nom complet],MATCH(S76,tbl_RH[ID RH],0)),""))</f>
        <v/>
      </c>
      <c r="U76" s="172" t="str">
        <f>IF(S76="","",IFERROR(INDEX(tbl_RH[Fonction],MATCH(S76,tbl_RH[ID RH],0)),""))</f>
        <v/>
      </c>
      <c r="V76" s="173"/>
      <c r="W76" s="173"/>
      <c r="X76" s="173"/>
      <c r="Y76" s="173"/>
      <c r="Z76" s="173"/>
      <c r="AA76" s="173"/>
      <c r="AB76" s="173"/>
      <c r="AC76" s="175" t="str">
        <f>IF(AB76="","",INDEX(PARAMETRES!$C$53:$C$64,MONTH(AB76))&amp;" "&amp;YEAR(AB76))</f>
        <v/>
      </c>
      <c r="AD76" s="176" t="str">
        <f t="shared" si="6"/>
        <v/>
      </c>
      <c r="AE76" s="175" t="str">
        <f t="shared" si="7"/>
        <v/>
      </c>
      <c r="AF76" s="176" t="str">
        <f t="shared" si="8"/>
        <v/>
      </c>
      <c r="AG76" s="175" t="str">
        <f t="shared" si="9"/>
        <v/>
      </c>
      <c r="AH76" s="175" t="str">
        <f t="shared" si="10"/>
        <v/>
      </c>
      <c r="AI76" s="173"/>
      <c r="AJ76" s="173"/>
      <c r="AK76" s="173"/>
      <c r="AL76" s="173"/>
      <c r="AM76" s="173"/>
      <c r="AN76" s="176" t="str">
        <f t="shared" si="11"/>
        <v/>
      </c>
      <c r="AO76" s="173"/>
      <c r="AP76" s="172" t="str">
        <f>IF(AO76="","",IFERROR(INDEX(PARAMETRES!$D$536:$D$586,MATCH(AO76,PARAMETRES!$J$536:$J$586,0)),""))</f>
        <v/>
      </c>
      <c r="AQ76" s="172" t="str">
        <f>IF(AO76="","",IFERROR(INDEX(PARAMETRES!$F$536:$F$586,MATCH(AO76,PARAMETRES!$J$536:$J$586,0)),""))</f>
        <v/>
      </c>
      <c r="AR76" s="173"/>
      <c r="AS76" s="173"/>
      <c r="AT76" s="173"/>
      <c r="AU76" s="173"/>
      <c r="AV76" s="173"/>
      <c r="AW76" s="173"/>
      <c r="AX76" s="173"/>
      <c r="AY76" s="175" t="str">
        <f t="shared" si="12"/>
        <v/>
      </c>
      <c r="AZ76" s="173"/>
    </row>
    <row r="77" spans="1:52" ht="15" customHeight="1">
      <c r="A77" s="172" t="str">
        <f t="shared" si="5"/>
        <v/>
      </c>
      <c r="B77" s="173"/>
      <c r="C77" s="174" t="str">
        <f>IF(B77="","",IFERROR(INDEX(tbl_Projets[Titre complet du projet],MATCH(B77,tbl_Projets[ID Projet],0)),""))</f>
        <v/>
      </c>
      <c r="D77" s="172" t="str">
        <f>IF(B77="","",IFERROR(INDEX(tbl_Projets[Domaine d''intervention],MATCH(B77,tbl_Projets[ID Projet],0)),""))</f>
        <v/>
      </c>
      <c r="E77" s="172" t="str">
        <f>IF(B77="","",IFERROR(INDEX(tbl_Projets[Statut du projet],MATCH(B77,tbl_Projets[ID Projet],0)),""))</f>
        <v/>
      </c>
      <c r="F77" s="173"/>
      <c r="G77" s="174" t="str">
        <f>IF(F77="","",IFERROR(INDEX(tbl_Activites[Intitule de l''activite],MATCH(F77,tbl_Activites[ID Activite],0)),""))</f>
        <v/>
      </c>
      <c r="H77" s="172" t="str">
        <f>IF(F77="","",IFERROR(INDEX(tbl_Activites[Statut de l''activite],MATCH(F77,tbl_Activites[ID Activite],0)),""))</f>
        <v/>
      </c>
      <c r="I77" s="173"/>
      <c r="J77" s="174" t="str">
        <f>IF(B77="","",IFERROR(INDEX(tbl_Projets[Objectif general],MATCH(B77,tbl_Projets[ID Projet],0)),""))</f>
        <v/>
      </c>
      <c r="K77" s="173"/>
      <c r="L77" s="173"/>
      <c r="M77" s="173"/>
      <c r="N77" s="173"/>
      <c r="O77" s="173"/>
      <c r="P77" s="173"/>
      <c r="Q77" s="173"/>
      <c r="R77" s="173"/>
      <c r="S77" s="173"/>
      <c r="T77" s="172" t="str">
        <f>IF(S77="","",IFERROR(INDEX(tbl_RH[Nom complet],MATCH(S77,tbl_RH[ID RH],0)),""))</f>
        <v/>
      </c>
      <c r="U77" s="172" t="str">
        <f>IF(S77="","",IFERROR(INDEX(tbl_RH[Fonction],MATCH(S77,tbl_RH[ID RH],0)),""))</f>
        <v/>
      </c>
      <c r="V77" s="173"/>
      <c r="W77" s="173"/>
      <c r="X77" s="173"/>
      <c r="Y77" s="173"/>
      <c r="Z77" s="173"/>
      <c r="AA77" s="173"/>
      <c r="AB77" s="173"/>
      <c r="AC77" s="175" t="str">
        <f>IF(AB77="","",INDEX(PARAMETRES!$C$53:$C$64,MONTH(AB77))&amp;" "&amp;YEAR(AB77))</f>
        <v/>
      </c>
      <c r="AD77" s="176" t="str">
        <f t="shared" si="6"/>
        <v/>
      </c>
      <c r="AE77" s="175" t="str">
        <f t="shared" si="7"/>
        <v/>
      </c>
      <c r="AF77" s="176" t="str">
        <f t="shared" si="8"/>
        <v/>
      </c>
      <c r="AG77" s="175" t="str">
        <f t="shared" si="9"/>
        <v/>
      </c>
      <c r="AH77" s="175" t="str">
        <f t="shared" si="10"/>
        <v/>
      </c>
      <c r="AI77" s="173"/>
      <c r="AJ77" s="173"/>
      <c r="AK77" s="173"/>
      <c r="AL77" s="173"/>
      <c r="AM77" s="173"/>
      <c r="AN77" s="176" t="str">
        <f t="shared" si="11"/>
        <v/>
      </c>
      <c r="AO77" s="173"/>
      <c r="AP77" s="172" t="str">
        <f>IF(AO77="","",IFERROR(INDEX(PARAMETRES!$D$536:$D$586,MATCH(AO77,PARAMETRES!$J$536:$J$586,0)),""))</f>
        <v/>
      </c>
      <c r="AQ77" s="172" t="str">
        <f>IF(AO77="","",IFERROR(INDEX(PARAMETRES!$F$536:$F$586,MATCH(AO77,PARAMETRES!$J$536:$J$586,0)),""))</f>
        <v/>
      </c>
      <c r="AR77" s="173"/>
      <c r="AS77" s="173"/>
      <c r="AT77" s="173"/>
      <c r="AU77" s="173"/>
      <c r="AV77" s="173"/>
      <c r="AW77" s="173"/>
      <c r="AX77" s="173"/>
      <c r="AY77" s="175" t="str">
        <f t="shared" si="12"/>
        <v/>
      </c>
      <c r="AZ77" s="173"/>
    </row>
    <row r="78" spans="1:52" ht="15" customHeight="1">
      <c r="A78" s="172" t="str">
        <f t="shared" si="5"/>
        <v/>
      </c>
      <c r="B78" s="173"/>
      <c r="C78" s="174" t="str">
        <f>IF(B78="","",IFERROR(INDEX(tbl_Projets[Titre complet du projet],MATCH(B78,tbl_Projets[ID Projet],0)),""))</f>
        <v/>
      </c>
      <c r="D78" s="172" t="str">
        <f>IF(B78="","",IFERROR(INDEX(tbl_Projets[Domaine d''intervention],MATCH(B78,tbl_Projets[ID Projet],0)),""))</f>
        <v/>
      </c>
      <c r="E78" s="172" t="str">
        <f>IF(B78="","",IFERROR(INDEX(tbl_Projets[Statut du projet],MATCH(B78,tbl_Projets[ID Projet],0)),""))</f>
        <v/>
      </c>
      <c r="F78" s="173"/>
      <c r="G78" s="174" t="str">
        <f>IF(F78="","",IFERROR(INDEX(tbl_Activites[Intitule de l''activite],MATCH(F78,tbl_Activites[ID Activite],0)),""))</f>
        <v/>
      </c>
      <c r="H78" s="172" t="str">
        <f>IF(F78="","",IFERROR(INDEX(tbl_Activites[Statut de l''activite],MATCH(F78,tbl_Activites[ID Activite],0)),""))</f>
        <v/>
      </c>
      <c r="I78" s="173"/>
      <c r="J78" s="174" t="str">
        <f>IF(B78="","",IFERROR(INDEX(tbl_Projets[Objectif general],MATCH(B78,tbl_Projets[ID Projet],0)),""))</f>
        <v/>
      </c>
      <c r="K78" s="173"/>
      <c r="L78" s="173"/>
      <c r="M78" s="173"/>
      <c r="N78" s="173"/>
      <c r="O78" s="173"/>
      <c r="P78" s="173"/>
      <c r="Q78" s="173"/>
      <c r="R78" s="173"/>
      <c r="S78" s="173"/>
      <c r="T78" s="172" t="str">
        <f>IF(S78="","",IFERROR(INDEX(tbl_RH[Nom complet],MATCH(S78,tbl_RH[ID RH],0)),""))</f>
        <v/>
      </c>
      <c r="U78" s="172" t="str">
        <f>IF(S78="","",IFERROR(INDEX(tbl_RH[Fonction],MATCH(S78,tbl_RH[ID RH],0)),""))</f>
        <v/>
      </c>
      <c r="V78" s="173"/>
      <c r="W78" s="173"/>
      <c r="X78" s="173"/>
      <c r="Y78" s="173"/>
      <c r="Z78" s="173"/>
      <c r="AA78" s="173"/>
      <c r="AB78" s="173"/>
      <c r="AC78" s="175" t="str">
        <f>IF(AB78="","",INDEX(PARAMETRES!$C$53:$C$64,MONTH(AB78))&amp;" "&amp;YEAR(AB78))</f>
        <v/>
      </c>
      <c r="AD78" s="176" t="str">
        <f t="shared" si="6"/>
        <v/>
      </c>
      <c r="AE78" s="175" t="str">
        <f t="shared" si="7"/>
        <v/>
      </c>
      <c r="AF78" s="176" t="str">
        <f t="shared" si="8"/>
        <v/>
      </c>
      <c r="AG78" s="175" t="str">
        <f t="shared" si="9"/>
        <v/>
      </c>
      <c r="AH78" s="175" t="str">
        <f t="shared" si="10"/>
        <v/>
      </c>
      <c r="AI78" s="173"/>
      <c r="AJ78" s="173"/>
      <c r="AK78" s="173"/>
      <c r="AL78" s="173"/>
      <c r="AM78" s="173"/>
      <c r="AN78" s="176" t="str">
        <f t="shared" si="11"/>
        <v/>
      </c>
      <c r="AO78" s="173"/>
      <c r="AP78" s="172" t="str">
        <f>IF(AO78="","",IFERROR(INDEX(PARAMETRES!$D$536:$D$586,MATCH(AO78,PARAMETRES!$J$536:$J$586,0)),""))</f>
        <v/>
      </c>
      <c r="AQ78" s="172" t="str">
        <f>IF(AO78="","",IFERROR(INDEX(PARAMETRES!$F$536:$F$586,MATCH(AO78,PARAMETRES!$J$536:$J$586,0)),""))</f>
        <v/>
      </c>
      <c r="AR78" s="173"/>
      <c r="AS78" s="173"/>
      <c r="AT78" s="173"/>
      <c r="AU78" s="173"/>
      <c r="AV78" s="173"/>
      <c r="AW78" s="173"/>
      <c r="AX78" s="173"/>
      <c r="AY78" s="175" t="str">
        <f t="shared" si="12"/>
        <v/>
      </c>
      <c r="AZ78" s="173"/>
    </row>
    <row r="79" spans="1:52" ht="15" customHeight="1">
      <c r="A79" s="172" t="str">
        <f t="shared" si="5"/>
        <v/>
      </c>
      <c r="B79" s="173"/>
      <c r="C79" s="174" t="str">
        <f>IF(B79="","",IFERROR(INDEX(tbl_Projets[Titre complet du projet],MATCH(B79,tbl_Projets[ID Projet],0)),""))</f>
        <v/>
      </c>
      <c r="D79" s="172" t="str">
        <f>IF(B79="","",IFERROR(INDEX(tbl_Projets[Domaine d''intervention],MATCH(B79,tbl_Projets[ID Projet],0)),""))</f>
        <v/>
      </c>
      <c r="E79" s="172" t="str">
        <f>IF(B79="","",IFERROR(INDEX(tbl_Projets[Statut du projet],MATCH(B79,tbl_Projets[ID Projet],0)),""))</f>
        <v/>
      </c>
      <c r="F79" s="173"/>
      <c r="G79" s="174" t="str">
        <f>IF(F79="","",IFERROR(INDEX(tbl_Activites[Intitule de l''activite],MATCH(F79,tbl_Activites[ID Activite],0)),""))</f>
        <v/>
      </c>
      <c r="H79" s="172" t="str">
        <f>IF(F79="","",IFERROR(INDEX(tbl_Activites[Statut de l''activite],MATCH(F79,tbl_Activites[ID Activite],0)),""))</f>
        <v/>
      </c>
      <c r="I79" s="173"/>
      <c r="J79" s="174" t="str">
        <f>IF(B79="","",IFERROR(INDEX(tbl_Projets[Objectif general],MATCH(B79,tbl_Projets[ID Projet],0)),""))</f>
        <v/>
      </c>
      <c r="K79" s="173"/>
      <c r="L79" s="173"/>
      <c r="M79" s="173"/>
      <c r="N79" s="173"/>
      <c r="O79" s="173"/>
      <c r="P79" s="173"/>
      <c r="Q79" s="173"/>
      <c r="R79" s="173"/>
      <c r="S79" s="173"/>
      <c r="T79" s="172" t="str">
        <f>IF(S79="","",IFERROR(INDEX(tbl_RH[Nom complet],MATCH(S79,tbl_RH[ID RH],0)),""))</f>
        <v/>
      </c>
      <c r="U79" s="172" t="str">
        <f>IF(S79="","",IFERROR(INDEX(tbl_RH[Fonction],MATCH(S79,tbl_RH[ID RH],0)),""))</f>
        <v/>
      </c>
      <c r="V79" s="173"/>
      <c r="W79" s="173"/>
      <c r="X79" s="173"/>
      <c r="Y79" s="173"/>
      <c r="Z79" s="173"/>
      <c r="AA79" s="173"/>
      <c r="AB79" s="173"/>
      <c r="AC79" s="175" t="str">
        <f>IF(AB79="","",INDEX(PARAMETRES!$C$53:$C$64,MONTH(AB79))&amp;" "&amp;YEAR(AB79))</f>
        <v/>
      </c>
      <c r="AD79" s="176" t="str">
        <f t="shared" si="6"/>
        <v/>
      </c>
      <c r="AE79" s="175" t="str">
        <f t="shared" si="7"/>
        <v/>
      </c>
      <c r="AF79" s="176" t="str">
        <f t="shared" si="8"/>
        <v/>
      </c>
      <c r="AG79" s="175" t="str">
        <f t="shared" si="9"/>
        <v/>
      </c>
      <c r="AH79" s="175" t="str">
        <f t="shared" si="10"/>
        <v/>
      </c>
      <c r="AI79" s="173"/>
      <c r="AJ79" s="173"/>
      <c r="AK79" s="173"/>
      <c r="AL79" s="173"/>
      <c r="AM79" s="173"/>
      <c r="AN79" s="176" t="str">
        <f t="shared" si="11"/>
        <v/>
      </c>
      <c r="AO79" s="173"/>
      <c r="AP79" s="172" t="str">
        <f>IF(AO79="","",IFERROR(INDEX(PARAMETRES!$D$536:$D$586,MATCH(AO79,PARAMETRES!$J$536:$J$586,0)),""))</f>
        <v/>
      </c>
      <c r="AQ79" s="172" t="str">
        <f>IF(AO79="","",IFERROR(INDEX(PARAMETRES!$F$536:$F$586,MATCH(AO79,PARAMETRES!$J$536:$J$586,0)),""))</f>
        <v/>
      </c>
      <c r="AR79" s="173"/>
      <c r="AS79" s="173"/>
      <c r="AT79" s="173"/>
      <c r="AU79" s="173"/>
      <c r="AV79" s="173"/>
      <c r="AW79" s="173"/>
      <c r="AX79" s="173"/>
      <c r="AY79" s="175" t="str">
        <f t="shared" si="12"/>
        <v/>
      </c>
      <c r="AZ79" s="173"/>
    </row>
    <row r="80" spans="1:52" ht="15" customHeight="1">
      <c r="A80" s="172" t="str">
        <f t="shared" si="5"/>
        <v/>
      </c>
      <c r="B80" s="173"/>
      <c r="C80" s="174" t="str">
        <f>IF(B80="","",IFERROR(INDEX(tbl_Projets[Titre complet du projet],MATCH(B80,tbl_Projets[ID Projet],0)),""))</f>
        <v/>
      </c>
      <c r="D80" s="172" t="str">
        <f>IF(B80="","",IFERROR(INDEX(tbl_Projets[Domaine d''intervention],MATCH(B80,tbl_Projets[ID Projet],0)),""))</f>
        <v/>
      </c>
      <c r="E80" s="172" t="str">
        <f>IF(B80="","",IFERROR(INDEX(tbl_Projets[Statut du projet],MATCH(B80,tbl_Projets[ID Projet],0)),""))</f>
        <v/>
      </c>
      <c r="F80" s="173"/>
      <c r="G80" s="174" t="str">
        <f>IF(F80="","",IFERROR(INDEX(tbl_Activites[Intitule de l''activite],MATCH(F80,tbl_Activites[ID Activite],0)),""))</f>
        <v/>
      </c>
      <c r="H80" s="172" t="str">
        <f>IF(F80="","",IFERROR(INDEX(tbl_Activites[Statut de l''activite],MATCH(F80,tbl_Activites[ID Activite],0)),""))</f>
        <v/>
      </c>
      <c r="I80" s="173"/>
      <c r="J80" s="174" t="str">
        <f>IF(B80="","",IFERROR(INDEX(tbl_Projets[Objectif general],MATCH(B80,tbl_Projets[ID Projet],0)),""))</f>
        <v/>
      </c>
      <c r="K80" s="173"/>
      <c r="L80" s="173"/>
      <c r="M80" s="173"/>
      <c r="N80" s="173"/>
      <c r="O80" s="173"/>
      <c r="P80" s="173"/>
      <c r="Q80" s="173"/>
      <c r="R80" s="173"/>
      <c r="S80" s="173"/>
      <c r="T80" s="172" t="str">
        <f>IF(S80="","",IFERROR(INDEX(tbl_RH[Nom complet],MATCH(S80,tbl_RH[ID RH],0)),""))</f>
        <v/>
      </c>
      <c r="U80" s="172" t="str">
        <f>IF(S80="","",IFERROR(INDEX(tbl_RH[Fonction],MATCH(S80,tbl_RH[ID RH],0)),""))</f>
        <v/>
      </c>
      <c r="V80" s="173"/>
      <c r="W80" s="173"/>
      <c r="X80" s="173"/>
      <c r="Y80" s="173"/>
      <c r="Z80" s="173"/>
      <c r="AA80" s="173"/>
      <c r="AB80" s="173"/>
      <c r="AC80" s="175" t="str">
        <f>IF(AB80="","",INDEX(PARAMETRES!$C$53:$C$64,MONTH(AB80))&amp;" "&amp;YEAR(AB80))</f>
        <v/>
      </c>
      <c r="AD80" s="176" t="str">
        <f t="shared" si="6"/>
        <v/>
      </c>
      <c r="AE80" s="175" t="str">
        <f t="shared" si="7"/>
        <v/>
      </c>
      <c r="AF80" s="176" t="str">
        <f t="shared" si="8"/>
        <v/>
      </c>
      <c r="AG80" s="175" t="str">
        <f t="shared" si="9"/>
        <v/>
      </c>
      <c r="AH80" s="175" t="str">
        <f t="shared" si="10"/>
        <v/>
      </c>
      <c r="AI80" s="173"/>
      <c r="AJ80" s="173"/>
      <c r="AK80" s="173"/>
      <c r="AL80" s="173"/>
      <c r="AM80" s="173"/>
      <c r="AN80" s="176" t="str">
        <f t="shared" si="11"/>
        <v/>
      </c>
      <c r="AO80" s="173"/>
      <c r="AP80" s="172" t="str">
        <f>IF(AO80="","",IFERROR(INDEX(PARAMETRES!$D$536:$D$586,MATCH(AO80,PARAMETRES!$J$536:$J$586,0)),""))</f>
        <v/>
      </c>
      <c r="AQ80" s="172" t="str">
        <f>IF(AO80="","",IFERROR(INDEX(PARAMETRES!$F$536:$F$586,MATCH(AO80,PARAMETRES!$J$536:$J$586,0)),""))</f>
        <v/>
      </c>
      <c r="AR80" s="173"/>
      <c r="AS80" s="173"/>
      <c r="AT80" s="173"/>
      <c r="AU80" s="173"/>
      <c r="AV80" s="173"/>
      <c r="AW80" s="173"/>
      <c r="AX80" s="173"/>
      <c r="AY80" s="175" t="str">
        <f t="shared" si="12"/>
        <v/>
      </c>
      <c r="AZ80" s="173"/>
    </row>
    <row r="81" spans="1:52" ht="15" customHeight="1">
      <c r="A81" s="172" t="str">
        <f t="shared" si="5"/>
        <v/>
      </c>
      <c r="B81" s="173"/>
      <c r="C81" s="174" t="str">
        <f>IF(B81="","",IFERROR(INDEX(tbl_Projets[Titre complet du projet],MATCH(B81,tbl_Projets[ID Projet],0)),""))</f>
        <v/>
      </c>
      <c r="D81" s="172" t="str">
        <f>IF(B81="","",IFERROR(INDEX(tbl_Projets[Domaine d''intervention],MATCH(B81,tbl_Projets[ID Projet],0)),""))</f>
        <v/>
      </c>
      <c r="E81" s="172" t="str">
        <f>IF(B81="","",IFERROR(INDEX(tbl_Projets[Statut du projet],MATCH(B81,tbl_Projets[ID Projet],0)),""))</f>
        <v/>
      </c>
      <c r="F81" s="173"/>
      <c r="G81" s="174" t="str">
        <f>IF(F81="","",IFERROR(INDEX(tbl_Activites[Intitule de l''activite],MATCH(F81,tbl_Activites[ID Activite],0)),""))</f>
        <v/>
      </c>
      <c r="H81" s="172" t="str">
        <f>IF(F81="","",IFERROR(INDEX(tbl_Activites[Statut de l''activite],MATCH(F81,tbl_Activites[ID Activite],0)),""))</f>
        <v/>
      </c>
      <c r="I81" s="173"/>
      <c r="J81" s="174" t="str">
        <f>IF(B81="","",IFERROR(INDEX(tbl_Projets[Objectif general],MATCH(B81,tbl_Projets[ID Projet],0)),""))</f>
        <v/>
      </c>
      <c r="K81" s="173"/>
      <c r="L81" s="173"/>
      <c r="M81" s="173"/>
      <c r="N81" s="173"/>
      <c r="O81" s="173"/>
      <c r="P81" s="173"/>
      <c r="Q81" s="173"/>
      <c r="R81" s="173"/>
      <c r="S81" s="173"/>
      <c r="T81" s="172" t="str">
        <f>IF(S81="","",IFERROR(INDEX(tbl_RH[Nom complet],MATCH(S81,tbl_RH[ID RH],0)),""))</f>
        <v/>
      </c>
      <c r="U81" s="172" t="str">
        <f>IF(S81="","",IFERROR(INDEX(tbl_RH[Fonction],MATCH(S81,tbl_RH[ID RH],0)),""))</f>
        <v/>
      </c>
      <c r="V81" s="173"/>
      <c r="W81" s="173"/>
      <c r="X81" s="173"/>
      <c r="Y81" s="173"/>
      <c r="Z81" s="173"/>
      <c r="AA81" s="173"/>
      <c r="AB81" s="173"/>
      <c r="AC81" s="175" t="str">
        <f>IF(AB81="","",INDEX(PARAMETRES!$C$53:$C$64,MONTH(AB81))&amp;" "&amp;YEAR(AB81))</f>
        <v/>
      </c>
      <c r="AD81" s="176" t="str">
        <f t="shared" si="6"/>
        <v/>
      </c>
      <c r="AE81" s="175" t="str">
        <f t="shared" si="7"/>
        <v/>
      </c>
      <c r="AF81" s="176" t="str">
        <f t="shared" si="8"/>
        <v/>
      </c>
      <c r="AG81" s="175" t="str">
        <f t="shared" si="9"/>
        <v/>
      </c>
      <c r="AH81" s="175" t="str">
        <f t="shared" si="10"/>
        <v/>
      </c>
      <c r="AI81" s="173"/>
      <c r="AJ81" s="173"/>
      <c r="AK81" s="173"/>
      <c r="AL81" s="173"/>
      <c r="AM81" s="173"/>
      <c r="AN81" s="176" t="str">
        <f t="shared" si="11"/>
        <v/>
      </c>
      <c r="AO81" s="173"/>
      <c r="AP81" s="172" t="str">
        <f>IF(AO81="","",IFERROR(INDEX(PARAMETRES!$D$536:$D$586,MATCH(AO81,PARAMETRES!$J$536:$J$586,0)),""))</f>
        <v/>
      </c>
      <c r="AQ81" s="172" t="str">
        <f>IF(AO81="","",IFERROR(INDEX(PARAMETRES!$F$536:$F$586,MATCH(AO81,PARAMETRES!$J$536:$J$586,0)),""))</f>
        <v/>
      </c>
      <c r="AR81" s="173"/>
      <c r="AS81" s="173"/>
      <c r="AT81" s="173"/>
      <c r="AU81" s="173"/>
      <c r="AV81" s="173"/>
      <c r="AW81" s="173"/>
      <c r="AX81" s="173"/>
      <c r="AY81" s="175" t="str">
        <f t="shared" si="12"/>
        <v/>
      </c>
      <c r="AZ81" s="173"/>
    </row>
    <row r="82" spans="1:52" ht="15" customHeight="1">
      <c r="A82" s="172" t="str">
        <f t="shared" si="5"/>
        <v/>
      </c>
      <c r="B82" s="173"/>
      <c r="C82" s="174" t="str">
        <f>IF(B82="","",IFERROR(INDEX(tbl_Projets[Titre complet du projet],MATCH(B82,tbl_Projets[ID Projet],0)),""))</f>
        <v/>
      </c>
      <c r="D82" s="172" t="str">
        <f>IF(B82="","",IFERROR(INDEX(tbl_Projets[Domaine d''intervention],MATCH(B82,tbl_Projets[ID Projet],0)),""))</f>
        <v/>
      </c>
      <c r="E82" s="172" t="str">
        <f>IF(B82="","",IFERROR(INDEX(tbl_Projets[Statut du projet],MATCH(B82,tbl_Projets[ID Projet],0)),""))</f>
        <v/>
      </c>
      <c r="F82" s="173"/>
      <c r="G82" s="174" t="str">
        <f>IF(F82="","",IFERROR(INDEX(tbl_Activites[Intitule de l''activite],MATCH(F82,tbl_Activites[ID Activite],0)),""))</f>
        <v/>
      </c>
      <c r="H82" s="172" t="str">
        <f>IF(F82="","",IFERROR(INDEX(tbl_Activites[Statut de l''activite],MATCH(F82,tbl_Activites[ID Activite],0)),""))</f>
        <v/>
      </c>
      <c r="I82" s="173"/>
      <c r="J82" s="174" t="str">
        <f>IF(B82="","",IFERROR(INDEX(tbl_Projets[Objectif general],MATCH(B82,tbl_Projets[ID Projet],0)),""))</f>
        <v/>
      </c>
      <c r="K82" s="173"/>
      <c r="L82" s="173"/>
      <c r="M82" s="173"/>
      <c r="N82" s="173"/>
      <c r="O82" s="173"/>
      <c r="P82" s="173"/>
      <c r="Q82" s="173"/>
      <c r="R82" s="173"/>
      <c r="S82" s="173"/>
      <c r="T82" s="172" t="str">
        <f>IF(S82="","",IFERROR(INDEX(tbl_RH[Nom complet],MATCH(S82,tbl_RH[ID RH],0)),""))</f>
        <v/>
      </c>
      <c r="U82" s="172" t="str">
        <f>IF(S82="","",IFERROR(INDEX(tbl_RH[Fonction],MATCH(S82,tbl_RH[ID RH],0)),""))</f>
        <v/>
      </c>
      <c r="V82" s="173"/>
      <c r="W82" s="173"/>
      <c r="X82" s="173"/>
      <c r="Y82" s="173"/>
      <c r="Z82" s="173"/>
      <c r="AA82" s="173"/>
      <c r="AB82" s="173"/>
      <c r="AC82" s="175" t="str">
        <f>IF(AB82="","",INDEX(PARAMETRES!$C$53:$C$64,MONTH(AB82))&amp;" "&amp;YEAR(AB82))</f>
        <v/>
      </c>
      <c r="AD82" s="176" t="str">
        <f t="shared" si="6"/>
        <v/>
      </c>
      <c r="AE82" s="175" t="str">
        <f t="shared" si="7"/>
        <v/>
      </c>
      <c r="AF82" s="176" t="str">
        <f t="shared" si="8"/>
        <v/>
      </c>
      <c r="AG82" s="175" t="str">
        <f t="shared" si="9"/>
        <v/>
      </c>
      <c r="AH82" s="175" t="str">
        <f t="shared" si="10"/>
        <v/>
      </c>
      <c r="AI82" s="173"/>
      <c r="AJ82" s="173"/>
      <c r="AK82" s="173"/>
      <c r="AL82" s="173"/>
      <c r="AM82" s="173"/>
      <c r="AN82" s="176" t="str">
        <f t="shared" si="11"/>
        <v/>
      </c>
      <c r="AO82" s="173"/>
      <c r="AP82" s="172" t="str">
        <f>IF(AO82="","",IFERROR(INDEX(PARAMETRES!$D$536:$D$586,MATCH(AO82,PARAMETRES!$J$536:$J$586,0)),""))</f>
        <v/>
      </c>
      <c r="AQ82" s="172" t="str">
        <f>IF(AO82="","",IFERROR(INDEX(PARAMETRES!$F$536:$F$586,MATCH(AO82,PARAMETRES!$J$536:$J$586,0)),""))</f>
        <v/>
      </c>
      <c r="AR82" s="173"/>
      <c r="AS82" s="173"/>
      <c r="AT82" s="173"/>
      <c r="AU82" s="173"/>
      <c r="AV82" s="173"/>
      <c r="AW82" s="173"/>
      <c r="AX82" s="173"/>
      <c r="AY82" s="175" t="str">
        <f t="shared" si="12"/>
        <v/>
      </c>
      <c r="AZ82" s="173"/>
    </row>
    <row r="83" spans="1:52" ht="15" customHeight="1">
      <c r="A83" s="172" t="str">
        <f t="shared" si="5"/>
        <v/>
      </c>
      <c r="B83" s="173"/>
      <c r="C83" s="174" t="str">
        <f>IF(B83="","",IFERROR(INDEX(tbl_Projets[Titre complet du projet],MATCH(B83,tbl_Projets[ID Projet],0)),""))</f>
        <v/>
      </c>
      <c r="D83" s="172" t="str">
        <f>IF(B83="","",IFERROR(INDEX(tbl_Projets[Domaine d''intervention],MATCH(B83,tbl_Projets[ID Projet],0)),""))</f>
        <v/>
      </c>
      <c r="E83" s="172" t="str">
        <f>IF(B83="","",IFERROR(INDEX(tbl_Projets[Statut du projet],MATCH(B83,tbl_Projets[ID Projet],0)),""))</f>
        <v/>
      </c>
      <c r="F83" s="173"/>
      <c r="G83" s="174" t="str">
        <f>IF(F83="","",IFERROR(INDEX(tbl_Activites[Intitule de l''activite],MATCH(F83,tbl_Activites[ID Activite],0)),""))</f>
        <v/>
      </c>
      <c r="H83" s="172" t="str">
        <f>IF(F83="","",IFERROR(INDEX(tbl_Activites[Statut de l''activite],MATCH(F83,tbl_Activites[ID Activite],0)),""))</f>
        <v/>
      </c>
      <c r="I83" s="173"/>
      <c r="J83" s="174" t="str">
        <f>IF(B83="","",IFERROR(INDEX(tbl_Projets[Objectif general],MATCH(B83,tbl_Projets[ID Projet],0)),""))</f>
        <v/>
      </c>
      <c r="K83" s="173"/>
      <c r="L83" s="173"/>
      <c r="M83" s="173"/>
      <c r="N83" s="173"/>
      <c r="O83" s="173"/>
      <c r="P83" s="173"/>
      <c r="Q83" s="173"/>
      <c r="R83" s="173"/>
      <c r="S83" s="173"/>
      <c r="T83" s="172" t="str">
        <f>IF(S83="","",IFERROR(INDEX(tbl_RH[Nom complet],MATCH(S83,tbl_RH[ID RH],0)),""))</f>
        <v/>
      </c>
      <c r="U83" s="172" t="str">
        <f>IF(S83="","",IFERROR(INDEX(tbl_RH[Fonction],MATCH(S83,tbl_RH[ID RH],0)),""))</f>
        <v/>
      </c>
      <c r="V83" s="173"/>
      <c r="W83" s="173"/>
      <c r="X83" s="173"/>
      <c r="Y83" s="173"/>
      <c r="Z83" s="173"/>
      <c r="AA83" s="173"/>
      <c r="AB83" s="173"/>
      <c r="AC83" s="175" t="str">
        <f>IF(AB83="","",INDEX(PARAMETRES!$C$53:$C$64,MONTH(AB83))&amp;" "&amp;YEAR(AB83))</f>
        <v/>
      </c>
      <c r="AD83" s="176" t="str">
        <f t="shared" si="6"/>
        <v/>
      </c>
      <c r="AE83" s="175" t="str">
        <f t="shared" si="7"/>
        <v/>
      </c>
      <c r="AF83" s="176" t="str">
        <f t="shared" si="8"/>
        <v/>
      </c>
      <c r="AG83" s="175" t="str">
        <f t="shared" si="9"/>
        <v/>
      </c>
      <c r="AH83" s="175" t="str">
        <f t="shared" si="10"/>
        <v/>
      </c>
      <c r="AI83" s="173"/>
      <c r="AJ83" s="173"/>
      <c r="AK83" s="173"/>
      <c r="AL83" s="173"/>
      <c r="AM83" s="173"/>
      <c r="AN83" s="176" t="str">
        <f t="shared" si="11"/>
        <v/>
      </c>
      <c r="AO83" s="173"/>
      <c r="AP83" s="172" t="str">
        <f>IF(AO83="","",IFERROR(INDEX(PARAMETRES!$D$536:$D$586,MATCH(AO83,PARAMETRES!$J$536:$J$586,0)),""))</f>
        <v/>
      </c>
      <c r="AQ83" s="172" t="str">
        <f>IF(AO83="","",IFERROR(INDEX(PARAMETRES!$F$536:$F$586,MATCH(AO83,PARAMETRES!$J$536:$J$586,0)),""))</f>
        <v/>
      </c>
      <c r="AR83" s="173"/>
      <c r="AS83" s="173"/>
      <c r="AT83" s="173"/>
      <c r="AU83" s="173"/>
      <c r="AV83" s="173"/>
      <c r="AW83" s="173"/>
      <c r="AX83" s="173"/>
      <c r="AY83" s="175" t="str">
        <f t="shared" si="12"/>
        <v/>
      </c>
      <c r="AZ83" s="173"/>
    </row>
    <row r="84" spans="1:52" ht="15" customHeight="1">
      <c r="A84" s="172" t="str">
        <f t="shared" si="5"/>
        <v/>
      </c>
      <c r="B84" s="173"/>
      <c r="C84" s="174" t="str">
        <f>IF(B84="","",IFERROR(INDEX(tbl_Projets[Titre complet du projet],MATCH(B84,tbl_Projets[ID Projet],0)),""))</f>
        <v/>
      </c>
      <c r="D84" s="172" t="str">
        <f>IF(B84="","",IFERROR(INDEX(tbl_Projets[Domaine d''intervention],MATCH(B84,tbl_Projets[ID Projet],0)),""))</f>
        <v/>
      </c>
      <c r="E84" s="172" t="str">
        <f>IF(B84="","",IFERROR(INDEX(tbl_Projets[Statut du projet],MATCH(B84,tbl_Projets[ID Projet],0)),""))</f>
        <v/>
      </c>
      <c r="F84" s="173"/>
      <c r="G84" s="174" t="str">
        <f>IF(F84="","",IFERROR(INDEX(tbl_Activites[Intitule de l''activite],MATCH(F84,tbl_Activites[ID Activite],0)),""))</f>
        <v/>
      </c>
      <c r="H84" s="172" t="str">
        <f>IF(F84="","",IFERROR(INDEX(tbl_Activites[Statut de l''activite],MATCH(F84,tbl_Activites[ID Activite],0)),""))</f>
        <v/>
      </c>
      <c r="I84" s="173"/>
      <c r="J84" s="174" t="str">
        <f>IF(B84="","",IFERROR(INDEX(tbl_Projets[Objectif general],MATCH(B84,tbl_Projets[ID Projet],0)),""))</f>
        <v/>
      </c>
      <c r="K84" s="173"/>
      <c r="L84" s="173"/>
      <c r="M84" s="173"/>
      <c r="N84" s="173"/>
      <c r="O84" s="173"/>
      <c r="P84" s="173"/>
      <c r="Q84" s="173"/>
      <c r="R84" s="173"/>
      <c r="S84" s="173"/>
      <c r="T84" s="172" t="str">
        <f>IF(S84="","",IFERROR(INDEX(tbl_RH[Nom complet],MATCH(S84,tbl_RH[ID RH],0)),""))</f>
        <v/>
      </c>
      <c r="U84" s="172" t="str">
        <f>IF(S84="","",IFERROR(INDEX(tbl_RH[Fonction],MATCH(S84,tbl_RH[ID RH],0)),""))</f>
        <v/>
      </c>
      <c r="V84" s="173"/>
      <c r="W84" s="173"/>
      <c r="X84" s="173"/>
      <c r="Y84" s="173"/>
      <c r="Z84" s="173"/>
      <c r="AA84" s="173"/>
      <c r="AB84" s="173"/>
      <c r="AC84" s="175" t="str">
        <f>IF(AB84="","",INDEX(PARAMETRES!$C$53:$C$64,MONTH(AB84))&amp;" "&amp;YEAR(AB84))</f>
        <v/>
      </c>
      <c r="AD84" s="176" t="str">
        <f t="shared" si="6"/>
        <v/>
      </c>
      <c r="AE84" s="175" t="str">
        <f t="shared" si="7"/>
        <v/>
      </c>
      <c r="AF84" s="176" t="str">
        <f t="shared" si="8"/>
        <v/>
      </c>
      <c r="AG84" s="175" t="str">
        <f t="shared" si="9"/>
        <v/>
      </c>
      <c r="AH84" s="175" t="str">
        <f t="shared" si="10"/>
        <v/>
      </c>
      <c r="AI84" s="173"/>
      <c r="AJ84" s="173"/>
      <c r="AK84" s="173"/>
      <c r="AL84" s="173"/>
      <c r="AM84" s="173"/>
      <c r="AN84" s="176" t="str">
        <f t="shared" si="11"/>
        <v/>
      </c>
      <c r="AO84" s="173"/>
      <c r="AP84" s="172" t="str">
        <f>IF(AO84="","",IFERROR(INDEX(PARAMETRES!$D$536:$D$586,MATCH(AO84,PARAMETRES!$J$536:$J$586,0)),""))</f>
        <v/>
      </c>
      <c r="AQ84" s="172" t="str">
        <f>IF(AO84="","",IFERROR(INDEX(PARAMETRES!$F$536:$F$586,MATCH(AO84,PARAMETRES!$J$536:$J$586,0)),""))</f>
        <v/>
      </c>
      <c r="AR84" s="173"/>
      <c r="AS84" s="173"/>
      <c r="AT84" s="173"/>
      <c r="AU84" s="173"/>
      <c r="AV84" s="173"/>
      <c r="AW84" s="173"/>
      <c r="AX84" s="173"/>
      <c r="AY84" s="175" t="str">
        <f t="shared" si="12"/>
        <v/>
      </c>
      <c r="AZ84" s="173"/>
    </row>
    <row r="85" spans="1:52" ht="15" customHeight="1">
      <c r="A85" s="172" t="str">
        <f t="shared" si="5"/>
        <v/>
      </c>
      <c r="B85" s="173"/>
      <c r="C85" s="174" t="str">
        <f>IF(B85="","",IFERROR(INDEX(tbl_Projets[Titre complet du projet],MATCH(B85,tbl_Projets[ID Projet],0)),""))</f>
        <v/>
      </c>
      <c r="D85" s="172" t="str">
        <f>IF(B85="","",IFERROR(INDEX(tbl_Projets[Domaine d''intervention],MATCH(B85,tbl_Projets[ID Projet],0)),""))</f>
        <v/>
      </c>
      <c r="E85" s="172" t="str">
        <f>IF(B85="","",IFERROR(INDEX(tbl_Projets[Statut du projet],MATCH(B85,tbl_Projets[ID Projet],0)),""))</f>
        <v/>
      </c>
      <c r="F85" s="173"/>
      <c r="G85" s="174" t="str">
        <f>IF(F85="","",IFERROR(INDEX(tbl_Activites[Intitule de l''activite],MATCH(F85,tbl_Activites[ID Activite],0)),""))</f>
        <v/>
      </c>
      <c r="H85" s="172" t="str">
        <f>IF(F85="","",IFERROR(INDEX(tbl_Activites[Statut de l''activite],MATCH(F85,tbl_Activites[ID Activite],0)),""))</f>
        <v/>
      </c>
      <c r="I85" s="173"/>
      <c r="J85" s="174" t="str">
        <f>IF(B85="","",IFERROR(INDEX(tbl_Projets[Objectif general],MATCH(B85,tbl_Projets[ID Projet],0)),""))</f>
        <v/>
      </c>
      <c r="K85" s="173"/>
      <c r="L85" s="173"/>
      <c r="M85" s="173"/>
      <c r="N85" s="173"/>
      <c r="O85" s="173"/>
      <c r="P85" s="173"/>
      <c r="Q85" s="173"/>
      <c r="R85" s="173"/>
      <c r="S85" s="173"/>
      <c r="T85" s="172" t="str">
        <f>IF(S85="","",IFERROR(INDEX(tbl_RH[Nom complet],MATCH(S85,tbl_RH[ID RH],0)),""))</f>
        <v/>
      </c>
      <c r="U85" s="172" t="str">
        <f>IF(S85="","",IFERROR(INDEX(tbl_RH[Fonction],MATCH(S85,tbl_RH[ID RH],0)),""))</f>
        <v/>
      </c>
      <c r="V85" s="173"/>
      <c r="W85" s="173"/>
      <c r="X85" s="173"/>
      <c r="Y85" s="173"/>
      <c r="Z85" s="173"/>
      <c r="AA85" s="173"/>
      <c r="AB85" s="173"/>
      <c r="AC85" s="175" t="str">
        <f>IF(AB85="","",INDEX(PARAMETRES!$C$53:$C$64,MONTH(AB85))&amp;" "&amp;YEAR(AB85))</f>
        <v/>
      </c>
      <c r="AD85" s="176" t="str">
        <f t="shared" si="6"/>
        <v/>
      </c>
      <c r="AE85" s="175" t="str">
        <f t="shared" si="7"/>
        <v/>
      </c>
      <c r="AF85" s="176" t="str">
        <f t="shared" si="8"/>
        <v/>
      </c>
      <c r="AG85" s="175" t="str">
        <f t="shared" si="9"/>
        <v/>
      </c>
      <c r="AH85" s="175" t="str">
        <f t="shared" si="10"/>
        <v/>
      </c>
      <c r="AI85" s="173"/>
      <c r="AJ85" s="173"/>
      <c r="AK85" s="173"/>
      <c r="AL85" s="173"/>
      <c r="AM85" s="173"/>
      <c r="AN85" s="176" t="str">
        <f t="shared" si="11"/>
        <v/>
      </c>
      <c r="AO85" s="173"/>
      <c r="AP85" s="172" t="str">
        <f>IF(AO85="","",IFERROR(INDEX(PARAMETRES!$D$536:$D$586,MATCH(AO85,PARAMETRES!$J$536:$J$586,0)),""))</f>
        <v/>
      </c>
      <c r="AQ85" s="172" t="str">
        <f>IF(AO85="","",IFERROR(INDEX(PARAMETRES!$F$536:$F$586,MATCH(AO85,PARAMETRES!$J$536:$J$586,0)),""))</f>
        <v/>
      </c>
      <c r="AR85" s="173"/>
      <c r="AS85" s="173"/>
      <c r="AT85" s="173"/>
      <c r="AU85" s="173"/>
      <c r="AV85" s="173"/>
      <c r="AW85" s="173"/>
      <c r="AX85" s="173"/>
      <c r="AY85" s="175" t="str">
        <f t="shared" si="12"/>
        <v/>
      </c>
      <c r="AZ85" s="173"/>
    </row>
    <row r="86" spans="1:52" ht="15" customHeight="1">
      <c r="A86" s="172" t="str">
        <f t="shared" si="5"/>
        <v/>
      </c>
      <c r="B86" s="173"/>
      <c r="C86" s="174" t="str">
        <f>IF(B86="","",IFERROR(INDEX(tbl_Projets[Titre complet du projet],MATCH(B86,tbl_Projets[ID Projet],0)),""))</f>
        <v/>
      </c>
      <c r="D86" s="172" t="str">
        <f>IF(B86="","",IFERROR(INDEX(tbl_Projets[Domaine d''intervention],MATCH(B86,tbl_Projets[ID Projet],0)),""))</f>
        <v/>
      </c>
      <c r="E86" s="172" t="str">
        <f>IF(B86="","",IFERROR(INDEX(tbl_Projets[Statut du projet],MATCH(B86,tbl_Projets[ID Projet],0)),""))</f>
        <v/>
      </c>
      <c r="F86" s="173"/>
      <c r="G86" s="174" t="str">
        <f>IF(F86="","",IFERROR(INDEX(tbl_Activites[Intitule de l''activite],MATCH(F86,tbl_Activites[ID Activite],0)),""))</f>
        <v/>
      </c>
      <c r="H86" s="172" t="str">
        <f>IF(F86="","",IFERROR(INDEX(tbl_Activites[Statut de l''activite],MATCH(F86,tbl_Activites[ID Activite],0)),""))</f>
        <v/>
      </c>
      <c r="I86" s="173"/>
      <c r="J86" s="174" t="str">
        <f>IF(B86="","",IFERROR(INDEX(tbl_Projets[Objectif general],MATCH(B86,tbl_Projets[ID Projet],0)),""))</f>
        <v/>
      </c>
      <c r="K86" s="173"/>
      <c r="L86" s="173"/>
      <c r="M86" s="173"/>
      <c r="N86" s="173"/>
      <c r="O86" s="173"/>
      <c r="P86" s="173"/>
      <c r="Q86" s="173"/>
      <c r="R86" s="173"/>
      <c r="S86" s="173"/>
      <c r="T86" s="172" t="str">
        <f>IF(S86="","",IFERROR(INDEX(tbl_RH[Nom complet],MATCH(S86,tbl_RH[ID RH],0)),""))</f>
        <v/>
      </c>
      <c r="U86" s="172" t="str">
        <f>IF(S86="","",IFERROR(INDEX(tbl_RH[Fonction],MATCH(S86,tbl_RH[ID RH],0)),""))</f>
        <v/>
      </c>
      <c r="V86" s="173"/>
      <c r="W86" s="173"/>
      <c r="X86" s="173"/>
      <c r="Y86" s="173"/>
      <c r="Z86" s="173"/>
      <c r="AA86" s="173"/>
      <c r="AB86" s="173"/>
      <c r="AC86" s="175" t="str">
        <f>IF(AB86="","",INDEX(PARAMETRES!$C$53:$C$64,MONTH(AB86))&amp;" "&amp;YEAR(AB86))</f>
        <v/>
      </c>
      <c r="AD86" s="176" t="str">
        <f t="shared" si="6"/>
        <v/>
      </c>
      <c r="AE86" s="175" t="str">
        <f t="shared" si="7"/>
        <v/>
      </c>
      <c r="AF86" s="176" t="str">
        <f t="shared" si="8"/>
        <v/>
      </c>
      <c r="AG86" s="175" t="str">
        <f t="shared" si="9"/>
        <v/>
      </c>
      <c r="AH86" s="175" t="str">
        <f t="shared" si="10"/>
        <v/>
      </c>
      <c r="AI86" s="173"/>
      <c r="AJ86" s="173"/>
      <c r="AK86" s="173"/>
      <c r="AL86" s="173"/>
      <c r="AM86" s="173"/>
      <c r="AN86" s="176" t="str">
        <f t="shared" si="11"/>
        <v/>
      </c>
      <c r="AO86" s="173"/>
      <c r="AP86" s="172" t="str">
        <f>IF(AO86="","",IFERROR(INDEX(PARAMETRES!$D$536:$D$586,MATCH(AO86,PARAMETRES!$J$536:$J$586,0)),""))</f>
        <v/>
      </c>
      <c r="AQ86" s="172" t="str">
        <f>IF(AO86="","",IFERROR(INDEX(PARAMETRES!$F$536:$F$586,MATCH(AO86,PARAMETRES!$J$536:$J$586,0)),""))</f>
        <v/>
      </c>
      <c r="AR86" s="173"/>
      <c r="AS86" s="173"/>
      <c r="AT86" s="173"/>
      <c r="AU86" s="173"/>
      <c r="AV86" s="173"/>
      <c r="AW86" s="173"/>
      <c r="AX86" s="173"/>
      <c r="AY86" s="175" t="str">
        <f t="shared" si="12"/>
        <v/>
      </c>
      <c r="AZ86" s="173"/>
    </row>
    <row r="87" spans="1:52" ht="15" customHeight="1">
      <c r="A87" s="172" t="str">
        <f t="shared" ref="A87:A104" si="13">IF(M87="","","IND"&amp;TEXT(ROW()-54,"00000"))</f>
        <v/>
      </c>
      <c r="B87" s="173"/>
      <c r="C87" s="174" t="str">
        <f>IF(B87="","",IFERROR(INDEX(tbl_Projets[Titre complet du projet],MATCH(B87,tbl_Projets[ID Projet],0)),""))</f>
        <v/>
      </c>
      <c r="D87" s="172" t="str">
        <f>IF(B87="","",IFERROR(INDEX(tbl_Projets[Domaine d''intervention],MATCH(B87,tbl_Projets[ID Projet],0)),""))</f>
        <v/>
      </c>
      <c r="E87" s="172" t="str">
        <f>IF(B87="","",IFERROR(INDEX(tbl_Projets[Statut du projet],MATCH(B87,tbl_Projets[ID Projet],0)),""))</f>
        <v/>
      </c>
      <c r="F87" s="173"/>
      <c r="G87" s="174" t="str">
        <f>IF(F87="","",IFERROR(INDEX(tbl_Activites[Intitule de l''activite],MATCH(F87,tbl_Activites[ID Activite],0)),""))</f>
        <v/>
      </c>
      <c r="H87" s="172" t="str">
        <f>IF(F87="","",IFERROR(INDEX(tbl_Activites[Statut de l''activite],MATCH(F87,tbl_Activites[ID Activite],0)),""))</f>
        <v/>
      </c>
      <c r="I87" s="173"/>
      <c r="J87" s="174" t="str">
        <f>IF(B87="","",IFERROR(INDEX(tbl_Projets[Objectif general],MATCH(B87,tbl_Projets[ID Projet],0)),""))</f>
        <v/>
      </c>
      <c r="K87" s="173"/>
      <c r="L87" s="173"/>
      <c r="M87" s="173"/>
      <c r="N87" s="173"/>
      <c r="O87" s="173"/>
      <c r="P87" s="173"/>
      <c r="Q87" s="173"/>
      <c r="R87" s="173"/>
      <c r="S87" s="173"/>
      <c r="T87" s="172" t="str">
        <f>IF(S87="","",IFERROR(INDEX(tbl_RH[Nom complet],MATCH(S87,tbl_RH[ID RH],0)),""))</f>
        <v/>
      </c>
      <c r="U87" s="172" t="str">
        <f>IF(S87="","",IFERROR(INDEX(tbl_RH[Fonction],MATCH(S87,tbl_RH[ID RH],0)),""))</f>
        <v/>
      </c>
      <c r="V87" s="173"/>
      <c r="W87" s="173"/>
      <c r="X87" s="173"/>
      <c r="Y87" s="173"/>
      <c r="Z87" s="173"/>
      <c r="AA87" s="173"/>
      <c r="AB87" s="173"/>
      <c r="AC87" s="175" t="str">
        <f>IF(AB87="","",INDEX(PARAMETRES!$C$53:$C$64,MONTH(AB87))&amp;" "&amp;YEAR(AB87))</f>
        <v/>
      </c>
      <c r="AD87" s="176" t="str">
        <f t="shared" ref="AD87:AD104" si="14">IF(OR(M87="",AA87=""),"",IF(AND(Z87&lt;&gt;"",Z87&lt;&gt;0),IFERROR(AA87/Z87,""),IF(AND(Y87&lt;&gt;"",Y87&lt;&gt;0),IFERROR(AA87/Y87,""),"")))</f>
        <v/>
      </c>
      <c r="AE87" s="175" t="str">
        <f t="shared" ref="AE87:AE104" si="15">IF(AD87="","",IF(AND(Z87&lt;&gt;"",Z87&lt;&gt;0),AA87-Z87,IF(AND(Y87&lt;&gt;"",Y87&lt;&gt;0),AA87-Y87,"")))</f>
        <v/>
      </c>
      <c r="AF87" s="176" t="str">
        <f t="shared" ref="AF87:AF104" si="16">IF(AD87="","",AD87-1)</f>
        <v/>
      </c>
      <c r="AG87" s="175" t="str">
        <f t="shared" ref="AG87:AG104" si="17">IF(AD87="","",IF(AD87&gt;=1,"Excellent",IF(AD87&gt;=0.9,"Bon",IF(AD87&gt;=0.7,"Moyen",IF(AD87&gt;=0.5,"Faible","Critique")))))</f>
        <v/>
      </c>
      <c r="AH87" s="175" t="str">
        <f t="shared" ref="AH87:AH104" si="18">IF(AD87="","",IF(AD87&gt;=1,"OK - Cible atteinte",IF(AD87&gt;=0.8,"Attention","Insuffisant")))</f>
        <v/>
      </c>
      <c r="AI87" s="173"/>
      <c r="AJ87" s="173"/>
      <c r="AK87" s="173"/>
      <c r="AL87" s="173"/>
      <c r="AM87" s="173"/>
      <c r="AN87" s="176" t="str">
        <f t="shared" ref="AN87:AN104" si="19">IF(AI87="","",IF(AI87=0,"",IFERROR(AJ87/AI87,"")))</f>
        <v/>
      </c>
      <c r="AO87" s="173"/>
      <c r="AP87" s="172" t="str">
        <f>IF(AO87="","",IFERROR(INDEX(PARAMETRES!$D$536:$D$586,MATCH(AO87,PARAMETRES!$J$536:$J$586,0)),""))</f>
        <v/>
      </c>
      <c r="AQ87" s="172" t="str">
        <f>IF(AO87="","",IFERROR(INDEX(PARAMETRES!$F$536:$F$586,MATCH(AO87,PARAMETRES!$J$536:$J$586,0)),""))</f>
        <v/>
      </c>
      <c r="AR87" s="173"/>
      <c r="AS87" s="173"/>
      <c r="AT87" s="173"/>
      <c r="AU87" s="173"/>
      <c r="AV87" s="173"/>
      <c r="AW87" s="173"/>
      <c r="AX87" s="173"/>
      <c r="AY87" s="175" t="str">
        <f t="shared" ref="AY87:AY104" si="20">IF(M87="","",IF(AND(AA87="",OR(Y87&lt;&gt;"",Z87&lt;&gt;"")),"Donnee manquante",IF(AD87&lt;0.8,"Cible non atteinte",IF(AD87&lt;1,"A surveiller","OK"))))</f>
        <v/>
      </c>
      <c r="AZ87" s="173"/>
    </row>
    <row r="88" spans="1:52" ht="15" customHeight="1">
      <c r="A88" s="172" t="str">
        <f t="shared" si="13"/>
        <v/>
      </c>
      <c r="B88" s="173"/>
      <c r="C88" s="174" t="str">
        <f>IF(B88="","",IFERROR(INDEX(tbl_Projets[Titre complet du projet],MATCH(B88,tbl_Projets[ID Projet],0)),""))</f>
        <v/>
      </c>
      <c r="D88" s="172" t="str">
        <f>IF(B88="","",IFERROR(INDEX(tbl_Projets[Domaine d''intervention],MATCH(B88,tbl_Projets[ID Projet],0)),""))</f>
        <v/>
      </c>
      <c r="E88" s="172" t="str">
        <f>IF(B88="","",IFERROR(INDEX(tbl_Projets[Statut du projet],MATCH(B88,tbl_Projets[ID Projet],0)),""))</f>
        <v/>
      </c>
      <c r="F88" s="173"/>
      <c r="G88" s="174" t="str">
        <f>IF(F88="","",IFERROR(INDEX(tbl_Activites[Intitule de l''activite],MATCH(F88,tbl_Activites[ID Activite],0)),""))</f>
        <v/>
      </c>
      <c r="H88" s="172" t="str">
        <f>IF(F88="","",IFERROR(INDEX(tbl_Activites[Statut de l''activite],MATCH(F88,tbl_Activites[ID Activite],0)),""))</f>
        <v/>
      </c>
      <c r="I88" s="173"/>
      <c r="J88" s="174" t="str">
        <f>IF(B88="","",IFERROR(INDEX(tbl_Projets[Objectif general],MATCH(B88,tbl_Projets[ID Projet],0)),""))</f>
        <v/>
      </c>
      <c r="K88" s="173"/>
      <c r="L88" s="173"/>
      <c r="M88" s="173"/>
      <c r="N88" s="173"/>
      <c r="O88" s="173"/>
      <c r="P88" s="173"/>
      <c r="Q88" s="173"/>
      <c r="R88" s="173"/>
      <c r="S88" s="173"/>
      <c r="T88" s="172" t="str">
        <f>IF(S88="","",IFERROR(INDEX(tbl_RH[Nom complet],MATCH(S88,tbl_RH[ID RH],0)),""))</f>
        <v/>
      </c>
      <c r="U88" s="172" t="str">
        <f>IF(S88="","",IFERROR(INDEX(tbl_RH[Fonction],MATCH(S88,tbl_RH[ID RH],0)),""))</f>
        <v/>
      </c>
      <c r="V88" s="173"/>
      <c r="W88" s="173"/>
      <c r="X88" s="173"/>
      <c r="Y88" s="173"/>
      <c r="Z88" s="173"/>
      <c r="AA88" s="173"/>
      <c r="AB88" s="173"/>
      <c r="AC88" s="175" t="str">
        <f>IF(AB88="","",INDEX(PARAMETRES!$C$53:$C$64,MONTH(AB88))&amp;" "&amp;YEAR(AB88))</f>
        <v/>
      </c>
      <c r="AD88" s="176" t="str">
        <f t="shared" si="14"/>
        <v/>
      </c>
      <c r="AE88" s="175" t="str">
        <f t="shared" si="15"/>
        <v/>
      </c>
      <c r="AF88" s="176" t="str">
        <f t="shared" si="16"/>
        <v/>
      </c>
      <c r="AG88" s="175" t="str">
        <f t="shared" si="17"/>
        <v/>
      </c>
      <c r="AH88" s="175" t="str">
        <f t="shared" si="18"/>
        <v/>
      </c>
      <c r="AI88" s="173"/>
      <c r="AJ88" s="173"/>
      <c r="AK88" s="173"/>
      <c r="AL88" s="173"/>
      <c r="AM88" s="173"/>
      <c r="AN88" s="176" t="str">
        <f t="shared" si="19"/>
        <v/>
      </c>
      <c r="AO88" s="173"/>
      <c r="AP88" s="172" t="str">
        <f>IF(AO88="","",IFERROR(INDEX(PARAMETRES!$D$536:$D$586,MATCH(AO88,PARAMETRES!$J$536:$J$586,0)),""))</f>
        <v/>
      </c>
      <c r="AQ88" s="172" t="str">
        <f>IF(AO88="","",IFERROR(INDEX(PARAMETRES!$F$536:$F$586,MATCH(AO88,PARAMETRES!$J$536:$J$586,0)),""))</f>
        <v/>
      </c>
      <c r="AR88" s="173"/>
      <c r="AS88" s="173"/>
      <c r="AT88" s="173"/>
      <c r="AU88" s="173"/>
      <c r="AV88" s="173"/>
      <c r="AW88" s="173"/>
      <c r="AX88" s="173"/>
      <c r="AY88" s="175" t="str">
        <f t="shared" si="20"/>
        <v/>
      </c>
      <c r="AZ88" s="173"/>
    </row>
    <row r="89" spans="1:52" ht="15" customHeight="1">
      <c r="A89" s="172" t="str">
        <f t="shared" si="13"/>
        <v/>
      </c>
      <c r="B89" s="173"/>
      <c r="C89" s="174" t="str">
        <f>IF(B89="","",IFERROR(INDEX(tbl_Projets[Titre complet du projet],MATCH(B89,tbl_Projets[ID Projet],0)),""))</f>
        <v/>
      </c>
      <c r="D89" s="172" t="str">
        <f>IF(B89="","",IFERROR(INDEX(tbl_Projets[Domaine d''intervention],MATCH(B89,tbl_Projets[ID Projet],0)),""))</f>
        <v/>
      </c>
      <c r="E89" s="172" t="str">
        <f>IF(B89="","",IFERROR(INDEX(tbl_Projets[Statut du projet],MATCH(B89,tbl_Projets[ID Projet],0)),""))</f>
        <v/>
      </c>
      <c r="F89" s="173"/>
      <c r="G89" s="174" t="str">
        <f>IF(F89="","",IFERROR(INDEX(tbl_Activites[Intitule de l''activite],MATCH(F89,tbl_Activites[ID Activite],0)),""))</f>
        <v/>
      </c>
      <c r="H89" s="172" t="str">
        <f>IF(F89="","",IFERROR(INDEX(tbl_Activites[Statut de l''activite],MATCH(F89,tbl_Activites[ID Activite],0)),""))</f>
        <v/>
      </c>
      <c r="I89" s="173"/>
      <c r="J89" s="174" t="str">
        <f>IF(B89="","",IFERROR(INDEX(tbl_Projets[Objectif general],MATCH(B89,tbl_Projets[ID Projet],0)),""))</f>
        <v/>
      </c>
      <c r="K89" s="173"/>
      <c r="L89" s="173"/>
      <c r="M89" s="173"/>
      <c r="N89" s="173"/>
      <c r="O89" s="173"/>
      <c r="P89" s="173"/>
      <c r="Q89" s="173"/>
      <c r="R89" s="173"/>
      <c r="S89" s="173"/>
      <c r="T89" s="172" t="str">
        <f>IF(S89="","",IFERROR(INDEX(tbl_RH[Nom complet],MATCH(S89,tbl_RH[ID RH],0)),""))</f>
        <v/>
      </c>
      <c r="U89" s="172" t="str">
        <f>IF(S89="","",IFERROR(INDEX(tbl_RH[Fonction],MATCH(S89,tbl_RH[ID RH],0)),""))</f>
        <v/>
      </c>
      <c r="V89" s="173"/>
      <c r="W89" s="173"/>
      <c r="X89" s="173"/>
      <c r="Y89" s="173"/>
      <c r="Z89" s="173"/>
      <c r="AA89" s="173"/>
      <c r="AB89" s="173"/>
      <c r="AC89" s="175" t="str">
        <f>IF(AB89="","",INDEX(PARAMETRES!$C$53:$C$64,MONTH(AB89))&amp;" "&amp;YEAR(AB89))</f>
        <v/>
      </c>
      <c r="AD89" s="176" t="str">
        <f t="shared" si="14"/>
        <v/>
      </c>
      <c r="AE89" s="175" t="str">
        <f t="shared" si="15"/>
        <v/>
      </c>
      <c r="AF89" s="176" t="str">
        <f t="shared" si="16"/>
        <v/>
      </c>
      <c r="AG89" s="175" t="str">
        <f t="shared" si="17"/>
        <v/>
      </c>
      <c r="AH89" s="175" t="str">
        <f t="shared" si="18"/>
        <v/>
      </c>
      <c r="AI89" s="173"/>
      <c r="AJ89" s="173"/>
      <c r="AK89" s="173"/>
      <c r="AL89" s="173"/>
      <c r="AM89" s="173"/>
      <c r="AN89" s="176" t="str">
        <f t="shared" si="19"/>
        <v/>
      </c>
      <c r="AO89" s="173"/>
      <c r="AP89" s="172" t="str">
        <f>IF(AO89="","",IFERROR(INDEX(PARAMETRES!$D$536:$D$586,MATCH(AO89,PARAMETRES!$J$536:$J$586,0)),""))</f>
        <v/>
      </c>
      <c r="AQ89" s="172" t="str">
        <f>IF(AO89="","",IFERROR(INDEX(PARAMETRES!$F$536:$F$586,MATCH(AO89,PARAMETRES!$J$536:$J$586,0)),""))</f>
        <v/>
      </c>
      <c r="AR89" s="173"/>
      <c r="AS89" s="173"/>
      <c r="AT89" s="173"/>
      <c r="AU89" s="173"/>
      <c r="AV89" s="173"/>
      <c r="AW89" s="173"/>
      <c r="AX89" s="173"/>
      <c r="AY89" s="175" t="str">
        <f t="shared" si="20"/>
        <v/>
      </c>
      <c r="AZ89" s="173"/>
    </row>
    <row r="90" spans="1:52" ht="15" customHeight="1">
      <c r="A90" s="172" t="str">
        <f t="shared" si="13"/>
        <v/>
      </c>
      <c r="B90" s="173"/>
      <c r="C90" s="174" t="str">
        <f>IF(B90="","",IFERROR(INDEX(tbl_Projets[Titre complet du projet],MATCH(B90,tbl_Projets[ID Projet],0)),""))</f>
        <v/>
      </c>
      <c r="D90" s="172" t="str">
        <f>IF(B90="","",IFERROR(INDEX(tbl_Projets[Domaine d''intervention],MATCH(B90,tbl_Projets[ID Projet],0)),""))</f>
        <v/>
      </c>
      <c r="E90" s="172" t="str">
        <f>IF(B90="","",IFERROR(INDEX(tbl_Projets[Statut du projet],MATCH(B90,tbl_Projets[ID Projet],0)),""))</f>
        <v/>
      </c>
      <c r="F90" s="173"/>
      <c r="G90" s="174" t="str">
        <f>IF(F90="","",IFERROR(INDEX(tbl_Activites[Intitule de l''activite],MATCH(F90,tbl_Activites[ID Activite],0)),""))</f>
        <v/>
      </c>
      <c r="H90" s="172" t="str">
        <f>IF(F90="","",IFERROR(INDEX(tbl_Activites[Statut de l''activite],MATCH(F90,tbl_Activites[ID Activite],0)),""))</f>
        <v/>
      </c>
      <c r="I90" s="173"/>
      <c r="J90" s="174" t="str">
        <f>IF(B90="","",IFERROR(INDEX(tbl_Projets[Objectif general],MATCH(B90,tbl_Projets[ID Projet],0)),""))</f>
        <v/>
      </c>
      <c r="K90" s="173"/>
      <c r="L90" s="173"/>
      <c r="M90" s="173"/>
      <c r="N90" s="173"/>
      <c r="O90" s="173"/>
      <c r="P90" s="173"/>
      <c r="Q90" s="173"/>
      <c r="R90" s="173"/>
      <c r="S90" s="173"/>
      <c r="T90" s="172" t="str">
        <f>IF(S90="","",IFERROR(INDEX(tbl_RH[Nom complet],MATCH(S90,tbl_RH[ID RH],0)),""))</f>
        <v/>
      </c>
      <c r="U90" s="172" t="str">
        <f>IF(S90="","",IFERROR(INDEX(tbl_RH[Fonction],MATCH(S90,tbl_RH[ID RH],0)),""))</f>
        <v/>
      </c>
      <c r="V90" s="173"/>
      <c r="W90" s="173"/>
      <c r="X90" s="173"/>
      <c r="Y90" s="173"/>
      <c r="Z90" s="173"/>
      <c r="AA90" s="173"/>
      <c r="AB90" s="173"/>
      <c r="AC90" s="175" t="str">
        <f>IF(AB90="","",INDEX(PARAMETRES!$C$53:$C$64,MONTH(AB90))&amp;" "&amp;YEAR(AB90))</f>
        <v/>
      </c>
      <c r="AD90" s="176" t="str">
        <f t="shared" si="14"/>
        <v/>
      </c>
      <c r="AE90" s="175" t="str">
        <f t="shared" si="15"/>
        <v/>
      </c>
      <c r="AF90" s="176" t="str">
        <f t="shared" si="16"/>
        <v/>
      </c>
      <c r="AG90" s="175" t="str">
        <f t="shared" si="17"/>
        <v/>
      </c>
      <c r="AH90" s="175" t="str">
        <f t="shared" si="18"/>
        <v/>
      </c>
      <c r="AI90" s="173"/>
      <c r="AJ90" s="173"/>
      <c r="AK90" s="173"/>
      <c r="AL90" s="173"/>
      <c r="AM90" s="173"/>
      <c r="AN90" s="176" t="str">
        <f t="shared" si="19"/>
        <v/>
      </c>
      <c r="AO90" s="173"/>
      <c r="AP90" s="172" t="str">
        <f>IF(AO90="","",IFERROR(INDEX(PARAMETRES!$D$536:$D$586,MATCH(AO90,PARAMETRES!$J$536:$J$586,0)),""))</f>
        <v/>
      </c>
      <c r="AQ90" s="172" t="str">
        <f>IF(AO90="","",IFERROR(INDEX(PARAMETRES!$F$536:$F$586,MATCH(AO90,PARAMETRES!$J$536:$J$586,0)),""))</f>
        <v/>
      </c>
      <c r="AR90" s="173"/>
      <c r="AS90" s="173"/>
      <c r="AT90" s="173"/>
      <c r="AU90" s="173"/>
      <c r="AV90" s="173"/>
      <c r="AW90" s="173"/>
      <c r="AX90" s="173"/>
      <c r="AY90" s="175" t="str">
        <f t="shared" si="20"/>
        <v/>
      </c>
      <c r="AZ90" s="173"/>
    </row>
    <row r="91" spans="1:52" ht="15" customHeight="1">
      <c r="A91" s="172" t="str">
        <f t="shared" si="13"/>
        <v/>
      </c>
      <c r="B91" s="173"/>
      <c r="C91" s="174" t="str">
        <f>IF(B91="","",IFERROR(INDEX(tbl_Projets[Titre complet du projet],MATCH(B91,tbl_Projets[ID Projet],0)),""))</f>
        <v/>
      </c>
      <c r="D91" s="172" t="str">
        <f>IF(B91="","",IFERROR(INDEX(tbl_Projets[Domaine d''intervention],MATCH(B91,tbl_Projets[ID Projet],0)),""))</f>
        <v/>
      </c>
      <c r="E91" s="172" t="str">
        <f>IF(B91="","",IFERROR(INDEX(tbl_Projets[Statut du projet],MATCH(B91,tbl_Projets[ID Projet],0)),""))</f>
        <v/>
      </c>
      <c r="F91" s="173"/>
      <c r="G91" s="174" t="str">
        <f>IF(F91="","",IFERROR(INDEX(tbl_Activites[Intitule de l''activite],MATCH(F91,tbl_Activites[ID Activite],0)),""))</f>
        <v/>
      </c>
      <c r="H91" s="172" t="str">
        <f>IF(F91="","",IFERROR(INDEX(tbl_Activites[Statut de l''activite],MATCH(F91,tbl_Activites[ID Activite],0)),""))</f>
        <v/>
      </c>
      <c r="I91" s="173"/>
      <c r="J91" s="174" t="str">
        <f>IF(B91="","",IFERROR(INDEX(tbl_Projets[Objectif general],MATCH(B91,tbl_Projets[ID Projet],0)),""))</f>
        <v/>
      </c>
      <c r="K91" s="173"/>
      <c r="L91" s="173"/>
      <c r="M91" s="173"/>
      <c r="N91" s="173"/>
      <c r="O91" s="173"/>
      <c r="P91" s="173"/>
      <c r="Q91" s="173"/>
      <c r="R91" s="173"/>
      <c r="S91" s="173"/>
      <c r="T91" s="172" t="str">
        <f>IF(S91="","",IFERROR(INDEX(tbl_RH[Nom complet],MATCH(S91,tbl_RH[ID RH],0)),""))</f>
        <v/>
      </c>
      <c r="U91" s="172" t="str">
        <f>IF(S91="","",IFERROR(INDEX(tbl_RH[Fonction],MATCH(S91,tbl_RH[ID RH],0)),""))</f>
        <v/>
      </c>
      <c r="V91" s="173"/>
      <c r="W91" s="173"/>
      <c r="X91" s="173"/>
      <c r="Y91" s="173"/>
      <c r="Z91" s="173"/>
      <c r="AA91" s="173"/>
      <c r="AB91" s="173"/>
      <c r="AC91" s="175" t="str">
        <f>IF(AB91="","",INDEX(PARAMETRES!$C$53:$C$64,MONTH(AB91))&amp;" "&amp;YEAR(AB91))</f>
        <v/>
      </c>
      <c r="AD91" s="176" t="str">
        <f t="shared" si="14"/>
        <v/>
      </c>
      <c r="AE91" s="175" t="str">
        <f t="shared" si="15"/>
        <v/>
      </c>
      <c r="AF91" s="176" t="str">
        <f t="shared" si="16"/>
        <v/>
      </c>
      <c r="AG91" s="175" t="str">
        <f t="shared" si="17"/>
        <v/>
      </c>
      <c r="AH91" s="175" t="str">
        <f t="shared" si="18"/>
        <v/>
      </c>
      <c r="AI91" s="173"/>
      <c r="AJ91" s="173"/>
      <c r="AK91" s="173"/>
      <c r="AL91" s="173"/>
      <c r="AM91" s="173"/>
      <c r="AN91" s="176" t="str">
        <f t="shared" si="19"/>
        <v/>
      </c>
      <c r="AO91" s="173"/>
      <c r="AP91" s="172" t="str">
        <f>IF(AO91="","",IFERROR(INDEX(PARAMETRES!$D$536:$D$586,MATCH(AO91,PARAMETRES!$J$536:$J$586,0)),""))</f>
        <v/>
      </c>
      <c r="AQ91" s="172" t="str">
        <f>IF(AO91="","",IFERROR(INDEX(PARAMETRES!$F$536:$F$586,MATCH(AO91,PARAMETRES!$J$536:$J$586,0)),""))</f>
        <v/>
      </c>
      <c r="AR91" s="173"/>
      <c r="AS91" s="173"/>
      <c r="AT91" s="173"/>
      <c r="AU91" s="173"/>
      <c r="AV91" s="173"/>
      <c r="AW91" s="173"/>
      <c r="AX91" s="173"/>
      <c r="AY91" s="175" t="str">
        <f t="shared" si="20"/>
        <v/>
      </c>
      <c r="AZ91" s="173"/>
    </row>
    <row r="92" spans="1:52" ht="15" customHeight="1">
      <c r="A92" s="172" t="str">
        <f t="shared" si="13"/>
        <v/>
      </c>
      <c r="B92" s="173"/>
      <c r="C92" s="174" t="str">
        <f>IF(B92="","",IFERROR(INDEX(tbl_Projets[Titre complet du projet],MATCH(B92,tbl_Projets[ID Projet],0)),""))</f>
        <v/>
      </c>
      <c r="D92" s="172" t="str">
        <f>IF(B92="","",IFERROR(INDEX(tbl_Projets[Domaine d''intervention],MATCH(B92,tbl_Projets[ID Projet],0)),""))</f>
        <v/>
      </c>
      <c r="E92" s="172" t="str">
        <f>IF(B92="","",IFERROR(INDEX(tbl_Projets[Statut du projet],MATCH(B92,tbl_Projets[ID Projet],0)),""))</f>
        <v/>
      </c>
      <c r="F92" s="173"/>
      <c r="G92" s="174" t="str">
        <f>IF(F92="","",IFERROR(INDEX(tbl_Activites[Intitule de l''activite],MATCH(F92,tbl_Activites[ID Activite],0)),""))</f>
        <v/>
      </c>
      <c r="H92" s="172" t="str">
        <f>IF(F92="","",IFERROR(INDEX(tbl_Activites[Statut de l''activite],MATCH(F92,tbl_Activites[ID Activite],0)),""))</f>
        <v/>
      </c>
      <c r="I92" s="173"/>
      <c r="J92" s="174" t="str">
        <f>IF(B92="","",IFERROR(INDEX(tbl_Projets[Objectif general],MATCH(B92,tbl_Projets[ID Projet],0)),""))</f>
        <v/>
      </c>
      <c r="K92" s="173"/>
      <c r="L92" s="173"/>
      <c r="M92" s="173"/>
      <c r="N92" s="173"/>
      <c r="O92" s="173"/>
      <c r="P92" s="173"/>
      <c r="Q92" s="173"/>
      <c r="R92" s="173"/>
      <c r="S92" s="173"/>
      <c r="T92" s="172" t="str">
        <f>IF(S92="","",IFERROR(INDEX(tbl_RH[Nom complet],MATCH(S92,tbl_RH[ID RH],0)),""))</f>
        <v/>
      </c>
      <c r="U92" s="172" t="str">
        <f>IF(S92="","",IFERROR(INDEX(tbl_RH[Fonction],MATCH(S92,tbl_RH[ID RH],0)),""))</f>
        <v/>
      </c>
      <c r="V92" s="173"/>
      <c r="W92" s="173"/>
      <c r="X92" s="173"/>
      <c r="Y92" s="173"/>
      <c r="Z92" s="173"/>
      <c r="AA92" s="173"/>
      <c r="AB92" s="173"/>
      <c r="AC92" s="175" t="str">
        <f>IF(AB92="","",INDEX(PARAMETRES!$C$53:$C$64,MONTH(AB92))&amp;" "&amp;YEAR(AB92))</f>
        <v/>
      </c>
      <c r="AD92" s="176" t="str">
        <f t="shared" si="14"/>
        <v/>
      </c>
      <c r="AE92" s="175" t="str">
        <f t="shared" si="15"/>
        <v/>
      </c>
      <c r="AF92" s="176" t="str">
        <f t="shared" si="16"/>
        <v/>
      </c>
      <c r="AG92" s="175" t="str">
        <f t="shared" si="17"/>
        <v/>
      </c>
      <c r="AH92" s="175" t="str">
        <f t="shared" si="18"/>
        <v/>
      </c>
      <c r="AI92" s="173"/>
      <c r="AJ92" s="173"/>
      <c r="AK92" s="173"/>
      <c r="AL92" s="173"/>
      <c r="AM92" s="173"/>
      <c r="AN92" s="176" t="str">
        <f t="shared" si="19"/>
        <v/>
      </c>
      <c r="AO92" s="173"/>
      <c r="AP92" s="172" t="str">
        <f>IF(AO92="","",IFERROR(INDEX(PARAMETRES!$D$536:$D$586,MATCH(AO92,PARAMETRES!$J$536:$J$586,0)),""))</f>
        <v/>
      </c>
      <c r="AQ92" s="172" t="str">
        <f>IF(AO92="","",IFERROR(INDEX(PARAMETRES!$F$536:$F$586,MATCH(AO92,PARAMETRES!$J$536:$J$586,0)),""))</f>
        <v/>
      </c>
      <c r="AR92" s="173"/>
      <c r="AS92" s="173"/>
      <c r="AT92" s="173"/>
      <c r="AU92" s="173"/>
      <c r="AV92" s="173"/>
      <c r="AW92" s="173"/>
      <c r="AX92" s="173"/>
      <c r="AY92" s="175" t="str">
        <f t="shared" si="20"/>
        <v/>
      </c>
      <c r="AZ92" s="173"/>
    </row>
    <row r="93" spans="1:52" ht="15" customHeight="1">
      <c r="A93" s="172" t="str">
        <f t="shared" si="13"/>
        <v/>
      </c>
      <c r="B93" s="173"/>
      <c r="C93" s="174" t="str">
        <f>IF(B93="","",IFERROR(INDEX(tbl_Projets[Titre complet du projet],MATCH(B93,tbl_Projets[ID Projet],0)),""))</f>
        <v/>
      </c>
      <c r="D93" s="172" t="str">
        <f>IF(B93="","",IFERROR(INDEX(tbl_Projets[Domaine d''intervention],MATCH(B93,tbl_Projets[ID Projet],0)),""))</f>
        <v/>
      </c>
      <c r="E93" s="172" t="str">
        <f>IF(B93="","",IFERROR(INDEX(tbl_Projets[Statut du projet],MATCH(B93,tbl_Projets[ID Projet],0)),""))</f>
        <v/>
      </c>
      <c r="F93" s="173"/>
      <c r="G93" s="174" t="str">
        <f>IF(F93="","",IFERROR(INDEX(tbl_Activites[Intitule de l''activite],MATCH(F93,tbl_Activites[ID Activite],0)),""))</f>
        <v/>
      </c>
      <c r="H93" s="172" t="str">
        <f>IF(F93="","",IFERROR(INDEX(tbl_Activites[Statut de l''activite],MATCH(F93,tbl_Activites[ID Activite],0)),""))</f>
        <v/>
      </c>
      <c r="I93" s="173"/>
      <c r="J93" s="174" t="str">
        <f>IF(B93="","",IFERROR(INDEX(tbl_Projets[Objectif general],MATCH(B93,tbl_Projets[ID Projet],0)),""))</f>
        <v/>
      </c>
      <c r="K93" s="173"/>
      <c r="L93" s="173"/>
      <c r="M93" s="173"/>
      <c r="N93" s="173"/>
      <c r="O93" s="173"/>
      <c r="P93" s="173"/>
      <c r="Q93" s="173"/>
      <c r="R93" s="173"/>
      <c r="S93" s="173"/>
      <c r="T93" s="172" t="str">
        <f>IF(S93="","",IFERROR(INDEX(tbl_RH[Nom complet],MATCH(S93,tbl_RH[ID RH],0)),""))</f>
        <v/>
      </c>
      <c r="U93" s="172" t="str">
        <f>IF(S93="","",IFERROR(INDEX(tbl_RH[Fonction],MATCH(S93,tbl_RH[ID RH],0)),""))</f>
        <v/>
      </c>
      <c r="V93" s="173"/>
      <c r="W93" s="173"/>
      <c r="X93" s="173"/>
      <c r="Y93" s="173"/>
      <c r="Z93" s="173"/>
      <c r="AA93" s="173"/>
      <c r="AB93" s="173"/>
      <c r="AC93" s="175" t="str">
        <f>IF(AB93="","",INDEX(PARAMETRES!$C$53:$C$64,MONTH(AB93))&amp;" "&amp;YEAR(AB93))</f>
        <v/>
      </c>
      <c r="AD93" s="176" t="str">
        <f t="shared" si="14"/>
        <v/>
      </c>
      <c r="AE93" s="175" t="str">
        <f t="shared" si="15"/>
        <v/>
      </c>
      <c r="AF93" s="176" t="str">
        <f t="shared" si="16"/>
        <v/>
      </c>
      <c r="AG93" s="175" t="str">
        <f t="shared" si="17"/>
        <v/>
      </c>
      <c r="AH93" s="175" t="str">
        <f t="shared" si="18"/>
        <v/>
      </c>
      <c r="AI93" s="173"/>
      <c r="AJ93" s="173"/>
      <c r="AK93" s="173"/>
      <c r="AL93" s="173"/>
      <c r="AM93" s="173"/>
      <c r="AN93" s="176" t="str">
        <f t="shared" si="19"/>
        <v/>
      </c>
      <c r="AO93" s="173"/>
      <c r="AP93" s="172" t="str">
        <f>IF(AO93="","",IFERROR(INDEX(PARAMETRES!$D$536:$D$586,MATCH(AO93,PARAMETRES!$J$536:$J$586,0)),""))</f>
        <v/>
      </c>
      <c r="AQ93" s="172" t="str">
        <f>IF(AO93="","",IFERROR(INDEX(PARAMETRES!$F$536:$F$586,MATCH(AO93,PARAMETRES!$J$536:$J$586,0)),""))</f>
        <v/>
      </c>
      <c r="AR93" s="173"/>
      <c r="AS93" s="173"/>
      <c r="AT93" s="173"/>
      <c r="AU93" s="173"/>
      <c r="AV93" s="173"/>
      <c r="AW93" s="173"/>
      <c r="AX93" s="173"/>
      <c r="AY93" s="175" t="str">
        <f t="shared" si="20"/>
        <v/>
      </c>
      <c r="AZ93" s="173"/>
    </row>
    <row r="94" spans="1:52" ht="15" customHeight="1">
      <c r="A94" s="172" t="str">
        <f t="shared" si="13"/>
        <v/>
      </c>
      <c r="B94" s="173"/>
      <c r="C94" s="174" t="str">
        <f>IF(B94="","",IFERROR(INDEX(tbl_Projets[Titre complet du projet],MATCH(B94,tbl_Projets[ID Projet],0)),""))</f>
        <v/>
      </c>
      <c r="D94" s="172" t="str">
        <f>IF(B94="","",IFERROR(INDEX(tbl_Projets[Domaine d''intervention],MATCH(B94,tbl_Projets[ID Projet],0)),""))</f>
        <v/>
      </c>
      <c r="E94" s="172" t="str">
        <f>IF(B94="","",IFERROR(INDEX(tbl_Projets[Statut du projet],MATCH(B94,tbl_Projets[ID Projet],0)),""))</f>
        <v/>
      </c>
      <c r="F94" s="173"/>
      <c r="G94" s="174" t="str">
        <f>IF(F94="","",IFERROR(INDEX(tbl_Activites[Intitule de l''activite],MATCH(F94,tbl_Activites[ID Activite],0)),""))</f>
        <v/>
      </c>
      <c r="H94" s="172" t="str">
        <f>IF(F94="","",IFERROR(INDEX(tbl_Activites[Statut de l''activite],MATCH(F94,tbl_Activites[ID Activite],0)),""))</f>
        <v/>
      </c>
      <c r="I94" s="173"/>
      <c r="J94" s="174" t="str">
        <f>IF(B94="","",IFERROR(INDEX(tbl_Projets[Objectif general],MATCH(B94,tbl_Projets[ID Projet],0)),""))</f>
        <v/>
      </c>
      <c r="K94" s="173"/>
      <c r="L94" s="173"/>
      <c r="M94" s="173"/>
      <c r="N94" s="173"/>
      <c r="O94" s="173"/>
      <c r="P94" s="173"/>
      <c r="Q94" s="173"/>
      <c r="R94" s="173"/>
      <c r="S94" s="173"/>
      <c r="T94" s="172" t="str">
        <f>IF(S94="","",IFERROR(INDEX(tbl_RH[Nom complet],MATCH(S94,tbl_RH[ID RH],0)),""))</f>
        <v/>
      </c>
      <c r="U94" s="172" t="str">
        <f>IF(S94="","",IFERROR(INDEX(tbl_RH[Fonction],MATCH(S94,tbl_RH[ID RH],0)),""))</f>
        <v/>
      </c>
      <c r="V94" s="173"/>
      <c r="W94" s="173"/>
      <c r="X94" s="173"/>
      <c r="Y94" s="173"/>
      <c r="Z94" s="173"/>
      <c r="AA94" s="173"/>
      <c r="AB94" s="173"/>
      <c r="AC94" s="175" t="str">
        <f>IF(AB94="","",INDEX(PARAMETRES!$C$53:$C$64,MONTH(AB94))&amp;" "&amp;YEAR(AB94))</f>
        <v/>
      </c>
      <c r="AD94" s="176" t="str">
        <f t="shared" si="14"/>
        <v/>
      </c>
      <c r="AE94" s="175" t="str">
        <f t="shared" si="15"/>
        <v/>
      </c>
      <c r="AF94" s="176" t="str">
        <f t="shared" si="16"/>
        <v/>
      </c>
      <c r="AG94" s="175" t="str">
        <f t="shared" si="17"/>
        <v/>
      </c>
      <c r="AH94" s="175" t="str">
        <f t="shared" si="18"/>
        <v/>
      </c>
      <c r="AI94" s="173"/>
      <c r="AJ94" s="173"/>
      <c r="AK94" s="173"/>
      <c r="AL94" s="173"/>
      <c r="AM94" s="173"/>
      <c r="AN94" s="176" t="str">
        <f t="shared" si="19"/>
        <v/>
      </c>
      <c r="AO94" s="173"/>
      <c r="AP94" s="172" t="str">
        <f>IF(AO94="","",IFERROR(INDEX(PARAMETRES!$D$536:$D$586,MATCH(AO94,PARAMETRES!$J$536:$J$586,0)),""))</f>
        <v/>
      </c>
      <c r="AQ94" s="172" t="str">
        <f>IF(AO94="","",IFERROR(INDEX(PARAMETRES!$F$536:$F$586,MATCH(AO94,PARAMETRES!$J$536:$J$586,0)),""))</f>
        <v/>
      </c>
      <c r="AR94" s="173"/>
      <c r="AS94" s="173"/>
      <c r="AT94" s="173"/>
      <c r="AU94" s="173"/>
      <c r="AV94" s="173"/>
      <c r="AW94" s="173"/>
      <c r="AX94" s="173"/>
      <c r="AY94" s="175" t="str">
        <f t="shared" si="20"/>
        <v/>
      </c>
      <c r="AZ94" s="173"/>
    </row>
    <row r="95" spans="1:52" ht="15" customHeight="1">
      <c r="A95" s="172" t="str">
        <f t="shared" si="13"/>
        <v/>
      </c>
      <c r="B95" s="173"/>
      <c r="C95" s="174" t="str">
        <f>IF(B95="","",IFERROR(INDEX(tbl_Projets[Titre complet du projet],MATCH(B95,tbl_Projets[ID Projet],0)),""))</f>
        <v/>
      </c>
      <c r="D95" s="172" t="str">
        <f>IF(B95="","",IFERROR(INDEX(tbl_Projets[Domaine d''intervention],MATCH(B95,tbl_Projets[ID Projet],0)),""))</f>
        <v/>
      </c>
      <c r="E95" s="172" t="str">
        <f>IF(B95="","",IFERROR(INDEX(tbl_Projets[Statut du projet],MATCH(B95,tbl_Projets[ID Projet],0)),""))</f>
        <v/>
      </c>
      <c r="F95" s="173"/>
      <c r="G95" s="174" t="str">
        <f>IF(F95="","",IFERROR(INDEX(tbl_Activites[Intitule de l''activite],MATCH(F95,tbl_Activites[ID Activite],0)),""))</f>
        <v/>
      </c>
      <c r="H95" s="172" t="str">
        <f>IF(F95="","",IFERROR(INDEX(tbl_Activites[Statut de l''activite],MATCH(F95,tbl_Activites[ID Activite],0)),""))</f>
        <v/>
      </c>
      <c r="I95" s="173"/>
      <c r="J95" s="174" t="str">
        <f>IF(B95="","",IFERROR(INDEX(tbl_Projets[Objectif general],MATCH(B95,tbl_Projets[ID Projet],0)),""))</f>
        <v/>
      </c>
      <c r="K95" s="173"/>
      <c r="L95" s="173"/>
      <c r="M95" s="173"/>
      <c r="N95" s="173"/>
      <c r="O95" s="173"/>
      <c r="P95" s="173"/>
      <c r="Q95" s="173"/>
      <c r="R95" s="173"/>
      <c r="S95" s="173"/>
      <c r="T95" s="172" t="str">
        <f>IF(S95="","",IFERROR(INDEX(tbl_RH[Nom complet],MATCH(S95,tbl_RH[ID RH],0)),""))</f>
        <v/>
      </c>
      <c r="U95" s="172" t="str">
        <f>IF(S95="","",IFERROR(INDEX(tbl_RH[Fonction],MATCH(S95,tbl_RH[ID RH],0)),""))</f>
        <v/>
      </c>
      <c r="V95" s="173"/>
      <c r="W95" s="173"/>
      <c r="X95" s="173"/>
      <c r="Y95" s="173"/>
      <c r="Z95" s="173"/>
      <c r="AA95" s="173"/>
      <c r="AB95" s="173"/>
      <c r="AC95" s="175" t="str">
        <f>IF(AB95="","",INDEX(PARAMETRES!$C$53:$C$64,MONTH(AB95))&amp;" "&amp;YEAR(AB95))</f>
        <v/>
      </c>
      <c r="AD95" s="176" t="str">
        <f t="shared" si="14"/>
        <v/>
      </c>
      <c r="AE95" s="175" t="str">
        <f t="shared" si="15"/>
        <v/>
      </c>
      <c r="AF95" s="176" t="str">
        <f t="shared" si="16"/>
        <v/>
      </c>
      <c r="AG95" s="175" t="str">
        <f t="shared" si="17"/>
        <v/>
      </c>
      <c r="AH95" s="175" t="str">
        <f t="shared" si="18"/>
        <v/>
      </c>
      <c r="AI95" s="173"/>
      <c r="AJ95" s="173"/>
      <c r="AK95" s="173"/>
      <c r="AL95" s="173"/>
      <c r="AM95" s="173"/>
      <c r="AN95" s="176" t="str">
        <f t="shared" si="19"/>
        <v/>
      </c>
      <c r="AO95" s="173"/>
      <c r="AP95" s="172" t="str">
        <f>IF(AO95="","",IFERROR(INDEX(PARAMETRES!$D$536:$D$586,MATCH(AO95,PARAMETRES!$J$536:$J$586,0)),""))</f>
        <v/>
      </c>
      <c r="AQ95" s="172" t="str">
        <f>IF(AO95="","",IFERROR(INDEX(PARAMETRES!$F$536:$F$586,MATCH(AO95,PARAMETRES!$J$536:$J$586,0)),""))</f>
        <v/>
      </c>
      <c r="AR95" s="173"/>
      <c r="AS95" s="173"/>
      <c r="AT95" s="173"/>
      <c r="AU95" s="173"/>
      <c r="AV95" s="173"/>
      <c r="AW95" s="173"/>
      <c r="AX95" s="173"/>
      <c r="AY95" s="175" t="str">
        <f t="shared" si="20"/>
        <v/>
      </c>
      <c r="AZ95" s="173"/>
    </row>
    <row r="96" spans="1:52" ht="15" customHeight="1">
      <c r="A96" s="172" t="str">
        <f t="shared" si="13"/>
        <v/>
      </c>
      <c r="B96" s="173"/>
      <c r="C96" s="174" t="str">
        <f>IF(B96="","",IFERROR(INDEX(tbl_Projets[Titre complet du projet],MATCH(B96,tbl_Projets[ID Projet],0)),""))</f>
        <v/>
      </c>
      <c r="D96" s="172" t="str">
        <f>IF(B96="","",IFERROR(INDEX(tbl_Projets[Domaine d''intervention],MATCH(B96,tbl_Projets[ID Projet],0)),""))</f>
        <v/>
      </c>
      <c r="E96" s="172" t="str">
        <f>IF(B96="","",IFERROR(INDEX(tbl_Projets[Statut du projet],MATCH(B96,tbl_Projets[ID Projet],0)),""))</f>
        <v/>
      </c>
      <c r="F96" s="173"/>
      <c r="G96" s="174" t="str">
        <f>IF(F96="","",IFERROR(INDEX(tbl_Activites[Intitule de l''activite],MATCH(F96,tbl_Activites[ID Activite],0)),""))</f>
        <v/>
      </c>
      <c r="H96" s="172" t="str">
        <f>IF(F96="","",IFERROR(INDEX(tbl_Activites[Statut de l''activite],MATCH(F96,tbl_Activites[ID Activite],0)),""))</f>
        <v/>
      </c>
      <c r="I96" s="173"/>
      <c r="J96" s="174" t="str">
        <f>IF(B96="","",IFERROR(INDEX(tbl_Projets[Objectif general],MATCH(B96,tbl_Projets[ID Projet],0)),""))</f>
        <v/>
      </c>
      <c r="K96" s="173"/>
      <c r="L96" s="173"/>
      <c r="M96" s="173"/>
      <c r="N96" s="173"/>
      <c r="O96" s="173"/>
      <c r="P96" s="173"/>
      <c r="Q96" s="173"/>
      <c r="R96" s="173"/>
      <c r="S96" s="173"/>
      <c r="T96" s="172" t="str">
        <f>IF(S96="","",IFERROR(INDEX(tbl_RH[Nom complet],MATCH(S96,tbl_RH[ID RH],0)),""))</f>
        <v/>
      </c>
      <c r="U96" s="172" t="str">
        <f>IF(S96="","",IFERROR(INDEX(tbl_RH[Fonction],MATCH(S96,tbl_RH[ID RH],0)),""))</f>
        <v/>
      </c>
      <c r="V96" s="173"/>
      <c r="W96" s="173"/>
      <c r="X96" s="173"/>
      <c r="Y96" s="173"/>
      <c r="Z96" s="173"/>
      <c r="AA96" s="173"/>
      <c r="AB96" s="173"/>
      <c r="AC96" s="175" t="str">
        <f>IF(AB96="","",INDEX(PARAMETRES!$C$53:$C$64,MONTH(AB96))&amp;" "&amp;YEAR(AB96))</f>
        <v/>
      </c>
      <c r="AD96" s="176" t="str">
        <f t="shared" si="14"/>
        <v/>
      </c>
      <c r="AE96" s="175" t="str">
        <f t="shared" si="15"/>
        <v/>
      </c>
      <c r="AF96" s="176" t="str">
        <f t="shared" si="16"/>
        <v/>
      </c>
      <c r="AG96" s="175" t="str">
        <f t="shared" si="17"/>
        <v/>
      </c>
      <c r="AH96" s="175" t="str">
        <f t="shared" si="18"/>
        <v/>
      </c>
      <c r="AI96" s="173"/>
      <c r="AJ96" s="173"/>
      <c r="AK96" s="173"/>
      <c r="AL96" s="173"/>
      <c r="AM96" s="173"/>
      <c r="AN96" s="176" t="str">
        <f t="shared" si="19"/>
        <v/>
      </c>
      <c r="AO96" s="173"/>
      <c r="AP96" s="172" t="str">
        <f>IF(AO96="","",IFERROR(INDEX(PARAMETRES!$D$536:$D$586,MATCH(AO96,PARAMETRES!$J$536:$J$586,0)),""))</f>
        <v/>
      </c>
      <c r="AQ96" s="172" t="str">
        <f>IF(AO96="","",IFERROR(INDEX(PARAMETRES!$F$536:$F$586,MATCH(AO96,PARAMETRES!$J$536:$J$586,0)),""))</f>
        <v/>
      </c>
      <c r="AR96" s="173"/>
      <c r="AS96" s="173"/>
      <c r="AT96" s="173"/>
      <c r="AU96" s="173"/>
      <c r="AV96" s="173"/>
      <c r="AW96" s="173"/>
      <c r="AX96" s="173"/>
      <c r="AY96" s="175" t="str">
        <f t="shared" si="20"/>
        <v/>
      </c>
      <c r="AZ96" s="173"/>
    </row>
    <row r="97" spans="1:52" ht="15" customHeight="1">
      <c r="A97" s="172" t="str">
        <f t="shared" si="13"/>
        <v/>
      </c>
      <c r="B97" s="173"/>
      <c r="C97" s="174" t="str">
        <f>IF(B97="","",IFERROR(INDEX(tbl_Projets[Titre complet du projet],MATCH(B97,tbl_Projets[ID Projet],0)),""))</f>
        <v/>
      </c>
      <c r="D97" s="172" t="str">
        <f>IF(B97="","",IFERROR(INDEX(tbl_Projets[Domaine d''intervention],MATCH(B97,tbl_Projets[ID Projet],0)),""))</f>
        <v/>
      </c>
      <c r="E97" s="172" t="str">
        <f>IF(B97="","",IFERROR(INDEX(tbl_Projets[Statut du projet],MATCH(B97,tbl_Projets[ID Projet],0)),""))</f>
        <v/>
      </c>
      <c r="F97" s="173"/>
      <c r="G97" s="174" t="str">
        <f>IF(F97="","",IFERROR(INDEX(tbl_Activites[Intitule de l''activite],MATCH(F97,tbl_Activites[ID Activite],0)),""))</f>
        <v/>
      </c>
      <c r="H97" s="172" t="str">
        <f>IF(F97="","",IFERROR(INDEX(tbl_Activites[Statut de l''activite],MATCH(F97,tbl_Activites[ID Activite],0)),""))</f>
        <v/>
      </c>
      <c r="I97" s="173"/>
      <c r="J97" s="174" t="str">
        <f>IF(B97="","",IFERROR(INDEX(tbl_Projets[Objectif general],MATCH(B97,tbl_Projets[ID Projet],0)),""))</f>
        <v/>
      </c>
      <c r="K97" s="173"/>
      <c r="L97" s="173"/>
      <c r="M97" s="173"/>
      <c r="N97" s="173"/>
      <c r="O97" s="173"/>
      <c r="P97" s="173"/>
      <c r="Q97" s="173"/>
      <c r="R97" s="173"/>
      <c r="S97" s="173"/>
      <c r="T97" s="172" t="str">
        <f>IF(S97="","",IFERROR(INDEX(tbl_RH[Nom complet],MATCH(S97,tbl_RH[ID RH],0)),""))</f>
        <v/>
      </c>
      <c r="U97" s="172" t="str">
        <f>IF(S97="","",IFERROR(INDEX(tbl_RH[Fonction],MATCH(S97,tbl_RH[ID RH],0)),""))</f>
        <v/>
      </c>
      <c r="V97" s="173"/>
      <c r="W97" s="173"/>
      <c r="X97" s="173"/>
      <c r="Y97" s="173"/>
      <c r="Z97" s="173"/>
      <c r="AA97" s="173"/>
      <c r="AB97" s="173"/>
      <c r="AC97" s="175" t="str">
        <f>IF(AB97="","",INDEX(PARAMETRES!$C$53:$C$64,MONTH(AB97))&amp;" "&amp;YEAR(AB97))</f>
        <v/>
      </c>
      <c r="AD97" s="176" t="str">
        <f t="shared" si="14"/>
        <v/>
      </c>
      <c r="AE97" s="175" t="str">
        <f t="shared" si="15"/>
        <v/>
      </c>
      <c r="AF97" s="176" t="str">
        <f t="shared" si="16"/>
        <v/>
      </c>
      <c r="AG97" s="175" t="str">
        <f t="shared" si="17"/>
        <v/>
      </c>
      <c r="AH97" s="175" t="str">
        <f t="shared" si="18"/>
        <v/>
      </c>
      <c r="AI97" s="173"/>
      <c r="AJ97" s="173"/>
      <c r="AK97" s="173"/>
      <c r="AL97" s="173"/>
      <c r="AM97" s="173"/>
      <c r="AN97" s="176" t="str">
        <f t="shared" si="19"/>
        <v/>
      </c>
      <c r="AO97" s="173"/>
      <c r="AP97" s="172" t="str">
        <f>IF(AO97="","",IFERROR(INDEX(PARAMETRES!$D$536:$D$586,MATCH(AO97,PARAMETRES!$J$536:$J$586,0)),""))</f>
        <v/>
      </c>
      <c r="AQ97" s="172" t="str">
        <f>IF(AO97="","",IFERROR(INDEX(PARAMETRES!$F$536:$F$586,MATCH(AO97,PARAMETRES!$J$536:$J$586,0)),""))</f>
        <v/>
      </c>
      <c r="AR97" s="173"/>
      <c r="AS97" s="173"/>
      <c r="AT97" s="173"/>
      <c r="AU97" s="173"/>
      <c r="AV97" s="173"/>
      <c r="AW97" s="173"/>
      <c r="AX97" s="173"/>
      <c r="AY97" s="175" t="str">
        <f t="shared" si="20"/>
        <v/>
      </c>
      <c r="AZ97" s="173"/>
    </row>
    <row r="98" spans="1:52" ht="15" customHeight="1">
      <c r="A98" s="172" t="str">
        <f t="shared" si="13"/>
        <v/>
      </c>
      <c r="B98" s="173"/>
      <c r="C98" s="174" t="str">
        <f>IF(B98="","",IFERROR(INDEX(tbl_Projets[Titre complet du projet],MATCH(B98,tbl_Projets[ID Projet],0)),""))</f>
        <v/>
      </c>
      <c r="D98" s="172" t="str">
        <f>IF(B98="","",IFERROR(INDEX(tbl_Projets[Domaine d''intervention],MATCH(B98,tbl_Projets[ID Projet],0)),""))</f>
        <v/>
      </c>
      <c r="E98" s="172" t="str">
        <f>IF(B98="","",IFERROR(INDEX(tbl_Projets[Statut du projet],MATCH(B98,tbl_Projets[ID Projet],0)),""))</f>
        <v/>
      </c>
      <c r="F98" s="173"/>
      <c r="G98" s="174" t="str">
        <f>IF(F98="","",IFERROR(INDEX(tbl_Activites[Intitule de l''activite],MATCH(F98,tbl_Activites[ID Activite],0)),""))</f>
        <v/>
      </c>
      <c r="H98" s="172" t="str">
        <f>IF(F98="","",IFERROR(INDEX(tbl_Activites[Statut de l''activite],MATCH(F98,tbl_Activites[ID Activite],0)),""))</f>
        <v/>
      </c>
      <c r="I98" s="173"/>
      <c r="J98" s="174" t="str">
        <f>IF(B98="","",IFERROR(INDEX(tbl_Projets[Objectif general],MATCH(B98,tbl_Projets[ID Projet],0)),""))</f>
        <v/>
      </c>
      <c r="K98" s="173"/>
      <c r="L98" s="173"/>
      <c r="M98" s="173"/>
      <c r="N98" s="173"/>
      <c r="O98" s="173"/>
      <c r="P98" s="173"/>
      <c r="Q98" s="173"/>
      <c r="R98" s="173"/>
      <c r="S98" s="173"/>
      <c r="T98" s="172" t="str">
        <f>IF(S98="","",IFERROR(INDEX(tbl_RH[Nom complet],MATCH(S98,tbl_RH[ID RH],0)),""))</f>
        <v/>
      </c>
      <c r="U98" s="172" t="str">
        <f>IF(S98="","",IFERROR(INDEX(tbl_RH[Fonction],MATCH(S98,tbl_RH[ID RH],0)),""))</f>
        <v/>
      </c>
      <c r="V98" s="173"/>
      <c r="W98" s="173"/>
      <c r="X98" s="173"/>
      <c r="Y98" s="173"/>
      <c r="Z98" s="173"/>
      <c r="AA98" s="173"/>
      <c r="AB98" s="173"/>
      <c r="AC98" s="175" t="str">
        <f>IF(AB98="","",INDEX(PARAMETRES!$C$53:$C$64,MONTH(AB98))&amp;" "&amp;YEAR(AB98))</f>
        <v/>
      </c>
      <c r="AD98" s="176" t="str">
        <f t="shared" si="14"/>
        <v/>
      </c>
      <c r="AE98" s="175" t="str">
        <f t="shared" si="15"/>
        <v/>
      </c>
      <c r="AF98" s="176" t="str">
        <f t="shared" si="16"/>
        <v/>
      </c>
      <c r="AG98" s="175" t="str">
        <f t="shared" si="17"/>
        <v/>
      </c>
      <c r="AH98" s="175" t="str">
        <f t="shared" si="18"/>
        <v/>
      </c>
      <c r="AI98" s="173"/>
      <c r="AJ98" s="173"/>
      <c r="AK98" s="173"/>
      <c r="AL98" s="173"/>
      <c r="AM98" s="173"/>
      <c r="AN98" s="176" t="str">
        <f t="shared" si="19"/>
        <v/>
      </c>
      <c r="AO98" s="173"/>
      <c r="AP98" s="172" t="str">
        <f>IF(AO98="","",IFERROR(INDEX(PARAMETRES!$D$536:$D$586,MATCH(AO98,PARAMETRES!$J$536:$J$586,0)),""))</f>
        <v/>
      </c>
      <c r="AQ98" s="172" t="str">
        <f>IF(AO98="","",IFERROR(INDEX(PARAMETRES!$F$536:$F$586,MATCH(AO98,PARAMETRES!$J$536:$J$586,0)),""))</f>
        <v/>
      </c>
      <c r="AR98" s="173"/>
      <c r="AS98" s="173"/>
      <c r="AT98" s="173"/>
      <c r="AU98" s="173"/>
      <c r="AV98" s="173"/>
      <c r="AW98" s="173"/>
      <c r="AX98" s="173"/>
      <c r="AY98" s="175" t="str">
        <f t="shared" si="20"/>
        <v/>
      </c>
      <c r="AZ98" s="173"/>
    </row>
    <row r="99" spans="1:52" ht="15" customHeight="1">
      <c r="A99" s="172" t="str">
        <f t="shared" si="13"/>
        <v/>
      </c>
      <c r="B99" s="173"/>
      <c r="C99" s="174" t="str">
        <f>IF(B99="","",IFERROR(INDEX(tbl_Projets[Titre complet du projet],MATCH(B99,tbl_Projets[ID Projet],0)),""))</f>
        <v/>
      </c>
      <c r="D99" s="172" t="str">
        <f>IF(B99="","",IFERROR(INDEX(tbl_Projets[Domaine d''intervention],MATCH(B99,tbl_Projets[ID Projet],0)),""))</f>
        <v/>
      </c>
      <c r="E99" s="172" t="str">
        <f>IF(B99="","",IFERROR(INDEX(tbl_Projets[Statut du projet],MATCH(B99,tbl_Projets[ID Projet],0)),""))</f>
        <v/>
      </c>
      <c r="F99" s="173"/>
      <c r="G99" s="174" t="str">
        <f>IF(F99="","",IFERROR(INDEX(tbl_Activites[Intitule de l''activite],MATCH(F99,tbl_Activites[ID Activite],0)),""))</f>
        <v/>
      </c>
      <c r="H99" s="172" t="str">
        <f>IF(F99="","",IFERROR(INDEX(tbl_Activites[Statut de l''activite],MATCH(F99,tbl_Activites[ID Activite],0)),""))</f>
        <v/>
      </c>
      <c r="I99" s="173"/>
      <c r="J99" s="174" t="str">
        <f>IF(B99="","",IFERROR(INDEX(tbl_Projets[Objectif general],MATCH(B99,tbl_Projets[ID Projet],0)),""))</f>
        <v/>
      </c>
      <c r="K99" s="173"/>
      <c r="L99" s="173"/>
      <c r="M99" s="173"/>
      <c r="N99" s="173"/>
      <c r="O99" s="173"/>
      <c r="P99" s="173"/>
      <c r="Q99" s="173"/>
      <c r="R99" s="173"/>
      <c r="S99" s="173"/>
      <c r="T99" s="172" t="str">
        <f>IF(S99="","",IFERROR(INDEX(tbl_RH[Nom complet],MATCH(S99,tbl_RH[ID RH],0)),""))</f>
        <v/>
      </c>
      <c r="U99" s="172" t="str">
        <f>IF(S99="","",IFERROR(INDEX(tbl_RH[Fonction],MATCH(S99,tbl_RH[ID RH],0)),""))</f>
        <v/>
      </c>
      <c r="V99" s="173"/>
      <c r="W99" s="173"/>
      <c r="X99" s="173"/>
      <c r="Y99" s="173"/>
      <c r="Z99" s="173"/>
      <c r="AA99" s="173"/>
      <c r="AB99" s="173"/>
      <c r="AC99" s="175" t="str">
        <f>IF(AB99="","",INDEX(PARAMETRES!$C$53:$C$64,MONTH(AB99))&amp;" "&amp;YEAR(AB99))</f>
        <v/>
      </c>
      <c r="AD99" s="176" t="str">
        <f t="shared" si="14"/>
        <v/>
      </c>
      <c r="AE99" s="175" t="str">
        <f t="shared" si="15"/>
        <v/>
      </c>
      <c r="AF99" s="176" t="str">
        <f t="shared" si="16"/>
        <v/>
      </c>
      <c r="AG99" s="175" t="str">
        <f t="shared" si="17"/>
        <v/>
      </c>
      <c r="AH99" s="175" t="str">
        <f t="shared" si="18"/>
        <v/>
      </c>
      <c r="AI99" s="173"/>
      <c r="AJ99" s="173"/>
      <c r="AK99" s="173"/>
      <c r="AL99" s="173"/>
      <c r="AM99" s="173"/>
      <c r="AN99" s="176" t="str">
        <f t="shared" si="19"/>
        <v/>
      </c>
      <c r="AO99" s="173"/>
      <c r="AP99" s="172" t="str">
        <f>IF(AO99="","",IFERROR(INDEX(PARAMETRES!$D$536:$D$586,MATCH(AO99,PARAMETRES!$J$536:$J$586,0)),""))</f>
        <v/>
      </c>
      <c r="AQ99" s="172" t="str">
        <f>IF(AO99="","",IFERROR(INDEX(PARAMETRES!$F$536:$F$586,MATCH(AO99,PARAMETRES!$J$536:$J$586,0)),""))</f>
        <v/>
      </c>
      <c r="AR99" s="173"/>
      <c r="AS99" s="173"/>
      <c r="AT99" s="173"/>
      <c r="AU99" s="173"/>
      <c r="AV99" s="173"/>
      <c r="AW99" s="173"/>
      <c r="AX99" s="173"/>
      <c r="AY99" s="175" t="str">
        <f t="shared" si="20"/>
        <v/>
      </c>
      <c r="AZ99" s="173"/>
    </row>
    <row r="100" spans="1:52" ht="15" customHeight="1">
      <c r="A100" s="172" t="str">
        <f t="shared" si="13"/>
        <v/>
      </c>
      <c r="B100" s="173"/>
      <c r="C100" s="174" t="str">
        <f>IF(B100="","",IFERROR(INDEX(tbl_Projets[Titre complet du projet],MATCH(B100,tbl_Projets[ID Projet],0)),""))</f>
        <v/>
      </c>
      <c r="D100" s="172" t="str">
        <f>IF(B100="","",IFERROR(INDEX(tbl_Projets[Domaine d''intervention],MATCH(B100,tbl_Projets[ID Projet],0)),""))</f>
        <v/>
      </c>
      <c r="E100" s="172" t="str">
        <f>IF(B100="","",IFERROR(INDEX(tbl_Projets[Statut du projet],MATCH(B100,tbl_Projets[ID Projet],0)),""))</f>
        <v/>
      </c>
      <c r="F100" s="173"/>
      <c r="G100" s="174" t="str">
        <f>IF(F100="","",IFERROR(INDEX(tbl_Activites[Intitule de l''activite],MATCH(F100,tbl_Activites[ID Activite],0)),""))</f>
        <v/>
      </c>
      <c r="H100" s="172" t="str">
        <f>IF(F100="","",IFERROR(INDEX(tbl_Activites[Statut de l''activite],MATCH(F100,tbl_Activites[ID Activite],0)),""))</f>
        <v/>
      </c>
      <c r="I100" s="173"/>
      <c r="J100" s="174" t="str">
        <f>IF(B100="","",IFERROR(INDEX(tbl_Projets[Objectif general],MATCH(B100,tbl_Projets[ID Projet],0)),""))</f>
        <v/>
      </c>
      <c r="K100" s="173"/>
      <c r="L100" s="173"/>
      <c r="M100" s="173"/>
      <c r="N100" s="173"/>
      <c r="O100" s="173"/>
      <c r="P100" s="173"/>
      <c r="Q100" s="173"/>
      <c r="R100" s="173"/>
      <c r="S100" s="173"/>
      <c r="T100" s="172" t="str">
        <f>IF(S100="","",IFERROR(INDEX(tbl_RH[Nom complet],MATCH(S100,tbl_RH[ID RH],0)),""))</f>
        <v/>
      </c>
      <c r="U100" s="172" t="str">
        <f>IF(S100="","",IFERROR(INDEX(tbl_RH[Fonction],MATCH(S100,tbl_RH[ID RH],0)),""))</f>
        <v/>
      </c>
      <c r="V100" s="173"/>
      <c r="W100" s="173"/>
      <c r="X100" s="173"/>
      <c r="Y100" s="173"/>
      <c r="Z100" s="173"/>
      <c r="AA100" s="173"/>
      <c r="AB100" s="173"/>
      <c r="AC100" s="175" t="str">
        <f>IF(AB100="","",INDEX(PARAMETRES!$C$53:$C$64,MONTH(AB100))&amp;" "&amp;YEAR(AB100))</f>
        <v/>
      </c>
      <c r="AD100" s="176" t="str">
        <f t="shared" si="14"/>
        <v/>
      </c>
      <c r="AE100" s="175" t="str">
        <f t="shared" si="15"/>
        <v/>
      </c>
      <c r="AF100" s="176" t="str">
        <f t="shared" si="16"/>
        <v/>
      </c>
      <c r="AG100" s="175" t="str">
        <f t="shared" si="17"/>
        <v/>
      </c>
      <c r="AH100" s="175" t="str">
        <f t="shared" si="18"/>
        <v/>
      </c>
      <c r="AI100" s="173"/>
      <c r="AJ100" s="173"/>
      <c r="AK100" s="173"/>
      <c r="AL100" s="173"/>
      <c r="AM100" s="173"/>
      <c r="AN100" s="176" t="str">
        <f t="shared" si="19"/>
        <v/>
      </c>
      <c r="AO100" s="173"/>
      <c r="AP100" s="172" t="str">
        <f>IF(AO100="","",IFERROR(INDEX(PARAMETRES!$D$536:$D$586,MATCH(AO100,PARAMETRES!$J$536:$J$586,0)),""))</f>
        <v/>
      </c>
      <c r="AQ100" s="172" t="str">
        <f>IF(AO100="","",IFERROR(INDEX(PARAMETRES!$F$536:$F$586,MATCH(AO100,PARAMETRES!$J$536:$J$586,0)),""))</f>
        <v/>
      </c>
      <c r="AR100" s="173"/>
      <c r="AS100" s="173"/>
      <c r="AT100" s="173"/>
      <c r="AU100" s="173"/>
      <c r="AV100" s="173"/>
      <c r="AW100" s="173"/>
      <c r="AX100" s="173"/>
      <c r="AY100" s="175" t="str">
        <f t="shared" si="20"/>
        <v/>
      </c>
      <c r="AZ100" s="173"/>
    </row>
    <row r="101" spans="1:52" ht="15" customHeight="1">
      <c r="A101" s="172" t="str">
        <f t="shared" si="13"/>
        <v/>
      </c>
      <c r="B101" s="173"/>
      <c r="C101" s="174" t="str">
        <f>IF(B101="","",IFERROR(INDEX(tbl_Projets[Titre complet du projet],MATCH(B101,tbl_Projets[ID Projet],0)),""))</f>
        <v/>
      </c>
      <c r="D101" s="172" t="str">
        <f>IF(B101="","",IFERROR(INDEX(tbl_Projets[Domaine d''intervention],MATCH(B101,tbl_Projets[ID Projet],0)),""))</f>
        <v/>
      </c>
      <c r="E101" s="172" t="str">
        <f>IF(B101="","",IFERROR(INDEX(tbl_Projets[Statut du projet],MATCH(B101,tbl_Projets[ID Projet],0)),""))</f>
        <v/>
      </c>
      <c r="F101" s="173"/>
      <c r="G101" s="174" t="str">
        <f>IF(F101="","",IFERROR(INDEX(tbl_Activites[Intitule de l''activite],MATCH(F101,tbl_Activites[ID Activite],0)),""))</f>
        <v/>
      </c>
      <c r="H101" s="172" t="str">
        <f>IF(F101="","",IFERROR(INDEX(tbl_Activites[Statut de l''activite],MATCH(F101,tbl_Activites[ID Activite],0)),""))</f>
        <v/>
      </c>
      <c r="I101" s="173"/>
      <c r="J101" s="174" t="str">
        <f>IF(B101="","",IFERROR(INDEX(tbl_Projets[Objectif general],MATCH(B101,tbl_Projets[ID Projet],0)),""))</f>
        <v/>
      </c>
      <c r="K101" s="173"/>
      <c r="L101" s="173"/>
      <c r="M101" s="173"/>
      <c r="N101" s="173"/>
      <c r="O101" s="173"/>
      <c r="P101" s="173"/>
      <c r="Q101" s="173"/>
      <c r="R101" s="173"/>
      <c r="S101" s="173"/>
      <c r="T101" s="172" t="str">
        <f>IF(S101="","",IFERROR(INDEX(tbl_RH[Nom complet],MATCH(S101,tbl_RH[ID RH],0)),""))</f>
        <v/>
      </c>
      <c r="U101" s="172" t="str">
        <f>IF(S101="","",IFERROR(INDEX(tbl_RH[Fonction],MATCH(S101,tbl_RH[ID RH],0)),""))</f>
        <v/>
      </c>
      <c r="V101" s="173"/>
      <c r="W101" s="173"/>
      <c r="X101" s="173"/>
      <c r="Y101" s="173"/>
      <c r="Z101" s="173"/>
      <c r="AA101" s="173"/>
      <c r="AB101" s="173"/>
      <c r="AC101" s="175" t="str">
        <f>IF(AB101="","",INDEX(PARAMETRES!$C$53:$C$64,MONTH(AB101))&amp;" "&amp;YEAR(AB101))</f>
        <v/>
      </c>
      <c r="AD101" s="176" t="str">
        <f t="shared" si="14"/>
        <v/>
      </c>
      <c r="AE101" s="175" t="str">
        <f t="shared" si="15"/>
        <v/>
      </c>
      <c r="AF101" s="176" t="str">
        <f t="shared" si="16"/>
        <v/>
      </c>
      <c r="AG101" s="175" t="str">
        <f t="shared" si="17"/>
        <v/>
      </c>
      <c r="AH101" s="175" t="str">
        <f t="shared" si="18"/>
        <v/>
      </c>
      <c r="AI101" s="173"/>
      <c r="AJ101" s="173"/>
      <c r="AK101" s="173"/>
      <c r="AL101" s="173"/>
      <c r="AM101" s="173"/>
      <c r="AN101" s="176" t="str">
        <f t="shared" si="19"/>
        <v/>
      </c>
      <c r="AO101" s="173"/>
      <c r="AP101" s="172" t="str">
        <f>IF(AO101="","",IFERROR(INDEX(PARAMETRES!$D$536:$D$586,MATCH(AO101,PARAMETRES!$J$536:$J$586,0)),""))</f>
        <v/>
      </c>
      <c r="AQ101" s="172" t="str">
        <f>IF(AO101="","",IFERROR(INDEX(PARAMETRES!$F$536:$F$586,MATCH(AO101,PARAMETRES!$J$536:$J$586,0)),""))</f>
        <v/>
      </c>
      <c r="AR101" s="173"/>
      <c r="AS101" s="173"/>
      <c r="AT101" s="173"/>
      <c r="AU101" s="173"/>
      <c r="AV101" s="173"/>
      <c r="AW101" s="173"/>
      <c r="AX101" s="173"/>
      <c r="AY101" s="175" t="str">
        <f t="shared" si="20"/>
        <v/>
      </c>
      <c r="AZ101" s="173"/>
    </row>
    <row r="102" spans="1:52" ht="15" customHeight="1">
      <c r="A102" s="172" t="str">
        <f t="shared" si="13"/>
        <v/>
      </c>
      <c r="B102" s="173"/>
      <c r="C102" s="174" t="str">
        <f>IF(B102="","",IFERROR(INDEX(tbl_Projets[Titre complet du projet],MATCH(B102,tbl_Projets[ID Projet],0)),""))</f>
        <v/>
      </c>
      <c r="D102" s="172" t="str">
        <f>IF(B102="","",IFERROR(INDEX(tbl_Projets[Domaine d''intervention],MATCH(B102,tbl_Projets[ID Projet],0)),""))</f>
        <v/>
      </c>
      <c r="E102" s="172" t="str">
        <f>IF(B102="","",IFERROR(INDEX(tbl_Projets[Statut du projet],MATCH(B102,tbl_Projets[ID Projet],0)),""))</f>
        <v/>
      </c>
      <c r="F102" s="173"/>
      <c r="G102" s="174" t="str">
        <f>IF(F102="","",IFERROR(INDEX(tbl_Activites[Intitule de l''activite],MATCH(F102,tbl_Activites[ID Activite],0)),""))</f>
        <v/>
      </c>
      <c r="H102" s="172" t="str">
        <f>IF(F102="","",IFERROR(INDEX(tbl_Activites[Statut de l''activite],MATCH(F102,tbl_Activites[ID Activite],0)),""))</f>
        <v/>
      </c>
      <c r="I102" s="173"/>
      <c r="J102" s="174" t="str">
        <f>IF(B102="","",IFERROR(INDEX(tbl_Projets[Objectif general],MATCH(B102,tbl_Projets[ID Projet],0)),""))</f>
        <v/>
      </c>
      <c r="K102" s="173"/>
      <c r="L102" s="173"/>
      <c r="M102" s="173"/>
      <c r="N102" s="173"/>
      <c r="O102" s="173"/>
      <c r="P102" s="173"/>
      <c r="Q102" s="173"/>
      <c r="R102" s="173"/>
      <c r="S102" s="173"/>
      <c r="T102" s="172" t="str">
        <f>IF(S102="","",IFERROR(INDEX(tbl_RH[Nom complet],MATCH(S102,tbl_RH[ID RH],0)),""))</f>
        <v/>
      </c>
      <c r="U102" s="172" t="str">
        <f>IF(S102="","",IFERROR(INDEX(tbl_RH[Fonction],MATCH(S102,tbl_RH[ID RH],0)),""))</f>
        <v/>
      </c>
      <c r="V102" s="173"/>
      <c r="W102" s="173"/>
      <c r="X102" s="173"/>
      <c r="Y102" s="173"/>
      <c r="Z102" s="173"/>
      <c r="AA102" s="173"/>
      <c r="AB102" s="173"/>
      <c r="AC102" s="175" t="str">
        <f>IF(AB102="","",INDEX(PARAMETRES!$C$53:$C$64,MONTH(AB102))&amp;" "&amp;YEAR(AB102))</f>
        <v/>
      </c>
      <c r="AD102" s="176" t="str">
        <f t="shared" si="14"/>
        <v/>
      </c>
      <c r="AE102" s="175" t="str">
        <f t="shared" si="15"/>
        <v/>
      </c>
      <c r="AF102" s="176" t="str">
        <f t="shared" si="16"/>
        <v/>
      </c>
      <c r="AG102" s="175" t="str">
        <f t="shared" si="17"/>
        <v/>
      </c>
      <c r="AH102" s="175" t="str">
        <f t="shared" si="18"/>
        <v/>
      </c>
      <c r="AI102" s="173"/>
      <c r="AJ102" s="173"/>
      <c r="AK102" s="173"/>
      <c r="AL102" s="173"/>
      <c r="AM102" s="173"/>
      <c r="AN102" s="176" t="str">
        <f t="shared" si="19"/>
        <v/>
      </c>
      <c r="AO102" s="173"/>
      <c r="AP102" s="172" t="str">
        <f>IF(AO102="","",IFERROR(INDEX(PARAMETRES!$D$536:$D$586,MATCH(AO102,PARAMETRES!$J$536:$J$586,0)),""))</f>
        <v/>
      </c>
      <c r="AQ102" s="172" t="str">
        <f>IF(AO102="","",IFERROR(INDEX(PARAMETRES!$F$536:$F$586,MATCH(AO102,PARAMETRES!$J$536:$J$586,0)),""))</f>
        <v/>
      </c>
      <c r="AR102" s="173"/>
      <c r="AS102" s="173"/>
      <c r="AT102" s="173"/>
      <c r="AU102" s="173"/>
      <c r="AV102" s="173"/>
      <c r="AW102" s="173"/>
      <c r="AX102" s="173"/>
      <c r="AY102" s="175" t="str">
        <f t="shared" si="20"/>
        <v/>
      </c>
      <c r="AZ102" s="173"/>
    </row>
    <row r="103" spans="1:52" ht="15" customHeight="1">
      <c r="A103" s="172" t="str">
        <f t="shared" si="13"/>
        <v/>
      </c>
      <c r="B103" s="173"/>
      <c r="C103" s="174" t="str">
        <f>IF(B103="","",IFERROR(INDEX(tbl_Projets[Titre complet du projet],MATCH(B103,tbl_Projets[ID Projet],0)),""))</f>
        <v/>
      </c>
      <c r="D103" s="172" t="str">
        <f>IF(B103="","",IFERROR(INDEX(tbl_Projets[Domaine d''intervention],MATCH(B103,tbl_Projets[ID Projet],0)),""))</f>
        <v/>
      </c>
      <c r="E103" s="172" t="str">
        <f>IF(B103="","",IFERROR(INDEX(tbl_Projets[Statut du projet],MATCH(B103,tbl_Projets[ID Projet],0)),""))</f>
        <v/>
      </c>
      <c r="F103" s="173"/>
      <c r="G103" s="174" t="str">
        <f>IF(F103="","",IFERROR(INDEX(tbl_Activites[Intitule de l''activite],MATCH(F103,tbl_Activites[ID Activite],0)),""))</f>
        <v/>
      </c>
      <c r="H103" s="172" t="str">
        <f>IF(F103="","",IFERROR(INDEX(tbl_Activites[Statut de l''activite],MATCH(F103,tbl_Activites[ID Activite],0)),""))</f>
        <v/>
      </c>
      <c r="I103" s="173"/>
      <c r="J103" s="174" t="str">
        <f>IF(B103="","",IFERROR(INDEX(tbl_Projets[Objectif general],MATCH(B103,tbl_Projets[ID Projet],0)),""))</f>
        <v/>
      </c>
      <c r="K103" s="173"/>
      <c r="L103" s="173"/>
      <c r="M103" s="173"/>
      <c r="N103" s="173"/>
      <c r="O103" s="173"/>
      <c r="P103" s="173"/>
      <c r="Q103" s="173"/>
      <c r="R103" s="173"/>
      <c r="S103" s="173"/>
      <c r="T103" s="172" t="str">
        <f>IF(S103="","",IFERROR(INDEX(tbl_RH[Nom complet],MATCH(S103,tbl_RH[ID RH],0)),""))</f>
        <v/>
      </c>
      <c r="U103" s="172" t="str">
        <f>IF(S103="","",IFERROR(INDEX(tbl_RH[Fonction],MATCH(S103,tbl_RH[ID RH],0)),""))</f>
        <v/>
      </c>
      <c r="V103" s="173"/>
      <c r="W103" s="173"/>
      <c r="X103" s="173"/>
      <c r="Y103" s="173"/>
      <c r="Z103" s="173"/>
      <c r="AA103" s="173"/>
      <c r="AB103" s="173"/>
      <c r="AC103" s="175" t="str">
        <f>IF(AB103="","",INDEX(PARAMETRES!$C$53:$C$64,MONTH(AB103))&amp;" "&amp;YEAR(AB103))</f>
        <v/>
      </c>
      <c r="AD103" s="176" t="str">
        <f t="shared" si="14"/>
        <v/>
      </c>
      <c r="AE103" s="175" t="str">
        <f t="shared" si="15"/>
        <v/>
      </c>
      <c r="AF103" s="176" t="str">
        <f t="shared" si="16"/>
        <v/>
      </c>
      <c r="AG103" s="175" t="str">
        <f t="shared" si="17"/>
        <v/>
      </c>
      <c r="AH103" s="175" t="str">
        <f t="shared" si="18"/>
        <v/>
      </c>
      <c r="AI103" s="173"/>
      <c r="AJ103" s="173"/>
      <c r="AK103" s="173"/>
      <c r="AL103" s="173"/>
      <c r="AM103" s="173"/>
      <c r="AN103" s="176" t="str">
        <f t="shared" si="19"/>
        <v/>
      </c>
      <c r="AO103" s="173"/>
      <c r="AP103" s="172" t="str">
        <f>IF(AO103="","",IFERROR(INDEX(PARAMETRES!$D$536:$D$586,MATCH(AO103,PARAMETRES!$J$536:$J$586,0)),""))</f>
        <v/>
      </c>
      <c r="AQ103" s="172" t="str">
        <f>IF(AO103="","",IFERROR(INDEX(PARAMETRES!$F$536:$F$586,MATCH(AO103,PARAMETRES!$J$536:$J$586,0)),""))</f>
        <v/>
      </c>
      <c r="AR103" s="173"/>
      <c r="AS103" s="173"/>
      <c r="AT103" s="173"/>
      <c r="AU103" s="173"/>
      <c r="AV103" s="173"/>
      <c r="AW103" s="173"/>
      <c r="AX103" s="173"/>
      <c r="AY103" s="175" t="str">
        <f t="shared" si="20"/>
        <v/>
      </c>
      <c r="AZ103" s="173"/>
    </row>
    <row r="104" spans="1:52" ht="15" customHeight="1">
      <c r="A104" s="172" t="str">
        <f t="shared" si="13"/>
        <v/>
      </c>
      <c r="B104" s="173"/>
      <c r="C104" s="174" t="str">
        <f>IF(B104="","",IFERROR(INDEX(tbl_Projets[Titre complet du projet],MATCH(B104,tbl_Projets[ID Projet],0)),""))</f>
        <v/>
      </c>
      <c r="D104" s="172" t="str">
        <f>IF(B104="","",IFERROR(INDEX(tbl_Projets[Domaine d''intervention],MATCH(B104,tbl_Projets[ID Projet],0)),""))</f>
        <v/>
      </c>
      <c r="E104" s="172" t="str">
        <f>IF(B104="","",IFERROR(INDEX(tbl_Projets[Statut du projet],MATCH(B104,tbl_Projets[ID Projet],0)),""))</f>
        <v/>
      </c>
      <c r="F104" s="173"/>
      <c r="G104" s="174" t="str">
        <f>IF(F104="","",IFERROR(INDEX(tbl_Activites[Intitule de l''activite],MATCH(F104,tbl_Activites[ID Activite],0)),""))</f>
        <v/>
      </c>
      <c r="H104" s="172" t="str">
        <f>IF(F104="","",IFERROR(INDEX(tbl_Activites[Statut de l''activite],MATCH(F104,tbl_Activites[ID Activite],0)),""))</f>
        <v/>
      </c>
      <c r="I104" s="173"/>
      <c r="J104" s="174" t="str">
        <f>IF(B104="","",IFERROR(INDEX(tbl_Projets[Objectif general],MATCH(B104,tbl_Projets[ID Projet],0)),""))</f>
        <v/>
      </c>
      <c r="K104" s="173"/>
      <c r="L104" s="173"/>
      <c r="M104" s="173"/>
      <c r="N104" s="173"/>
      <c r="O104" s="173"/>
      <c r="P104" s="173"/>
      <c r="Q104" s="173"/>
      <c r="R104" s="173"/>
      <c r="S104" s="173"/>
      <c r="T104" s="172" t="str">
        <f>IF(S104="","",IFERROR(INDEX(tbl_RH[Nom complet],MATCH(S104,tbl_RH[ID RH],0)),""))</f>
        <v/>
      </c>
      <c r="U104" s="172" t="str">
        <f>IF(S104="","",IFERROR(INDEX(tbl_RH[Fonction],MATCH(S104,tbl_RH[ID RH],0)),""))</f>
        <v/>
      </c>
      <c r="V104" s="173"/>
      <c r="W104" s="173"/>
      <c r="X104" s="173"/>
      <c r="Y104" s="173"/>
      <c r="Z104" s="173"/>
      <c r="AA104" s="173"/>
      <c r="AB104" s="173"/>
      <c r="AC104" s="175" t="str">
        <f>IF(AB104="","",INDEX(PARAMETRES!$C$53:$C$64,MONTH(AB104))&amp;" "&amp;YEAR(AB104))</f>
        <v/>
      </c>
      <c r="AD104" s="176" t="str">
        <f t="shared" si="14"/>
        <v/>
      </c>
      <c r="AE104" s="175" t="str">
        <f t="shared" si="15"/>
        <v/>
      </c>
      <c r="AF104" s="176" t="str">
        <f t="shared" si="16"/>
        <v/>
      </c>
      <c r="AG104" s="175" t="str">
        <f t="shared" si="17"/>
        <v/>
      </c>
      <c r="AH104" s="175" t="str">
        <f t="shared" si="18"/>
        <v/>
      </c>
      <c r="AI104" s="173"/>
      <c r="AJ104" s="173"/>
      <c r="AK104" s="173"/>
      <c r="AL104" s="173"/>
      <c r="AM104" s="173"/>
      <c r="AN104" s="176" t="str">
        <f t="shared" si="19"/>
        <v/>
      </c>
      <c r="AO104" s="173"/>
      <c r="AP104" s="172" t="str">
        <f>IF(AO104="","",IFERROR(INDEX(PARAMETRES!$D$536:$D$586,MATCH(AO104,PARAMETRES!$J$536:$J$586,0)),""))</f>
        <v/>
      </c>
      <c r="AQ104" s="172" t="str">
        <f>IF(AO104="","",IFERROR(INDEX(PARAMETRES!$F$536:$F$586,MATCH(AO104,PARAMETRES!$J$536:$J$586,0)),""))</f>
        <v/>
      </c>
      <c r="AR104" s="173"/>
      <c r="AS104" s="173"/>
      <c r="AT104" s="173"/>
      <c r="AU104" s="173"/>
      <c r="AV104" s="173"/>
      <c r="AW104" s="173"/>
      <c r="AX104" s="173"/>
      <c r="AY104" s="175" t="str">
        <f t="shared" si="20"/>
        <v/>
      </c>
      <c r="AZ104" s="173"/>
    </row>
    <row r="107" spans="1:52" ht="19.5" customHeight="1">
      <c r="A107" s="310" t="s">
        <v>2459</v>
      </c>
      <c r="B107" s="307"/>
      <c r="C107" s="307"/>
      <c r="D107" s="307"/>
      <c r="E107" s="307"/>
      <c r="F107" s="307"/>
      <c r="G107" s="307"/>
      <c r="H107" s="307"/>
      <c r="I107" s="307"/>
      <c r="J107" s="307"/>
      <c r="K107" s="307"/>
      <c r="L107" s="307"/>
      <c r="M107" s="307"/>
      <c r="N107" s="307"/>
      <c r="O107" s="307"/>
      <c r="P107" s="307"/>
      <c r="Q107" s="307"/>
      <c r="R107" s="307"/>
      <c r="S107" s="307"/>
      <c r="T107" s="307"/>
      <c r="U107" s="307"/>
    </row>
    <row r="108" spans="1:52" ht="30" customHeight="1">
      <c r="A108" s="32" t="s">
        <v>1428</v>
      </c>
      <c r="B108" s="32" t="s">
        <v>1648</v>
      </c>
      <c r="C108" s="32" t="s">
        <v>1586</v>
      </c>
      <c r="D108" s="32" t="s">
        <v>2460</v>
      </c>
      <c r="E108" s="32" t="s">
        <v>1751</v>
      </c>
      <c r="F108" s="32" t="s">
        <v>2461</v>
      </c>
      <c r="G108" s="32" t="s">
        <v>2462</v>
      </c>
      <c r="H108" s="32" t="s">
        <v>2463</v>
      </c>
      <c r="I108" s="32" t="s">
        <v>1660</v>
      </c>
      <c r="J108" s="32" t="s">
        <v>1712</v>
      </c>
      <c r="K108" s="32" t="s">
        <v>175</v>
      </c>
      <c r="L108" s="32" t="s">
        <v>1819</v>
      </c>
    </row>
    <row r="109" spans="1:52" ht="15" customHeight="1">
      <c r="A109" s="173"/>
      <c r="B109" s="173"/>
      <c r="C109" s="174" t="str">
        <f>IF(B109="","",IFERROR(INDEX(tbl_Projets[Titre complet du projet],MATCH(B109,tbl_Projets[ID Projet],0)),""))</f>
        <v/>
      </c>
      <c r="D109" s="173"/>
      <c r="E109" s="173"/>
      <c r="F109" s="173"/>
      <c r="G109" s="173"/>
      <c r="H109" s="173"/>
      <c r="I109" s="172" t="str">
        <f>IF(H109="","",IFERROR(INDEX(tbl_RH[Nom complet],MATCH(H109,tbl_RH[ID RH],0)),""))</f>
        <v/>
      </c>
      <c r="J109" s="173"/>
      <c r="K109" s="173"/>
      <c r="L109" s="173"/>
    </row>
    <row r="110" spans="1:52" ht="15" customHeight="1">
      <c r="A110" s="173"/>
      <c r="B110" s="173"/>
      <c r="C110" s="174" t="str">
        <f>IF(B110="","",IFERROR(INDEX(tbl_Projets[Titre complet du projet],MATCH(B110,tbl_Projets[ID Projet],0)),""))</f>
        <v/>
      </c>
      <c r="D110" s="173"/>
      <c r="E110" s="173"/>
      <c r="F110" s="173"/>
      <c r="G110" s="173"/>
      <c r="H110" s="173"/>
      <c r="I110" s="172" t="str">
        <f>IF(H110="","",IFERROR(INDEX(tbl_RH[Nom complet],MATCH(H110,tbl_RH[ID RH],0)),""))</f>
        <v/>
      </c>
      <c r="J110" s="173"/>
      <c r="K110" s="173"/>
      <c r="L110" s="173"/>
    </row>
    <row r="111" spans="1:52" ht="15" customHeight="1">
      <c r="A111" s="173"/>
      <c r="B111" s="173"/>
      <c r="C111" s="174" t="str">
        <f>IF(B111="","",IFERROR(INDEX(tbl_Projets[Titre complet du projet],MATCH(B111,tbl_Projets[ID Projet],0)),""))</f>
        <v/>
      </c>
      <c r="D111" s="173"/>
      <c r="E111" s="173"/>
      <c r="F111" s="173"/>
      <c r="G111" s="173"/>
      <c r="H111" s="173"/>
      <c r="I111" s="172" t="str">
        <f>IF(H111="","",IFERROR(INDEX(tbl_RH[Nom complet],MATCH(H111,tbl_RH[ID RH],0)),""))</f>
        <v/>
      </c>
      <c r="J111" s="173"/>
      <c r="K111" s="173"/>
      <c r="L111" s="173"/>
    </row>
    <row r="112" spans="1:52" ht="15" customHeight="1">
      <c r="A112" s="173"/>
      <c r="B112" s="173"/>
      <c r="C112" s="174" t="str">
        <f>IF(B112="","",IFERROR(INDEX(tbl_Projets[Titre complet du projet],MATCH(B112,tbl_Projets[ID Projet],0)),""))</f>
        <v/>
      </c>
      <c r="D112" s="173"/>
      <c r="E112" s="173"/>
      <c r="F112" s="173"/>
      <c r="G112" s="173"/>
      <c r="H112" s="173"/>
      <c r="I112" s="172" t="str">
        <f>IF(H112="","",IFERROR(INDEX(tbl_RH[Nom complet],MATCH(H112,tbl_RH[ID RH],0)),""))</f>
        <v/>
      </c>
      <c r="J112" s="173"/>
      <c r="K112" s="173"/>
      <c r="L112" s="173"/>
    </row>
    <row r="113" spans="1:12" ht="15" customHeight="1">
      <c r="A113" s="173"/>
      <c r="B113" s="173"/>
      <c r="C113" s="174" t="str">
        <f>IF(B113="","",IFERROR(INDEX(tbl_Projets[Titre complet du projet],MATCH(B113,tbl_Projets[ID Projet],0)),""))</f>
        <v/>
      </c>
      <c r="D113" s="173"/>
      <c r="E113" s="173"/>
      <c r="F113" s="173"/>
      <c r="G113" s="173"/>
      <c r="H113" s="173"/>
      <c r="I113" s="172" t="str">
        <f>IF(H113="","",IFERROR(INDEX(tbl_RH[Nom complet],MATCH(H113,tbl_RH[ID RH],0)),""))</f>
        <v/>
      </c>
      <c r="J113" s="173"/>
      <c r="K113" s="173"/>
      <c r="L113" s="173"/>
    </row>
    <row r="114" spans="1:12" ht="15" customHeight="1">
      <c r="A114" s="173"/>
      <c r="B114" s="173"/>
      <c r="C114" s="174" t="str">
        <f>IF(B114="","",IFERROR(INDEX(tbl_Projets[Titre complet du projet],MATCH(B114,tbl_Projets[ID Projet],0)),""))</f>
        <v/>
      </c>
      <c r="D114" s="173"/>
      <c r="E114" s="173"/>
      <c r="F114" s="173"/>
      <c r="G114" s="173"/>
      <c r="H114" s="173"/>
      <c r="I114" s="172" t="str">
        <f>IF(H114="","",IFERROR(INDEX(tbl_RH[Nom complet],MATCH(H114,tbl_RH[ID RH],0)),""))</f>
        <v/>
      </c>
      <c r="J114" s="173"/>
      <c r="K114" s="173"/>
      <c r="L114" s="173"/>
    </row>
    <row r="115" spans="1:12" ht="15" customHeight="1">
      <c r="A115" s="173"/>
      <c r="B115" s="173"/>
      <c r="C115" s="174" t="str">
        <f>IF(B115="","",IFERROR(INDEX(tbl_Projets[Titre complet du projet],MATCH(B115,tbl_Projets[ID Projet],0)),""))</f>
        <v/>
      </c>
      <c r="D115" s="173"/>
      <c r="E115" s="173"/>
      <c r="F115" s="173"/>
      <c r="G115" s="173"/>
      <c r="H115" s="173"/>
      <c r="I115" s="172" t="str">
        <f>IF(H115="","",IFERROR(INDEX(tbl_RH[Nom complet],MATCH(H115,tbl_RH[ID RH],0)),""))</f>
        <v/>
      </c>
      <c r="J115" s="173"/>
      <c r="K115" s="173"/>
      <c r="L115" s="173"/>
    </row>
    <row r="116" spans="1:12" ht="15" customHeight="1">
      <c r="A116" s="173"/>
      <c r="B116" s="173"/>
      <c r="C116" s="174" t="str">
        <f>IF(B116="","",IFERROR(INDEX(tbl_Projets[Titre complet du projet],MATCH(B116,tbl_Projets[ID Projet],0)),""))</f>
        <v/>
      </c>
      <c r="D116" s="173"/>
      <c r="E116" s="173"/>
      <c r="F116" s="173"/>
      <c r="G116" s="173"/>
      <c r="H116" s="173"/>
      <c r="I116" s="172" t="str">
        <f>IF(H116="","",IFERROR(INDEX(tbl_RH[Nom complet],MATCH(H116,tbl_RH[ID RH],0)),""))</f>
        <v/>
      </c>
      <c r="J116" s="173"/>
      <c r="K116" s="173"/>
      <c r="L116" s="173"/>
    </row>
    <row r="117" spans="1:12" ht="15" customHeight="1">
      <c r="A117" s="173"/>
      <c r="B117" s="173"/>
      <c r="C117" s="174" t="str">
        <f>IF(B117="","",IFERROR(INDEX(tbl_Projets[Titre complet du projet],MATCH(B117,tbl_Projets[ID Projet],0)),""))</f>
        <v/>
      </c>
      <c r="D117" s="173"/>
      <c r="E117" s="173"/>
      <c r="F117" s="173"/>
      <c r="G117" s="173"/>
      <c r="H117" s="173"/>
      <c r="I117" s="172" t="str">
        <f>IF(H117="","",IFERROR(INDEX(tbl_RH[Nom complet],MATCH(H117,tbl_RH[ID RH],0)),""))</f>
        <v/>
      </c>
      <c r="J117" s="173"/>
      <c r="K117" s="173"/>
      <c r="L117" s="173"/>
    </row>
    <row r="118" spans="1:12" ht="15" customHeight="1">
      <c r="A118" s="173"/>
      <c r="B118" s="173"/>
      <c r="C118" s="174" t="str">
        <f>IF(B118="","",IFERROR(INDEX(tbl_Projets[Titre complet du projet],MATCH(B118,tbl_Projets[ID Projet],0)),""))</f>
        <v/>
      </c>
      <c r="D118" s="173"/>
      <c r="E118" s="173"/>
      <c r="F118" s="173"/>
      <c r="G118" s="173"/>
      <c r="H118" s="173"/>
      <c r="I118" s="172" t="str">
        <f>IF(H118="","",IFERROR(INDEX(tbl_RH[Nom complet],MATCH(H118,tbl_RH[ID RH],0)),""))</f>
        <v/>
      </c>
      <c r="J118" s="173"/>
      <c r="K118" s="173"/>
      <c r="L118" s="173"/>
    </row>
    <row r="119" spans="1:12" ht="15" customHeight="1">
      <c r="A119" s="173"/>
      <c r="B119" s="173"/>
      <c r="C119" s="174" t="str">
        <f>IF(B119="","",IFERROR(INDEX(tbl_Projets[Titre complet du projet],MATCH(B119,tbl_Projets[ID Projet],0)),""))</f>
        <v/>
      </c>
      <c r="D119" s="173"/>
      <c r="E119" s="173"/>
      <c r="F119" s="173"/>
      <c r="G119" s="173"/>
      <c r="H119" s="173"/>
      <c r="I119" s="172" t="str">
        <f>IF(H119="","",IFERROR(INDEX(tbl_RH[Nom complet],MATCH(H119,tbl_RH[ID RH],0)),""))</f>
        <v/>
      </c>
      <c r="J119" s="173"/>
      <c r="K119" s="173"/>
      <c r="L119" s="173"/>
    </row>
    <row r="120" spans="1:12" ht="15" customHeight="1">
      <c r="A120" s="173"/>
      <c r="B120" s="173"/>
      <c r="C120" s="174" t="str">
        <f>IF(B120="","",IFERROR(INDEX(tbl_Projets[Titre complet du projet],MATCH(B120,tbl_Projets[ID Projet],0)),""))</f>
        <v/>
      </c>
      <c r="D120" s="173"/>
      <c r="E120" s="173"/>
      <c r="F120" s="173"/>
      <c r="G120" s="173"/>
      <c r="H120" s="173"/>
      <c r="I120" s="172" t="str">
        <f>IF(H120="","",IFERROR(INDEX(tbl_RH[Nom complet],MATCH(H120,tbl_RH[ID RH],0)),""))</f>
        <v/>
      </c>
      <c r="J120" s="173"/>
      <c r="K120" s="173"/>
      <c r="L120" s="173"/>
    </row>
    <row r="121" spans="1:12" ht="15" customHeight="1">
      <c r="A121" s="173"/>
      <c r="B121" s="173"/>
      <c r="C121" s="174" t="str">
        <f>IF(B121="","",IFERROR(INDEX(tbl_Projets[Titre complet du projet],MATCH(B121,tbl_Projets[ID Projet],0)),""))</f>
        <v/>
      </c>
      <c r="D121" s="173"/>
      <c r="E121" s="173"/>
      <c r="F121" s="173"/>
      <c r="G121" s="173"/>
      <c r="H121" s="173"/>
      <c r="I121" s="172" t="str">
        <f>IF(H121="","",IFERROR(INDEX(tbl_RH[Nom complet],MATCH(H121,tbl_RH[ID RH],0)),""))</f>
        <v/>
      </c>
      <c r="J121" s="173"/>
      <c r="K121" s="173"/>
      <c r="L121" s="173"/>
    </row>
    <row r="122" spans="1:12" ht="15" customHeight="1">
      <c r="A122" s="173"/>
      <c r="B122" s="173"/>
      <c r="C122" s="174" t="str">
        <f>IF(B122="","",IFERROR(INDEX(tbl_Projets[Titre complet du projet],MATCH(B122,tbl_Projets[ID Projet],0)),""))</f>
        <v/>
      </c>
      <c r="D122" s="173"/>
      <c r="E122" s="173"/>
      <c r="F122" s="173"/>
      <c r="G122" s="173"/>
      <c r="H122" s="173"/>
      <c r="I122" s="172" t="str">
        <f>IF(H122="","",IFERROR(INDEX(tbl_RH[Nom complet],MATCH(H122,tbl_RH[ID RH],0)),""))</f>
        <v/>
      </c>
      <c r="J122" s="173"/>
      <c r="K122" s="173"/>
      <c r="L122" s="173"/>
    </row>
    <row r="123" spans="1:12" ht="15" customHeight="1">
      <c r="A123" s="173"/>
      <c r="B123" s="173"/>
      <c r="C123" s="174" t="str">
        <f>IF(B123="","",IFERROR(INDEX(tbl_Projets[Titre complet du projet],MATCH(B123,tbl_Projets[ID Projet],0)),""))</f>
        <v/>
      </c>
      <c r="D123" s="173"/>
      <c r="E123" s="173"/>
      <c r="F123" s="173"/>
      <c r="G123" s="173"/>
      <c r="H123" s="173"/>
      <c r="I123" s="172" t="str">
        <f>IF(H123="","",IFERROR(INDEX(tbl_RH[Nom complet],MATCH(H123,tbl_RH[ID RH],0)),""))</f>
        <v/>
      </c>
      <c r="J123" s="173"/>
      <c r="K123" s="173"/>
      <c r="L123" s="173"/>
    </row>
    <row r="124" spans="1:12" ht="15" customHeight="1">
      <c r="A124" s="173"/>
      <c r="B124" s="173"/>
      <c r="C124" s="174" t="str">
        <f>IF(B124="","",IFERROR(INDEX(tbl_Projets[Titre complet du projet],MATCH(B124,tbl_Projets[ID Projet],0)),""))</f>
        <v/>
      </c>
      <c r="D124" s="173"/>
      <c r="E124" s="173"/>
      <c r="F124" s="173"/>
      <c r="G124" s="173"/>
      <c r="H124" s="173"/>
      <c r="I124" s="172" t="str">
        <f>IF(H124="","",IFERROR(INDEX(tbl_RH[Nom complet],MATCH(H124,tbl_RH[ID RH],0)),""))</f>
        <v/>
      </c>
      <c r="J124" s="173"/>
      <c r="K124" s="173"/>
      <c r="L124" s="173"/>
    </row>
    <row r="125" spans="1:12" ht="15" customHeight="1">
      <c r="A125" s="173"/>
      <c r="B125" s="173"/>
      <c r="C125" s="174" t="str">
        <f>IF(B125="","",IFERROR(INDEX(tbl_Projets[Titre complet du projet],MATCH(B125,tbl_Projets[ID Projet],0)),""))</f>
        <v/>
      </c>
      <c r="D125" s="173"/>
      <c r="E125" s="173"/>
      <c r="F125" s="173"/>
      <c r="G125" s="173"/>
      <c r="H125" s="173"/>
      <c r="I125" s="172" t="str">
        <f>IF(H125="","",IFERROR(INDEX(tbl_RH[Nom complet],MATCH(H125,tbl_RH[ID RH],0)),""))</f>
        <v/>
      </c>
      <c r="J125" s="173"/>
      <c r="K125" s="173"/>
      <c r="L125" s="173"/>
    </row>
    <row r="126" spans="1:12" ht="15" customHeight="1">
      <c r="A126" s="173"/>
      <c r="B126" s="173"/>
      <c r="C126" s="174" t="str">
        <f>IF(B126="","",IFERROR(INDEX(tbl_Projets[Titre complet du projet],MATCH(B126,tbl_Projets[ID Projet],0)),""))</f>
        <v/>
      </c>
      <c r="D126" s="173"/>
      <c r="E126" s="173"/>
      <c r="F126" s="173"/>
      <c r="G126" s="173"/>
      <c r="H126" s="173"/>
      <c r="I126" s="172" t="str">
        <f>IF(H126="","",IFERROR(INDEX(tbl_RH[Nom complet],MATCH(H126,tbl_RH[ID RH],0)),""))</f>
        <v/>
      </c>
      <c r="J126" s="173"/>
      <c r="K126" s="173"/>
      <c r="L126" s="173"/>
    </row>
    <row r="127" spans="1:12" ht="15" customHeight="1">
      <c r="A127" s="173"/>
      <c r="B127" s="173"/>
      <c r="C127" s="174" t="str">
        <f>IF(B127="","",IFERROR(INDEX(tbl_Projets[Titre complet du projet],MATCH(B127,tbl_Projets[ID Projet],0)),""))</f>
        <v/>
      </c>
      <c r="D127" s="173"/>
      <c r="E127" s="173"/>
      <c r="F127" s="173"/>
      <c r="G127" s="173"/>
      <c r="H127" s="173"/>
      <c r="I127" s="172" t="str">
        <f>IF(H127="","",IFERROR(INDEX(tbl_RH[Nom complet],MATCH(H127,tbl_RH[ID RH],0)),""))</f>
        <v/>
      </c>
      <c r="J127" s="173"/>
      <c r="K127" s="173"/>
      <c r="L127" s="173"/>
    </row>
    <row r="128" spans="1:12" ht="15" customHeight="1">
      <c r="A128" s="173"/>
      <c r="B128" s="173"/>
      <c r="C128" s="174" t="str">
        <f>IF(B128="","",IFERROR(INDEX(tbl_Projets[Titre complet du projet],MATCH(B128,tbl_Projets[ID Projet],0)),""))</f>
        <v/>
      </c>
      <c r="D128" s="173"/>
      <c r="E128" s="173"/>
      <c r="F128" s="173"/>
      <c r="G128" s="173"/>
      <c r="H128" s="173"/>
      <c r="I128" s="172" t="str">
        <f>IF(H128="","",IFERROR(INDEX(tbl_RH[Nom complet],MATCH(H128,tbl_RH[ID RH],0)),""))</f>
        <v/>
      </c>
      <c r="J128" s="173"/>
      <c r="K128" s="173"/>
      <c r="L128" s="173"/>
    </row>
    <row r="131" spans="1:21" ht="19.5" customHeight="1">
      <c r="A131" s="310" t="s">
        <v>2464</v>
      </c>
      <c r="B131" s="307"/>
      <c r="C131" s="307"/>
      <c r="D131" s="307"/>
      <c r="E131" s="307"/>
      <c r="F131" s="307"/>
      <c r="G131" s="307"/>
      <c r="H131" s="307"/>
      <c r="I131" s="307"/>
      <c r="J131" s="307"/>
      <c r="K131" s="307"/>
      <c r="L131" s="307"/>
      <c r="M131" s="307"/>
      <c r="N131" s="307"/>
      <c r="O131" s="307"/>
      <c r="P131" s="307"/>
      <c r="Q131" s="307"/>
      <c r="R131" s="307"/>
      <c r="S131" s="307"/>
      <c r="T131" s="307"/>
      <c r="U131" s="307"/>
    </row>
    <row r="132" spans="1:21" ht="30" customHeight="1">
      <c r="A132" s="32" t="s">
        <v>1428</v>
      </c>
      <c r="B132" s="32" t="s">
        <v>1648</v>
      </c>
      <c r="C132" s="32" t="s">
        <v>1586</v>
      </c>
      <c r="D132" s="32" t="s">
        <v>2465</v>
      </c>
      <c r="E132" s="32" t="s">
        <v>2466</v>
      </c>
      <c r="F132" s="32" t="s">
        <v>2467</v>
      </c>
      <c r="G132" s="32" t="s">
        <v>2468</v>
      </c>
      <c r="H132" s="32" t="s">
        <v>2469</v>
      </c>
      <c r="I132" s="32" t="s">
        <v>2470</v>
      </c>
    </row>
    <row r="133" spans="1:21" ht="15" customHeight="1">
      <c r="A133" s="173"/>
      <c r="B133" s="173"/>
      <c r="C133" s="174" t="str">
        <f>IF(B133="","",IFERROR(INDEX(tbl_Projets[Titre complet du projet],MATCH(B133,tbl_Projets[ID Projet],0)),""))</f>
        <v/>
      </c>
      <c r="D133" s="173"/>
      <c r="E133" s="173"/>
      <c r="F133" s="173"/>
      <c r="G133" s="173"/>
      <c r="H133" s="173"/>
      <c r="I133" s="173"/>
    </row>
    <row r="134" spans="1:21" ht="15" customHeight="1">
      <c r="A134" s="173"/>
      <c r="B134" s="173"/>
      <c r="C134" s="174" t="str">
        <f>IF(B134="","",IFERROR(INDEX(tbl_Projets[Titre complet du projet],MATCH(B134,tbl_Projets[ID Projet],0)),""))</f>
        <v/>
      </c>
      <c r="D134" s="173"/>
      <c r="E134" s="173"/>
      <c r="F134" s="173"/>
      <c r="G134" s="173"/>
      <c r="H134" s="173"/>
      <c r="I134" s="173"/>
    </row>
    <row r="135" spans="1:21" ht="15" customHeight="1">
      <c r="A135" s="173"/>
      <c r="B135" s="173"/>
      <c r="C135" s="174" t="str">
        <f>IF(B135="","",IFERROR(INDEX(tbl_Projets[Titre complet du projet],MATCH(B135,tbl_Projets[ID Projet],0)),""))</f>
        <v/>
      </c>
      <c r="D135" s="173"/>
      <c r="E135" s="173"/>
      <c r="F135" s="173"/>
      <c r="G135" s="173"/>
      <c r="H135" s="173"/>
      <c r="I135" s="173"/>
    </row>
    <row r="136" spans="1:21" ht="15" customHeight="1">
      <c r="A136" s="173"/>
      <c r="B136" s="173"/>
      <c r="C136" s="174" t="str">
        <f>IF(B136="","",IFERROR(INDEX(tbl_Projets[Titre complet du projet],MATCH(B136,tbl_Projets[ID Projet],0)),""))</f>
        <v/>
      </c>
      <c r="D136" s="173"/>
      <c r="E136" s="173"/>
      <c r="F136" s="173"/>
      <c r="G136" s="173"/>
      <c r="H136" s="173"/>
      <c r="I136" s="173"/>
    </row>
    <row r="137" spans="1:21" ht="15" customHeight="1">
      <c r="A137" s="173"/>
      <c r="B137" s="173"/>
      <c r="C137" s="174" t="str">
        <f>IF(B137="","",IFERROR(INDEX(tbl_Projets[Titre complet du projet],MATCH(B137,tbl_Projets[ID Projet],0)),""))</f>
        <v/>
      </c>
      <c r="D137" s="173"/>
      <c r="E137" s="173"/>
      <c r="F137" s="173"/>
      <c r="G137" s="173"/>
      <c r="H137" s="173"/>
      <c r="I137" s="173"/>
    </row>
    <row r="138" spans="1:21" ht="15" customHeight="1">
      <c r="A138" s="173"/>
      <c r="B138" s="173"/>
      <c r="C138" s="174" t="str">
        <f>IF(B138="","",IFERROR(INDEX(tbl_Projets[Titre complet du projet],MATCH(B138,tbl_Projets[ID Projet],0)),""))</f>
        <v/>
      </c>
      <c r="D138" s="173"/>
      <c r="E138" s="173"/>
      <c r="F138" s="173"/>
      <c r="G138" s="173"/>
      <c r="H138" s="173"/>
      <c r="I138" s="173"/>
    </row>
    <row r="139" spans="1:21" ht="15" customHeight="1">
      <c r="A139" s="173"/>
      <c r="B139" s="173"/>
      <c r="C139" s="174" t="str">
        <f>IF(B139="","",IFERROR(INDEX(tbl_Projets[Titre complet du projet],MATCH(B139,tbl_Projets[ID Projet],0)),""))</f>
        <v/>
      </c>
      <c r="D139" s="173"/>
      <c r="E139" s="173"/>
      <c r="F139" s="173"/>
      <c r="G139" s="173"/>
      <c r="H139" s="173"/>
      <c r="I139" s="173"/>
    </row>
    <row r="140" spans="1:21" ht="15" customHeight="1">
      <c r="A140" s="173"/>
      <c r="B140" s="173"/>
      <c r="C140" s="174" t="str">
        <f>IF(B140="","",IFERROR(INDEX(tbl_Projets[Titre complet du projet],MATCH(B140,tbl_Projets[ID Projet],0)),""))</f>
        <v/>
      </c>
      <c r="D140" s="173"/>
      <c r="E140" s="173"/>
      <c r="F140" s="173"/>
      <c r="G140" s="173"/>
      <c r="H140" s="173"/>
      <c r="I140" s="173"/>
    </row>
    <row r="141" spans="1:21" ht="15" customHeight="1">
      <c r="A141" s="173"/>
      <c r="B141" s="173"/>
      <c r="C141" s="174" t="str">
        <f>IF(B141="","",IFERROR(INDEX(tbl_Projets[Titre complet du projet],MATCH(B141,tbl_Projets[ID Projet],0)),""))</f>
        <v/>
      </c>
      <c r="D141" s="173"/>
      <c r="E141" s="173"/>
      <c r="F141" s="173"/>
      <c r="G141" s="173"/>
      <c r="H141" s="173"/>
      <c r="I141" s="173"/>
    </row>
    <row r="142" spans="1:21" ht="15" customHeight="1">
      <c r="A142" s="173"/>
      <c r="B142" s="173"/>
      <c r="C142" s="174" t="str">
        <f>IF(B142="","",IFERROR(INDEX(tbl_Projets[Titre complet du projet],MATCH(B142,tbl_Projets[ID Projet],0)),""))</f>
        <v/>
      </c>
      <c r="D142" s="173"/>
      <c r="E142" s="173"/>
      <c r="F142" s="173"/>
      <c r="G142" s="173"/>
      <c r="H142" s="173"/>
      <c r="I142" s="173"/>
    </row>
    <row r="143" spans="1:21" ht="15" customHeight="1">
      <c r="A143" s="173"/>
      <c r="B143" s="173"/>
      <c r="C143" s="174" t="str">
        <f>IF(B143="","",IFERROR(INDEX(tbl_Projets[Titre complet du projet],MATCH(B143,tbl_Projets[ID Projet],0)),""))</f>
        <v/>
      </c>
      <c r="D143" s="173"/>
      <c r="E143" s="173"/>
      <c r="F143" s="173"/>
      <c r="G143" s="173"/>
      <c r="H143" s="173"/>
      <c r="I143" s="173"/>
    </row>
    <row r="144" spans="1:21" ht="15" customHeight="1">
      <c r="A144" s="173"/>
      <c r="B144" s="173"/>
      <c r="C144" s="174" t="str">
        <f>IF(B144="","",IFERROR(INDEX(tbl_Projets[Titre complet du projet],MATCH(B144,tbl_Projets[ID Projet],0)),""))</f>
        <v/>
      </c>
      <c r="D144" s="173"/>
      <c r="E144" s="173"/>
      <c r="F144" s="173"/>
      <c r="G144" s="173"/>
      <c r="H144" s="173"/>
      <c r="I144" s="173"/>
    </row>
    <row r="145" spans="1:21" ht="15" customHeight="1">
      <c r="A145" s="173"/>
      <c r="B145" s="173"/>
      <c r="C145" s="174" t="str">
        <f>IF(B145="","",IFERROR(INDEX(tbl_Projets[Titre complet du projet],MATCH(B145,tbl_Projets[ID Projet],0)),""))</f>
        <v/>
      </c>
      <c r="D145" s="173"/>
      <c r="E145" s="173"/>
      <c r="F145" s="173"/>
      <c r="G145" s="173"/>
      <c r="H145" s="173"/>
      <c r="I145" s="173"/>
    </row>
    <row r="146" spans="1:21" ht="15" customHeight="1">
      <c r="A146" s="173"/>
      <c r="B146" s="173"/>
      <c r="C146" s="174" t="str">
        <f>IF(B146="","",IFERROR(INDEX(tbl_Projets[Titre complet du projet],MATCH(B146,tbl_Projets[ID Projet],0)),""))</f>
        <v/>
      </c>
      <c r="D146" s="173"/>
      <c r="E146" s="173"/>
      <c r="F146" s="173"/>
      <c r="G146" s="173"/>
      <c r="H146" s="173"/>
      <c r="I146" s="173"/>
    </row>
    <row r="147" spans="1:21" ht="15" customHeight="1">
      <c r="A147" s="173"/>
      <c r="B147" s="173"/>
      <c r="C147" s="174" t="str">
        <f>IF(B147="","",IFERROR(INDEX(tbl_Projets[Titre complet du projet],MATCH(B147,tbl_Projets[ID Projet],0)),""))</f>
        <v/>
      </c>
      <c r="D147" s="173"/>
      <c r="E147" s="173"/>
      <c r="F147" s="173"/>
      <c r="G147" s="173"/>
      <c r="H147" s="173"/>
      <c r="I147" s="173"/>
    </row>
    <row r="148" spans="1:21" ht="15" customHeight="1">
      <c r="A148" s="173"/>
      <c r="B148" s="173"/>
      <c r="C148" s="174" t="str">
        <f>IF(B148="","",IFERROR(INDEX(tbl_Projets[Titre complet du projet],MATCH(B148,tbl_Projets[ID Projet],0)),""))</f>
        <v/>
      </c>
      <c r="D148" s="173"/>
      <c r="E148" s="173"/>
      <c r="F148" s="173"/>
      <c r="G148" s="173"/>
      <c r="H148" s="173"/>
      <c r="I148" s="173"/>
    </row>
    <row r="149" spans="1:21" ht="15" customHeight="1">
      <c r="A149" s="173"/>
      <c r="B149" s="173"/>
      <c r="C149" s="174" t="str">
        <f>IF(B149="","",IFERROR(INDEX(tbl_Projets[Titre complet du projet],MATCH(B149,tbl_Projets[ID Projet],0)),""))</f>
        <v/>
      </c>
      <c r="D149" s="173"/>
      <c r="E149" s="173"/>
      <c r="F149" s="173"/>
      <c r="G149" s="173"/>
      <c r="H149" s="173"/>
      <c r="I149" s="173"/>
    </row>
    <row r="150" spans="1:21" ht="15" customHeight="1">
      <c r="A150" s="173"/>
      <c r="B150" s="173"/>
      <c r="C150" s="174" t="str">
        <f>IF(B150="","",IFERROR(INDEX(tbl_Projets[Titre complet du projet],MATCH(B150,tbl_Projets[ID Projet],0)),""))</f>
        <v/>
      </c>
      <c r="D150" s="173"/>
      <c r="E150" s="173"/>
      <c r="F150" s="173"/>
      <c r="G150" s="173"/>
      <c r="H150" s="173"/>
      <c r="I150" s="173"/>
    </row>
    <row r="151" spans="1:21" ht="15" customHeight="1">
      <c r="A151" s="173"/>
      <c r="B151" s="173"/>
      <c r="C151" s="174" t="str">
        <f>IF(B151="","",IFERROR(INDEX(tbl_Projets[Titre complet du projet],MATCH(B151,tbl_Projets[ID Projet],0)),""))</f>
        <v/>
      </c>
      <c r="D151" s="173"/>
      <c r="E151" s="173"/>
      <c r="F151" s="173"/>
      <c r="G151" s="173"/>
      <c r="H151" s="173"/>
      <c r="I151" s="173"/>
    </row>
    <row r="152" spans="1:21" ht="15" customHeight="1">
      <c r="A152" s="173"/>
      <c r="B152" s="173"/>
      <c r="C152" s="174" t="str">
        <f>IF(B152="","",IFERROR(INDEX(tbl_Projets[Titre complet du projet],MATCH(B152,tbl_Projets[ID Projet],0)),""))</f>
        <v/>
      </c>
      <c r="D152" s="173"/>
      <c r="E152" s="173"/>
      <c r="F152" s="173"/>
      <c r="G152" s="173"/>
      <c r="H152" s="173"/>
      <c r="I152" s="173"/>
    </row>
    <row r="155" spans="1:21" ht="19.5" customHeight="1">
      <c r="A155" s="310" t="s">
        <v>2471</v>
      </c>
      <c r="B155" s="307"/>
      <c r="C155" s="307"/>
      <c r="D155" s="307"/>
      <c r="E155" s="307"/>
      <c r="F155" s="307"/>
      <c r="G155" s="307"/>
      <c r="H155" s="307"/>
      <c r="I155" s="307"/>
      <c r="J155" s="307"/>
      <c r="K155" s="307"/>
      <c r="L155" s="307"/>
      <c r="M155" s="307"/>
      <c r="N155" s="307"/>
      <c r="O155" s="307"/>
      <c r="P155" s="307"/>
      <c r="Q155" s="307"/>
      <c r="R155" s="307"/>
      <c r="S155" s="307"/>
      <c r="T155" s="307"/>
      <c r="U155" s="307"/>
    </row>
    <row r="156" spans="1:21" ht="30" customHeight="1">
      <c r="A156" s="32" t="s">
        <v>2472</v>
      </c>
      <c r="B156" s="32" t="s">
        <v>1428</v>
      </c>
      <c r="C156" s="32" t="s">
        <v>1832</v>
      </c>
      <c r="D156" s="32" t="s">
        <v>1648</v>
      </c>
      <c r="E156" s="32" t="s">
        <v>1586</v>
      </c>
      <c r="F156" s="32" t="s">
        <v>2473</v>
      </c>
      <c r="G156" s="32" t="s">
        <v>2474</v>
      </c>
      <c r="H156" s="32" t="s">
        <v>2475</v>
      </c>
      <c r="I156" s="32" t="s">
        <v>1835</v>
      </c>
    </row>
    <row r="157" spans="1:21" ht="15" customHeight="1">
      <c r="A157" s="173"/>
      <c r="B157" s="173"/>
      <c r="C157" s="173"/>
      <c r="D157" s="173"/>
      <c r="E157" s="174" t="str">
        <f>IF(D157="","",IFERROR(INDEX(tbl_Projets[Titre complet du projet],MATCH(D157,tbl_Projets[ID Projet],0)),""))</f>
        <v/>
      </c>
      <c r="F157" s="173"/>
      <c r="G157" s="173"/>
      <c r="H157" s="173"/>
      <c r="I157" s="173"/>
    </row>
    <row r="158" spans="1:21" ht="15" customHeight="1">
      <c r="A158" s="173"/>
      <c r="B158" s="173"/>
      <c r="C158" s="173"/>
      <c r="D158" s="173"/>
      <c r="E158" s="174" t="str">
        <f>IF(D158="","",IFERROR(INDEX(tbl_Projets[Titre complet du projet],MATCH(D158,tbl_Projets[ID Projet],0)),""))</f>
        <v/>
      </c>
      <c r="F158" s="173"/>
      <c r="G158" s="173"/>
      <c r="H158" s="173"/>
      <c r="I158" s="173"/>
    </row>
    <row r="159" spans="1:21" ht="15" customHeight="1">
      <c r="A159" s="173"/>
      <c r="B159" s="173"/>
      <c r="C159" s="173"/>
      <c r="D159" s="173"/>
      <c r="E159" s="174" t="str">
        <f>IF(D159="","",IFERROR(INDEX(tbl_Projets[Titre complet du projet],MATCH(D159,tbl_Projets[ID Projet],0)),""))</f>
        <v/>
      </c>
      <c r="F159" s="173"/>
      <c r="G159" s="173"/>
      <c r="H159" s="173"/>
      <c r="I159" s="173"/>
    </row>
    <row r="160" spans="1:21" ht="15" customHeight="1">
      <c r="A160" s="173"/>
      <c r="B160" s="173"/>
      <c r="C160" s="173"/>
      <c r="D160" s="173"/>
      <c r="E160" s="174" t="str">
        <f>IF(D160="","",IFERROR(INDEX(tbl_Projets[Titre complet du projet],MATCH(D160,tbl_Projets[ID Projet],0)),""))</f>
        <v/>
      </c>
      <c r="F160" s="173"/>
      <c r="G160" s="173"/>
      <c r="H160" s="173"/>
      <c r="I160" s="173"/>
    </row>
    <row r="161" spans="1:9" ht="15" customHeight="1">
      <c r="A161" s="173"/>
      <c r="B161" s="173"/>
      <c r="C161" s="173"/>
      <c r="D161" s="173"/>
      <c r="E161" s="174" t="str">
        <f>IF(D161="","",IFERROR(INDEX(tbl_Projets[Titre complet du projet],MATCH(D161,tbl_Projets[ID Projet],0)),""))</f>
        <v/>
      </c>
      <c r="F161" s="173"/>
      <c r="G161" s="173"/>
      <c r="H161" s="173"/>
      <c r="I161" s="173"/>
    </row>
    <row r="162" spans="1:9" ht="15" customHeight="1">
      <c r="A162" s="173"/>
      <c r="B162" s="173"/>
      <c r="C162" s="173"/>
      <c r="D162" s="173"/>
      <c r="E162" s="174" t="str">
        <f>IF(D162="","",IFERROR(INDEX(tbl_Projets[Titre complet du projet],MATCH(D162,tbl_Projets[ID Projet],0)),""))</f>
        <v/>
      </c>
      <c r="F162" s="173"/>
      <c r="G162" s="173"/>
      <c r="H162" s="173"/>
      <c r="I162" s="173"/>
    </row>
    <row r="163" spans="1:9" ht="15" customHeight="1">
      <c r="A163" s="173"/>
      <c r="B163" s="173"/>
      <c r="C163" s="173"/>
      <c r="D163" s="173"/>
      <c r="E163" s="174" t="str">
        <f>IF(D163="","",IFERROR(INDEX(tbl_Projets[Titre complet du projet],MATCH(D163,tbl_Projets[ID Projet],0)),""))</f>
        <v/>
      </c>
      <c r="F163" s="173"/>
      <c r="G163" s="173"/>
      <c r="H163" s="173"/>
      <c r="I163" s="173"/>
    </row>
    <row r="164" spans="1:9" ht="15" customHeight="1">
      <c r="A164" s="173"/>
      <c r="B164" s="173"/>
      <c r="C164" s="173"/>
      <c r="D164" s="173"/>
      <c r="E164" s="174" t="str">
        <f>IF(D164="","",IFERROR(INDEX(tbl_Projets[Titre complet du projet],MATCH(D164,tbl_Projets[ID Projet],0)),""))</f>
        <v/>
      </c>
      <c r="F164" s="173"/>
      <c r="G164" s="173"/>
      <c r="H164" s="173"/>
      <c r="I164" s="173"/>
    </row>
    <row r="165" spans="1:9" ht="15" customHeight="1">
      <c r="A165" s="173"/>
      <c r="B165" s="173"/>
      <c r="C165" s="173"/>
      <c r="D165" s="173"/>
      <c r="E165" s="174" t="str">
        <f>IF(D165="","",IFERROR(INDEX(tbl_Projets[Titre complet du projet],MATCH(D165,tbl_Projets[ID Projet],0)),""))</f>
        <v/>
      </c>
      <c r="F165" s="173"/>
      <c r="G165" s="173"/>
      <c r="H165" s="173"/>
      <c r="I165" s="173"/>
    </row>
    <row r="166" spans="1:9" ht="15" customHeight="1">
      <c r="A166" s="173"/>
      <c r="B166" s="173"/>
      <c r="C166" s="173"/>
      <c r="D166" s="173"/>
      <c r="E166" s="174" t="str">
        <f>IF(D166="","",IFERROR(INDEX(tbl_Projets[Titre complet du projet],MATCH(D166,tbl_Projets[ID Projet],0)),""))</f>
        <v/>
      </c>
      <c r="F166" s="173"/>
      <c r="G166" s="173"/>
      <c r="H166" s="173"/>
      <c r="I166" s="173"/>
    </row>
    <row r="167" spans="1:9" ht="15" customHeight="1">
      <c r="A167" s="173"/>
      <c r="B167" s="173"/>
      <c r="C167" s="173"/>
      <c r="D167" s="173"/>
      <c r="E167" s="174" t="str">
        <f>IF(D167="","",IFERROR(INDEX(tbl_Projets[Titre complet du projet],MATCH(D167,tbl_Projets[ID Projet],0)),""))</f>
        <v/>
      </c>
      <c r="F167" s="173"/>
      <c r="G167" s="173"/>
      <c r="H167" s="173"/>
      <c r="I167" s="173"/>
    </row>
    <row r="168" spans="1:9" ht="15" customHeight="1">
      <c r="A168" s="173"/>
      <c r="B168" s="173"/>
      <c r="C168" s="173"/>
      <c r="D168" s="173"/>
      <c r="E168" s="174" t="str">
        <f>IF(D168="","",IFERROR(INDEX(tbl_Projets[Titre complet du projet],MATCH(D168,tbl_Projets[ID Projet],0)),""))</f>
        <v/>
      </c>
      <c r="F168" s="173"/>
      <c r="G168" s="173"/>
      <c r="H168" s="173"/>
      <c r="I168" s="173"/>
    </row>
    <row r="169" spans="1:9" ht="15" customHeight="1">
      <c r="A169" s="173"/>
      <c r="B169" s="173"/>
      <c r="C169" s="173"/>
      <c r="D169" s="173"/>
      <c r="E169" s="174" t="str">
        <f>IF(D169="","",IFERROR(INDEX(tbl_Projets[Titre complet du projet],MATCH(D169,tbl_Projets[ID Projet],0)),""))</f>
        <v/>
      </c>
      <c r="F169" s="173"/>
      <c r="G169" s="173"/>
      <c r="H169" s="173"/>
      <c r="I169" s="173"/>
    </row>
    <row r="170" spans="1:9" ht="15" customHeight="1">
      <c r="A170" s="173"/>
      <c r="B170" s="173"/>
      <c r="C170" s="173"/>
      <c r="D170" s="173"/>
      <c r="E170" s="174" t="str">
        <f>IF(D170="","",IFERROR(INDEX(tbl_Projets[Titre complet du projet],MATCH(D170,tbl_Projets[ID Projet],0)),""))</f>
        <v/>
      </c>
      <c r="F170" s="173"/>
      <c r="G170" s="173"/>
      <c r="H170" s="173"/>
      <c r="I170" s="173"/>
    </row>
    <row r="171" spans="1:9" ht="15" customHeight="1">
      <c r="A171" s="173"/>
      <c r="B171" s="173"/>
      <c r="C171" s="173"/>
      <c r="D171" s="173"/>
      <c r="E171" s="174" t="str">
        <f>IF(D171="","",IFERROR(INDEX(tbl_Projets[Titre complet du projet],MATCH(D171,tbl_Projets[ID Projet],0)),""))</f>
        <v/>
      </c>
      <c r="F171" s="173"/>
      <c r="G171" s="173"/>
      <c r="H171" s="173"/>
      <c r="I171" s="173"/>
    </row>
  </sheetData>
  <mergeCells count="9">
    <mergeCell ref="A2:U2"/>
    <mergeCell ref="A1:P1"/>
    <mergeCell ref="A107:U107"/>
    <mergeCell ref="A10:U10"/>
    <mergeCell ref="A155:U155"/>
    <mergeCell ref="A6:U6"/>
    <mergeCell ref="A53:U53"/>
    <mergeCell ref="A131:U131"/>
    <mergeCell ref="A4:U4"/>
  </mergeCells>
  <conditionalFormatting sqref="E12:E51">
    <cfRule type="cellIs" dxfId="29" priority="2" operator="lessThan">
      <formula>0.8</formula>
    </cfRule>
    <cfRule type="cellIs" dxfId="28" priority="3" operator="between">
      <formula>0.8</formula>
      <formula>0.99</formula>
    </cfRule>
    <cfRule type="cellIs" dxfId="27" priority="4" operator="greaterThanOrEqual">
      <formula>1</formula>
    </cfRule>
  </conditionalFormatting>
  <conditionalFormatting sqref="K109:K128">
    <cfRule type="expression" dxfId="26" priority="15">
      <formula>K109="En retard"</formula>
    </cfRule>
    <cfRule type="expression" dxfId="25" priority="16">
      <formula>K109="Termine"</formula>
    </cfRule>
    <cfRule type="expression" dxfId="24" priority="17">
      <formula>K109="En cours"</formula>
    </cfRule>
  </conditionalFormatting>
  <conditionalFormatting sqref="AD55:AD104">
    <cfRule type="cellIs" dxfId="23" priority="5" operator="lessThan">
      <formula>0.8</formula>
    </cfRule>
    <cfRule type="cellIs" dxfId="22" priority="6" operator="between">
      <formula>0.8</formula>
      <formula>0.99</formula>
    </cfRule>
    <cfRule type="cellIs" dxfId="21" priority="7" operator="greaterThanOrEqual">
      <formula>1</formula>
    </cfRule>
  </conditionalFormatting>
  <conditionalFormatting sqref="AG55:AG104">
    <cfRule type="expression" dxfId="20" priority="8">
      <formula>AG55="Critique"</formula>
    </cfRule>
    <cfRule type="expression" dxfId="19" priority="9">
      <formula>AG55="Faible"</formula>
    </cfRule>
    <cfRule type="expression" dxfId="18" priority="10">
      <formula>OR(AG55="Excellent",AG55="Bon")</formula>
    </cfRule>
  </conditionalFormatting>
  <conditionalFormatting sqref="AY55:AY104">
    <cfRule type="expression" dxfId="17" priority="11">
      <formula>AY55="Cible non atteinte"</formula>
    </cfRule>
    <cfRule type="expression" dxfId="16" priority="12">
      <formula>AY55="Donnee manquante"</formula>
    </cfRule>
    <cfRule type="expression" dxfId="15" priority="13">
      <formula>AY55="A surveiller"</formula>
    </cfRule>
    <cfRule type="expression" dxfId="14" priority="14">
      <formula>AY55="OK"</formula>
    </cfRule>
  </conditionalFormatting>
  <dataValidations count="15">
    <dataValidation type="list" allowBlank="1" sqref="M7">
      <formula1>"2024,2025,2026,2027,2028,2029,2030,2031,2032,2033,Total"</formula1>
      <formula2>0</formula2>
    </dataValidation>
    <dataValidation type="list" allowBlank="1" sqref="B55:B104 D157:D171 B133:B152 B109:B128">
      <formula1>Liste_ActivitesIDProjets</formula1>
      <formula2>0</formula2>
    </dataValidation>
    <dataValidation type="list" allowBlank="1" sqref="F55:F104">
      <formula1>Liste_ActivitesID</formula1>
      <formula2>0</formula2>
    </dataValidation>
    <dataValidation type="list" allowBlank="1" sqref="I55:I104">
      <formula1>"Impact,Effet,Produit / Resultat,Activite,Intrant"</formula1>
      <formula2>0</formula2>
    </dataValidation>
    <dataValidation type="list" allowBlank="1" sqref="O55:O104">
      <formula1>"Quantitatif,Qualitatif,Produit,Effet,Impact,Processus,Performance,Financier,Genre,Environnemental,Autre"</formula1>
      <formula2>0</formula2>
    </dataValidation>
    <dataValidation type="list" allowBlank="1" sqref="P55:P104">
      <formula1>Liste_UnitesMesure</formula1>
      <formula2>0</formula2>
    </dataValidation>
    <dataValidation type="list" allowBlank="1" sqref="R55:R104">
      <formula1>"Hebdomadaire,Mensuelle,Trimestrielle,Semestrielle,Annuelle,A la fin du projet,Ponctuelle"</formula1>
      <formula2>0</formula2>
    </dataValidation>
    <dataValidation type="list" allowBlank="1" sqref="S55:S104 H109:H128">
      <formula1>Liste_RHID</formula1>
      <formula2>0</formula2>
    </dataValidation>
    <dataValidation type="list" allowBlank="1" sqref="AO55:AO104">
      <formula1>Liste_ZonesGeo</formula1>
      <formula2>0</formula2>
    </dataValidation>
    <dataValidation type="list" allowBlank="1" sqref="AR55:AR104">
      <formula1>"Rapport,Liste de presence,Enquete,Questionnaire,Base de donnees,Photo,Video,Document administratif,Registre,Entretien,Observation,Autre"</formula1>
      <formula2>0</formula2>
    </dataValidation>
    <dataValidation type="list" allowBlank="1" sqref="AS55:AS104">
      <formula1>"Enquete,Questionnaire,Observation,Entretien,Registre,Revue documentaire,Autre"</formula1>
      <formula2>0</formula2>
    </dataValidation>
    <dataValidation type="list" allowBlank="1" sqref="AW55:AW104">
      <formula1>"Bonne,Moyenne,Faible"</formula1>
      <formula2>0</formula2>
    </dataValidation>
    <dataValidation type="list" allowBlank="1" sqref="E109:E128">
      <formula1>Liste_NiveauxRisque</formula1>
      <formula2>0</formula2>
    </dataValidation>
    <dataValidation type="list" allowBlank="1" sqref="K109:K128">
      <formula1>"A faire,En cours,Termine,En retard,Abandonne"</formula1>
      <formula2>0</formula2>
    </dataValidation>
    <dataValidation type="list" allowBlank="1" sqref="A157:A171">
      <formula1>"Evaluation initiale,Evaluation intermediaire,Evaluation finale,Evaluation d''impact,Evaluation externe,Evaluation interne"</formula1>
      <formula2>0</formula2>
    </dataValidation>
  </dataValidations>
  <pageMargins left="0.75" right="0.75" top="1" bottom="1" header="0.511811023622047" footer="0.511811023622047"/>
  <pageSetup paperSize="9" orientation="portrait" horizontalDpi="300" verticalDpi="300"/>
  <tableParts count="5">
    <tablePart r:id="rId1"/>
    <tablePart r:id="rId2"/>
    <tablePart r:id="rId3"/>
    <tablePart r:id="rId4"/>
    <tablePart r:id="rId5"/>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B4F72"/>
    <pageSetUpPr fitToPage="1"/>
  </sheetPr>
  <dimension ref="A1:N334"/>
  <sheetViews>
    <sheetView showGridLines="0" zoomScale="120" zoomScaleNormal="120" workbookViewId="0">
      <pane ySplit="8" topLeftCell="A9" activePane="bottomLeft" state="frozen"/>
      <selection pane="bottomLeft" sqref="A1:N1"/>
    </sheetView>
  </sheetViews>
  <sheetFormatPr baseColWidth="10" defaultColWidth="8.7109375" defaultRowHeight="15" customHeight="1"/>
  <cols>
    <col min="1" max="1" width="24" customWidth="1"/>
    <col min="2" max="2" width="22" customWidth="1"/>
    <col min="3" max="3" width="18" customWidth="1"/>
    <col min="4" max="4" width="16" customWidth="1"/>
    <col min="5" max="5" width="18" customWidth="1"/>
    <col min="6" max="6" width="16" customWidth="1"/>
    <col min="7" max="9" width="14" customWidth="1"/>
    <col min="10" max="10" width="16" customWidth="1"/>
    <col min="11" max="14" width="14" customWidth="1"/>
  </cols>
  <sheetData>
    <row r="1" spans="1:14" ht="25.5" customHeight="1">
      <c r="A1" s="284" t="s">
        <v>2476</v>
      </c>
      <c r="B1" s="262"/>
      <c r="C1" s="262"/>
      <c r="D1" s="262"/>
      <c r="E1" s="262"/>
      <c r="F1" s="262"/>
      <c r="G1" s="262"/>
      <c r="H1" s="262"/>
      <c r="I1" s="262"/>
      <c r="J1" s="262"/>
      <c r="K1" s="262"/>
      <c r="L1" s="262"/>
      <c r="M1" s="262"/>
      <c r="N1" s="262"/>
    </row>
    <row r="2" spans="1:14" ht="15.75" customHeight="1">
      <c r="A2" s="330" t="s">
        <v>2477</v>
      </c>
      <c r="B2" s="262"/>
      <c r="C2" s="262"/>
      <c r="D2" s="262"/>
      <c r="E2" s="262"/>
      <c r="F2" s="262"/>
      <c r="G2" s="262"/>
      <c r="H2" s="262"/>
      <c r="I2" s="262"/>
      <c r="J2" s="262"/>
      <c r="K2" s="262"/>
      <c r="L2" s="262"/>
      <c r="M2" s="262"/>
      <c r="N2" s="262"/>
    </row>
    <row r="3" spans="1:14" ht="24" customHeight="1">
      <c r="A3" s="329" t="s">
        <v>2478</v>
      </c>
      <c r="B3" s="262"/>
      <c r="C3" s="262"/>
      <c r="D3" s="262"/>
      <c r="E3" s="262"/>
      <c r="F3" s="262"/>
      <c r="G3" s="262"/>
      <c r="H3" s="262"/>
      <c r="I3" s="262"/>
      <c r="J3" s="262"/>
      <c r="K3" s="262"/>
      <c r="L3" s="262"/>
      <c r="M3" s="262"/>
      <c r="N3" s="262"/>
    </row>
    <row r="5" spans="1:14" ht="19.5" customHeight="1">
      <c r="A5" s="314" t="s">
        <v>2479</v>
      </c>
      <c r="B5" s="262"/>
      <c r="C5" s="262"/>
      <c r="D5" s="262"/>
      <c r="E5" s="262"/>
      <c r="F5" s="262"/>
      <c r="G5" s="262"/>
      <c r="H5" s="262"/>
      <c r="I5" s="262"/>
      <c r="J5" s="262"/>
      <c r="K5" s="262"/>
      <c r="L5" s="262"/>
      <c r="M5" s="262"/>
      <c r="N5" s="262"/>
    </row>
    <row r="6" spans="1:14" ht="15" customHeight="1">
      <c r="A6" s="177" t="s">
        <v>2480</v>
      </c>
      <c r="C6" s="178">
        <v>2032</v>
      </c>
      <c r="E6" s="177" t="s">
        <v>2481</v>
      </c>
      <c r="G6" s="178" t="s">
        <v>1617</v>
      </c>
      <c r="I6" s="177" t="s">
        <v>2482</v>
      </c>
      <c r="L6" s="178"/>
    </row>
    <row r="7" spans="1:14" ht="15" customHeight="1">
      <c r="A7" s="177" t="s">
        <v>2483</v>
      </c>
      <c r="C7" s="179">
        <f ca="1">TODAY()</f>
        <v>46305</v>
      </c>
      <c r="E7" s="177" t="s">
        <v>2484</v>
      </c>
      <c r="G7" s="166" t="s">
        <v>2485</v>
      </c>
    </row>
    <row r="9" spans="1:14" ht="19.5" customHeight="1">
      <c r="A9" s="314" t="s">
        <v>2486</v>
      </c>
      <c r="B9" s="262"/>
      <c r="C9" s="262"/>
      <c r="D9" s="262"/>
      <c r="E9" s="262"/>
      <c r="F9" s="262"/>
      <c r="G9" s="262"/>
      <c r="H9" s="262"/>
      <c r="I9" s="262"/>
      <c r="J9" s="262"/>
      <c r="K9" s="262"/>
      <c r="L9" s="262"/>
      <c r="M9" s="262"/>
      <c r="N9" s="262"/>
    </row>
    <row r="10" spans="1:14" ht="25.5" customHeight="1">
      <c r="A10" s="318" t="s">
        <v>1716</v>
      </c>
      <c r="B10" s="319"/>
      <c r="C10" s="319"/>
      <c r="D10" s="319"/>
      <c r="E10" s="319"/>
      <c r="F10" s="319"/>
      <c r="G10" s="319"/>
      <c r="H10" s="319"/>
      <c r="I10" s="320"/>
      <c r="J10" s="318" t="s">
        <v>1626</v>
      </c>
      <c r="K10" s="319"/>
      <c r="L10" s="319"/>
      <c r="M10" s="319"/>
      <c r="N10" s="320"/>
    </row>
    <row r="11" spans="1:14" ht="15" customHeight="1">
      <c r="A11" s="316" t="s">
        <v>1483</v>
      </c>
      <c r="B11" s="262"/>
      <c r="C11" s="262"/>
      <c r="D11" s="262"/>
      <c r="E11" s="262"/>
      <c r="F11" s="262"/>
      <c r="G11" s="262"/>
      <c r="H11" s="262"/>
      <c r="I11" s="262"/>
      <c r="J11" s="181">
        <f>IF($C$6="Total",COUNTIF(PROJETS!$A$56:$A$95,"PROJ*"),COUNTIFS(PROJETS!$A$56:$A$95,"PROJ*",PROJETS!$X$56:$X$95,"&gt;="&amp;DATE(VALUE($C$6),1,1),PROJETS!$X$56:$X$95,"&lt;"&amp;DATE(VALUE($C$6)+1,1,1)))</f>
        <v>0</v>
      </c>
    </row>
    <row r="12" spans="1:14" ht="15" customHeight="1">
      <c r="A12" s="317" t="s">
        <v>2487</v>
      </c>
      <c r="B12" s="262"/>
      <c r="C12" s="262"/>
      <c r="D12" s="262"/>
      <c r="E12" s="262"/>
      <c r="F12" s="262"/>
      <c r="G12" s="262"/>
      <c r="H12" s="262"/>
      <c r="I12" s="262"/>
      <c r="J12" s="182">
        <f>IF($C$6="Total",COUNTIFS(PROJETS!$A$56:$A$95,"PROJ*",PROJETS!$AD$56:$AD$95,"En cours"),COUNTIFS(PROJETS!$A$56:$A$95,"PROJ*",PROJETS!$AD$56:$AD$95,"En cours",PROJETS!$X$56:$X$95,"&gt;="&amp;DATE(VALUE($C$6),1,1),PROJETS!$X$56:$X$95,"&lt;"&amp;DATE(VALUE($C$6)+1,1,1)))</f>
        <v>0</v>
      </c>
      <c r="K12" s="183"/>
      <c r="L12" s="183"/>
      <c r="M12" s="183"/>
      <c r="N12" s="183"/>
    </row>
    <row r="13" spans="1:14" ht="15" customHeight="1">
      <c r="A13" s="316" t="s">
        <v>1693</v>
      </c>
      <c r="B13" s="262"/>
      <c r="C13" s="262"/>
      <c r="D13" s="262"/>
      <c r="E13" s="262"/>
      <c r="F13" s="262"/>
      <c r="G13" s="262"/>
      <c r="H13" s="262"/>
      <c r="I13" s="262"/>
      <c r="J13" s="181">
        <f>IF($C$6="Total",COUNTIFS(ACTIVITES!$A$56:$A$105,"ACT*",ACTIVITES!$Z$56:$Z$105,"Realisee"),COUNTIFS(ACTIVITES!$A$56:$A$105,"ACT*",ACTIVITES!$Z$56:$Z$105,"Realisee",ACTIVITES!$S$56:$S$105,$C$6))</f>
        <v>0</v>
      </c>
    </row>
    <row r="14" spans="1:14" ht="15" customHeight="1">
      <c r="A14" s="317" t="s">
        <v>2488</v>
      </c>
      <c r="B14" s="262"/>
      <c r="C14" s="262"/>
      <c r="D14" s="262"/>
      <c r="E14" s="262"/>
      <c r="F14" s="262"/>
      <c r="G14" s="262"/>
      <c r="H14" s="262"/>
      <c r="I14" s="262"/>
      <c r="J14" s="182">
        <f>IF($C$6="Total",COUNTIF(BENEFICIAIRES!$A$56:$A$115,"BEN*"),COUNTIFS(BENEFICIAIRES!$A$56:$A$115,"BEN*",BENEFICIAIRES!$BB$56:$BB$115,"&gt;="&amp;DATE(VALUE($C$6),1,1),BENEFICIAIRES!$BB$56:$BB$115,"&lt;"&amp;DATE(VALUE($C$6)+1,1,1)))</f>
        <v>0</v>
      </c>
      <c r="K14" s="183"/>
      <c r="L14" s="183"/>
      <c r="M14" s="183"/>
      <c r="N14" s="183"/>
    </row>
    <row r="15" spans="1:14" ht="15" customHeight="1">
      <c r="A15" s="316" t="s">
        <v>2489</v>
      </c>
      <c r="B15" s="262"/>
      <c r="C15" s="262"/>
      <c r="D15" s="262"/>
      <c r="E15" s="262"/>
      <c r="F15" s="262"/>
      <c r="G15" s="262"/>
      <c r="H15" s="262"/>
      <c r="I15" s="262"/>
      <c r="J15" s="181">
        <f>IF($C$6="Total",COUNTIFS('RESSOURCES HUMAINES'!$A$27:$A$76,"RH*",'RESSOURCES HUMAINES'!$P$27:$P$76,"Actif"),COUNTIFS('RESSOURCES HUMAINES'!$A$27:$A$76,"RH*",'RESSOURCES HUMAINES'!$P$27:$P$76,"Actif",'RESSOURCES HUMAINES'!$W$27:$W$76,VALUE($C$6)))</f>
        <v>0</v>
      </c>
    </row>
    <row r="16" spans="1:14" ht="15" customHeight="1">
      <c r="A16" s="317" t="s">
        <v>2490</v>
      </c>
      <c r="B16" s="262"/>
      <c r="C16" s="262"/>
      <c r="D16" s="262"/>
      <c r="E16" s="262"/>
      <c r="F16" s="262"/>
      <c r="G16" s="262"/>
      <c r="H16" s="262"/>
      <c r="I16" s="262"/>
      <c r="J16" s="182">
        <f>PARTENAIRES!$A$8</f>
        <v>0</v>
      </c>
      <c r="K16" s="184" t="s">
        <v>2491</v>
      </c>
      <c r="L16" s="183"/>
      <c r="M16" s="183"/>
      <c r="N16" s="183"/>
    </row>
    <row r="17" spans="1:14" ht="15" customHeight="1">
      <c r="A17" s="316" t="s">
        <v>2492</v>
      </c>
      <c r="B17" s="262"/>
      <c r="C17" s="262"/>
      <c r="D17" s="262"/>
      <c r="E17" s="262"/>
      <c r="F17" s="262"/>
      <c r="G17" s="262"/>
      <c r="H17" s="262"/>
      <c r="I17" s="262"/>
      <c r="J17" s="181">
        <f>DONATEURS!$A$8</f>
        <v>1</v>
      </c>
      <c r="K17" s="166" t="s">
        <v>2491</v>
      </c>
    </row>
    <row r="18" spans="1:14" ht="15" customHeight="1">
      <c r="A18" s="317" t="s">
        <v>2493</v>
      </c>
      <c r="B18" s="262"/>
      <c r="C18" s="262"/>
      <c r="D18" s="262"/>
      <c r="E18" s="262"/>
      <c r="F18" s="262"/>
      <c r="G18" s="262"/>
      <c r="H18" s="262"/>
      <c r="I18" s="262"/>
      <c r="J18" s="185">
        <f>DONATEURS!$I$8</f>
        <v>0</v>
      </c>
      <c r="K18" s="184" t="s">
        <v>2491</v>
      </c>
      <c r="L18" s="183"/>
      <c r="M18" s="183"/>
      <c r="N18" s="183"/>
    </row>
    <row r="19" spans="1:14" ht="15" customHeight="1">
      <c r="A19" s="316" t="s">
        <v>2494</v>
      </c>
      <c r="B19" s="262"/>
      <c r="C19" s="262"/>
      <c r="D19" s="262"/>
      <c r="E19" s="262"/>
      <c r="F19" s="262"/>
      <c r="G19" s="262"/>
      <c r="H19" s="262"/>
      <c r="I19" s="262"/>
      <c r="J19" s="186">
        <f>IF($C$6="Total",SUM(RECETTES!$AB$39:$AB$88),SUMIFS(RECETTES!$AB$39:$AB$88,RECETTES!$V$39:$V$88,VALUE($C$6)))</f>
        <v>0</v>
      </c>
    </row>
    <row r="20" spans="1:14" ht="15" customHeight="1">
      <c r="A20" s="317" t="s">
        <v>1675</v>
      </c>
      <c r="B20" s="262"/>
      <c r="C20" s="262"/>
      <c r="D20" s="262"/>
      <c r="E20" s="262"/>
      <c r="F20" s="262"/>
      <c r="G20" s="262"/>
      <c r="H20" s="262"/>
      <c r="I20" s="262"/>
      <c r="J20" s="185">
        <f>IF($C$6="Total",SUM(DEPENSES!$AG$119:$AG$168),SUMIFS(DEPENSES!$AG$119:$AG$168,DEPENSES!$BM$119:$BM$168,VALUE($C$6)))</f>
        <v>0</v>
      </c>
      <c r="K20" s="183"/>
      <c r="L20" s="183"/>
      <c r="M20" s="183"/>
      <c r="N20" s="183"/>
    </row>
    <row r="21" spans="1:14" ht="15" customHeight="1">
      <c r="A21" s="316" t="s">
        <v>2075</v>
      </c>
      <c r="B21" s="262"/>
      <c r="C21" s="262"/>
      <c r="D21" s="262"/>
      <c r="E21" s="262"/>
      <c r="F21" s="262"/>
      <c r="G21" s="262"/>
      <c r="H21" s="262"/>
      <c r="I21" s="262"/>
      <c r="J21" s="186">
        <f>IF($C$6="Total",SUM(tbl_Budget[Budget de reference (FCFA)]),SUMIFS(tbl_Budget[Budget de reference (FCFA)],tbl_Budget[Annee budgetaire],VALUE($C$6)))</f>
        <v>0</v>
      </c>
    </row>
    <row r="22" spans="1:14" ht="15" customHeight="1">
      <c r="A22" s="317" t="s">
        <v>1808</v>
      </c>
      <c r="B22" s="262"/>
      <c r="C22" s="262"/>
      <c r="D22" s="262"/>
      <c r="E22" s="262"/>
      <c r="F22" s="262"/>
      <c r="G22" s="262"/>
      <c r="H22" s="262"/>
      <c r="I22" s="262"/>
      <c r="J22" s="187">
        <f>IFERROR($J$20/$J$21,0)</f>
        <v>0</v>
      </c>
      <c r="K22" s="183"/>
      <c r="L22" s="183"/>
      <c r="M22" s="183"/>
      <c r="N22" s="183"/>
    </row>
    <row r="25" spans="1:14" ht="19.5" customHeight="1">
      <c r="A25" s="314" t="s">
        <v>2495</v>
      </c>
      <c r="B25" s="262"/>
      <c r="C25" s="262"/>
      <c r="D25" s="262"/>
      <c r="E25" s="262"/>
      <c r="F25" s="262"/>
      <c r="G25" s="262"/>
      <c r="H25" s="262"/>
      <c r="I25" s="262"/>
      <c r="J25" s="262"/>
      <c r="K25" s="262"/>
      <c r="L25" s="262"/>
      <c r="M25" s="262"/>
      <c r="N25" s="262"/>
    </row>
    <row r="26" spans="1:14" ht="15" customHeight="1">
      <c r="A26" s="313" t="s">
        <v>1876</v>
      </c>
      <c r="B26" s="262"/>
      <c r="C26" s="262"/>
      <c r="D26" s="262"/>
      <c r="E26" s="311" t="str">
        <f>ONG!$C$33</f>
        <v>O.N.G BK</v>
      </c>
      <c r="F26" s="262"/>
      <c r="G26" s="262"/>
      <c r="H26" s="262"/>
      <c r="I26" s="262"/>
      <c r="J26" s="262"/>
      <c r="K26" s="262"/>
      <c r="L26" s="262"/>
      <c r="M26" s="262"/>
      <c r="N26" s="262"/>
    </row>
    <row r="27" spans="1:14" ht="15" customHeight="1">
      <c r="A27" s="313" t="s">
        <v>1335</v>
      </c>
      <c r="B27" s="262"/>
      <c r="C27" s="262"/>
      <c r="D27" s="262"/>
      <c r="E27" s="311" t="str">
        <f>ONG!$C$34</f>
        <v>BK O.N.G</v>
      </c>
      <c r="F27" s="262"/>
      <c r="G27" s="262"/>
      <c r="H27" s="262"/>
      <c r="I27" s="262"/>
      <c r="J27" s="262"/>
      <c r="K27" s="262"/>
      <c r="L27" s="262"/>
      <c r="M27" s="262"/>
      <c r="N27" s="262"/>
    </row>
    <row r="28" spans="1:14" ht="15" customHeight="1">
      <c r="A28" s="313" t="s">
        <v>1348</v>
      </c>
      <c r="B28" s="262"/>
      <c r="C28" s="262"/>
      <c r="D28" s="262"/>
      <c r="E28" s="311" t="str">
        <f>ONG!$C$45</f>
        <v>Donnons la joie a la jeunesse</v>
      </c>
      <c r="F28" s="262"/>
      <c r="G28" s="262"/>
      <c r="H28" s="262"/>
      <c r="I28" s="262"/>
      <c r="J28" s="262"/>
      <c r="K28" s="262"/>
      <c r="L28" s="262"/>
      <c r="M28" s="262"/>
      <c r="N28" s="262"/>
    </row>
    <row r="29" spans="1:14" ht="15" customHeight="1">
      <c r="A29" s="313" t="s">
        <v>1346</v>
      </c>
      <c r="B29" s="262"/>
      <c r="C29" s="262"/>
      <c r="D29" s="262"/>
      <c r="E29" s="311" t="str">
        <f>ONG!$C$43</f>
        <v>Congo</v>
      </c>
      <c r="F29" s="262"/>
      <c r="G29" s="262"/>
      <c r="H29" s="262"/>
      <c r="I29" s="262"/>
      <c r="J29" s="262"/>
      <c r="K29" s="262"/>
      <c r="L29" s="262"/>
      <c r="M29" s="262"/>
      <c r="N29" s="262"/>
    </row>
    <row r="30" spans="1:14" ht="30" customHeight="1">
      <c r="A30" s="313" t="s">
        <v>2496</v>
      </c>
      <c r="B30" s="262"/>
      <c r="C30" s="262"/>
      <c r="D30" s="262"/>
      <c r="E30" s="311">
        <f>ONG!$A$94</f>
        <v>0</v>
      </c>
      <c r="F30" s="262"/>
      <c r="G30" s="262"/>
      <c r="H30" s="262"/>
      <c r="I30" s="262"/>
      <c r="J30" s="262"/>
      <c r="K30" s="262"/>
      <c r="L30" s="262"/>
      <c r="M30" s="262"/>
      <c r="N30" s="262"/>
    </row>
    <row r="31" spans="1:14" ht="30" customHeight="1">
      <c r="A31" s="313" t="s">
        <v>663</v>
      </c>
      <c r="B31" s="262"/>
      <c r="C31" s="262"/>
      <c r="D31" s="262"/>
      <c r="E31" s="311">
        <f>ONG!$A$101</f>
        <v>0</v>
      </c>
      <c r="F31" s="262"/>
      <c r="G31" s="262"/>
      <c r="H31" s="262"/>
      <c r="I31" s="262"/>
      <c r="J31" s="262"/>
      <c r="K31" s="262"/>
      <c r="L31" s="262"/>
      <c r="M31" s="262"/>
      <c r="N31" s="262"/>
    </row>
    <row r="32" spans="1:14" ht="15" customHeight="1">
      <c r="A32" s="313" t="s">
        <v>2497</v>
      </c>
      <c r="B32" s="262"/>
      <c r="C32" s="262"/>
      <c r="D32" s="262"/>
      <c r="E32" s="311">
        <f>COUNTIF(tbl_Domaines[Statut],"Actif")</f>
        <v>40</v>
      </c>
      <c r="F32" s="262"/>
      <c r="G32" s="262"/>
      <c r="H32" s="262"/>
      <c r="I32" s="262"/>
      <c r="J32" s="262"/>
      <c r="K32" s="262"/>
      <c r="L32" s="262"/>
      <c r="M32" s="262"/>
      <c r="N32" s="262"/>
    </row>
    <row r="33" spans="1:14" ht="15" customHeight="1">
      <c r="A33" s="313" t="s">
        <v>1491</v>
      </c>
      <c r="B33" s="262"/>
      <c r="C33" s="262"/>
      <c r="D33" s="262"/>
      <c r="E33" s="311">
        <f>COUNTA(ONG!$A$143:$A$149)</f>
        <v>4</v>
      </c>
      <c r="F33" s="262"/>
      <c r="G33" s="262"/>
      <c r="H33" s="262"/>
      <c r="I33" s="262"/>
      <c r="J33" s="262"/>
      <c r="K33" s="262"/>
      <c r="L33" s="262"/>
      <c r="M33" s="262"/>
      <c r="N33" s="262"/>
    </row>
    <row r="34" spans="1:14" ht="15" customHeight="1">
      <c r="A34" s="313" t="s">
        <v>2498</v>
      </c>
      <c r="B34" s="262"/>
      <c r="C34" s="262"/>
      <c r="D34" s="262"/>
      <c r="E34" s="311">
        <f>PROJETS!$A$8</f>
        <v>1</v>
      </c>
      <c r="F34" s="262"/>
      <c r="G34" s="262"/>
      <c r="H34" s="262"/>
      <c r="I34" s="262"/>
      <c r="J34" s="262"/>
      <c r="K34" s="262"/>
      <c r="L34" s="262"/>
      <c r="M34" s="262"/>
      <c r="N34" s="262"/>
    </row>
    <row r="35" spans="1:14" ht="15" customHeight="1">
      <c r="A35" s="313" t="s">
        <v>2499</v>
      </c>
      <c r="B35" s="262"/>
      <c r="C35" s="262"/>
      <c r="D35" s="262"/>
      <c r="E35" s="311">
        <f>BENEFICIAIRES!$A$8</f>
        <v>1</v>
      </c>
      <c r="F35" s="262"/>
      <c r="G35" s="262"/>
      <c r="H35" s="262"/>
      <c r="I35" s="262"/>
      <c r="J35" s="262"/>
      <c r="K35" s="262"/>
      <c r="L35" s="262"/>
      <c r="M35" s="262"/>
      <c r="N35" s="262"/>
    </row>
    <row r="36" spans="1:14" ht="15" customHeight="1">
      <c r="A36" s="313" t="s">
        <v>2500</v>
      </c>
      <c r="B36" s="262"/>
      <c r="C36" s="262"/>
      <c r="D36" s="262"/>
      <c r="E36" s="311">
        <f>PARTENAIRES!$A$8</f>
        <v>0</v>
      </c>
      <c r="F36" s="262"/>
      <c r="G36" s="262"/>
      <c r="H36" s="262"/>
      <c r="I36" s="262"/>
      <c r="J36" s="262"/>
      <c r="K36" s="262"/>
      <c r="L36" s="262"/>
      <c r="M36" s="262"/>
      <c r="N36" s="262"/>
    </row>
    <row r="37" spans="1:14" ht="15" customHeight="1">
      <c r="A37" s="313" t="s">
        <v>2501</v>
      </c>
      <c r="B37" s="262"/>
      <c r="C37" s="262"/>
      <c r="D37" s="262"/>
      <c r="E37" s="311">
        <f>DONATEURS!$A$8</f>
        <v>1</v>
      </c>
      <c r="F37" s="262"/>
      <c r="G37" s="262"/>
      <c r="H37" s="262"/>
      <c r="I37" s="262"/>
      <c r="J37" s="262"/>
      <c r="K37" s="262"/>
      <c r="L37" s="262"/>
      <c r="M37" s="262"/>
      <c r="N37" s="262"/>
    </row>
    <row r="39" spans="1:14" ht="19.5" customHeight="1">
      <c r="A39" s="314" t="s">
        <v>2502</v>
      </c>
      <c r="B39" s="262"/>
      <c r="C39" s="262"/>
      <c r="D39" s="262"/>
      <c r="E39" s="262"/>
      <c r="F39" s="262"/>
      <c r="G39" s="262"/>
      <c r="H39" s="262"/>
      <c r="I39" s="262"/>
      <c r="J39" s="262"/>
      <c r="K39" s="262"/>
      <c r="L39" s="262"/>
      <c r="M39" s="262"/>
      <c r="N39" s="262"/>
    </row>
    <row r="40" spans="1:14" ht="25.5" customHeight="1">
      <c r="A40" s="318" t="s">
        <v>1716</v>
      </c>
      <c r="B40" s="319"/>
      <c r="C40" s="319"/>
      <c r="D40" s="319"/>
      <c r="E40" s="319"/>
      <c r="F40" s="319"/>
      <c r="G40" s="319"/>
      <c r="H40" s="319"/>
      <c r="I40" s="320"/>
      <c r="J40" s="318" t="s">
        <v>2503</v>
      </c>
      <c r="K40" s="319"/>
      <c r="L40" s="319"/>
      <c r="M40" s="319"/>
      <c r="N40" s="320"/>
    </row>
    <row r="41" spans="1:14" ht="15" customHeight="1">
      <c r="A41" s="316" t="s">
        <v>2504</v>
      </c>
      <c r="B41" s="262"/>
      <c r="C41" s="262"/>
      <c r="D41" s="262"/>
      <c r="E41" s="262"/>
      <c r="F41" s="262"/>
      <c r="G41" s="262"/>
      <c r="H41" s="262"/>
      <c r="I41" s="262"/>
      <c r="J41" s="186">
        <f>IF($C$6="Total",SUM(tbl_Budget[Montant prevu (FCFA)]),SUMIFS(tbl_Budget[Montant prevu (FCFA)],tbl_Budget[Annee budgetaire],VALUE($C$6)))</f>
        <v>0</v>
      </c>
    </row>
    <row r="42" spans="1:14" ht="15" customHeight="1">
      <c r="A42" s="317" t="s">
        <v>2505</v>
      </c>
      <c r="B42" s="262"/>
      <c r="C42" s="262"/>
      <c r="D42" s="262"/>
      <c r="E42" s="262"/>
      <c r="F42" s="262"/>
      <c r="G42" s="262"/>
      <c r="H42" s="262"/>
      <c r="I42" s="262"/>
      <c r="J42" s="185">
        <f>IF($C$6="Total",SUM(tbl_Budget[Budget de reference (FCFA)]),SUMIFS(tbl_Budget[Budget de reference (FCFA)],tbl_Budget[Annee budgetaire],VALUE($C$6)))</f>
        <v>0</v>
      </c>
      <c r="K42" s="183"/>
      <c r="L42" s="183"/>
      <c r="M42" s="183"/>
      <c r="N42" s="183"/>
    </row>
    <row r="43" spans="1:14" ht="15" customHeight="1">
      <c r="A43" s="316" t="s">
        <v>2076</v>
      </c>
      <c r="B43" s="262"/>
      <c r="C43" s="262"/>
      <c r="D43" s="262"/>
      <c r="E43" s="262"/>
      <c r="F43" s="262"/>
      <c r="G43" s="262"/>
      <c r="H43" s="262"/>
      <c r="I43" s="262"/>
      <c r="J43" s="186">
        <f>IF($C$6="Total",SUM(tbl_Budget[Montant engage (FCFA)]),SUMIFS(tbl_Budget[Montant engage (FCFA)],tbl_Budget[Annee budgetaire],VALUE($C$6)))</f>
        <v>0</v>
      </c>
    </row>
    <row r="44" spans="1:14" ht="15" customHeight="1">
      <c r="A44" s="317" t="s">
        <v>2506</v>
      </c>
      <c r="B44" s="262"/>
      <c r="C44" s="262"/>
      <c r="D44" s="262"/>
      <c r="E44" s="262"/>
      <c r="F44" s="262"/>
      <c r="G44" s="262"/>
      <c r="H44" s="262"/>
      <c r="I44" s="262"/>
      <c r="J44" s="185">
        <f>DONATEURS!$I$8</f>
        <v>0</v>
      </c>
      <c r="K44" s="183"/>
      <c r="L44" s="183"/>
      <c r="M44" s="183"/>
      <c r="N44" s="183"/>
    </row>
    <row r="45" spans="1:14" ht="15" customHeight="1">
      <c r="A45" s="316" t="s">
        <v>2494</v>
      </c>
      <c r="B45" s="262"/>
      <c r="C45" s="262"/>
      <c r="D45" s="262"/>
      <c r="E45" s="262"/>
      <c r="F45" s="262"/>
      <c r="G45" s="262"/>
      <c r="H45" s="262"/>
      <c r="I45" s="262"/>
      <c r="J45" s="186">
        <f>IF($C$6="Total",SUM(RECETTES!$AB$39:$AB$88),SUMIFS(RECETTES!$AB$39:$AB$88,RECETTES!$V$39:$V$88,VALUE($C$6)))</f>
        <v>0</v>
      </c>
    </row>
    <row r="46" spans="1:14" ht="15" customHeight="1">
      <c r="A46" s="317" t="s">
        <v>1675</v>
      </c>
      <c r="B46" s="262"/>
      <c r="C46" s="262"/>
      <c r="D46" s="262"/>
      <c r="E46" s="262"/>
      <c r="F46" s="262"/>
      <c r="G46" s="262"/>
      <c r="H46" s="262"/>
      <c r="I46" s="262"/>
      <c r="J46" s="185">
        <f>IF($C$6="Total",SUM(DEPENSES!$AG$119:$AG$168),SUMIFS(DEPENSES!$AG$119:$AG$168,DEPENSES!$BM$119:$BM$168,VALUE($C$6)))</f>
        <v>0</v>
      </c>
      <c r="K46" s="183"/>
      <c r="L46" s="183"/>
      <c r="M46" s="183"/>
      <c r="N46" s="183"/>
    </row>
    <row r="47" spans="1:14" ht="15" customHeight="1">
      <c r="A47" s="316" t="s">
        <v>2507</v>
      </c>
      <c r="B47" s="262"/>
      <c r="C47" s="262"/>
      <c r="D47" s="262"/>
      <c r="E47" s="262"/>
      <c r="F47" s="262"/>
      <c r="G47" s="262"/>
      <c r="H47" s="262"/>
      <c r="I47" s="262"/>
      <c r="J47" s="186">
        <f>$J$42-$J$46</f>
        <v>0</v>
      </c>
    </row>
    <row r="48" spans="1:14" ht="15" customHeight="1">
      <c r="A48" s="317" t="s">
        <v>2508</v>
      </c>
      <c r="B48" s="262"/>
      <c r="C48" s="262"/>
      <c r="D48" s="262"/>
      <c r="E48" s="262"/>
      <c r="F48" s="262"/>
      <c r="G48" s="262"/>
      <c r="H48" s="262"/>
      <c r="I48" s="262"/>
      <c r="J48" s="185">
        <f>$J$45-$J$46</f>
        <v>0</v>
      </c>
      <c r="K48" s="183"/>
      <c r="L48" s="183"/>
      <c r="M48" s="183"/>
      <c r="N48" s="183"/>
    </row>
    <row r="49" spans="1:14" ht="15" customHeight="1">
      <c r="A49" s="316" t="s">
        <v>1808</v>
      </c>
      <c r="B49" s="262"/>
      <c r="C49" s="262"/>
      <c r="D49" s="262"/>
      <c r="E49" s="262"/>
      <c r="F49" s="262"/>
      <c r="G49" s="262"/>
      <c r="H49" s="262"/>
      <c r="I49" s="262"/>
      <c r="J49" s="188">
        <f>IFERROR($J$46/$J$42,0)</f>
        <v>0</v>
      </c>
    </row>
    <row r="51" spans="1:14" ht="19.5" customHeight="1">
      <c r="A51" s="314" t="s">
        <v>2509</v>
      </c>
      <c r="B51" s="262"/>
      <c r="C51" s="262"/>
      <c r="D51" s="262"/>
      <c r="E51" s="262"/>
      <c r="F51" s="262"/>
      <c r="G51" s="262"/>
      <c r="H51" s="262"/>
      <c r="I51" s="262"/>
      <c r="J51" s="262"/>
      <c r="K51" s="262"/>
      <c r="L51" s="262"/>
      <c r="M51" s="262"/>
      <c r="N51" s="262"/>
    </row>
    <row r="52" spans="1:14" ht="25.5" customHeight="1">
      <c r="A52" s="318" t="s">
        <v>1716</v>
      </c>
      <c r="B52" s="319"/>
      <c r="C52" s="319"/>
      <c r="D52" s="319"/>
      <c r="E52" s="319"/>
      <c r="F52" s="319"/>
      <c r="G52" s="319"/>
      <c r="H52" s="319"/>
      <c r="I52" s="320"/>
      <c r="J52" s="318" t="s">
        <v>1626</v>
      </c>
      <c r="K52" s="319"/>
      <c r="L52" s="319"/>
      <c r="M52" s="319"/>
      <c r="N52" s="320"/>
    </row>
    <row r="53" spans="1:14" ht="15" customHeight="1">
      <c r="A53" s="316" t="s">
        <v>2180</v>
      </c>
      <c r="B53" s="262"/>
      <c r="C53" s="262"/>
      <c r="D53" s="262"/>
      <c r="E53" s="262"/>
      <c r="F53" s="262"/>
      <c r="G53" s="262"/>
      <c r="H53" s="262"/>
      <c r="I53" s="262"/>
      <c r="J53" s="186">
        <f>IF($C$6="Total",SUM(RECETTES!$AC$39:$AC$88),SUMIFS(RECETTES!$AC$39:$AC$88,RECETTES!$V$39:$V$88,VALUE($C$6)))</f>
        <v>0</v>
      </c>
    </row>
    <row r="54" spans="1:14" ht="15" customHeight="1">
      <c r="A54" s="317" t="s">
        <v>2181</v>
      </c>
      <c r="B54" s="262"/>
      <c r="C54" s="262"/>
      <c r="D54" s="262"/>
      <c r="E54" s="262"/>
      <c r="F54" s="262"/>
      <c r="G54" s="262"/>
      <c r="H54" s="262"/>
      <c r="I54" s="262"/>
      <c r="J54" s="185">
        <f>IF($C$6="Total",SUM(RECETTES!$AB$39:$AB$88),SUMIFS(RECETTES!$AB$39:$AB$88,RECETTES!$V$39:$V$88,VALUE($C$6)))</f>
        <v>0</v>
      </c>
      <c r="K54" s="183"/>
      <c r="L54" s="183"/>
      <c r="M54" s="183"/>
      <c r="N54" s="183"/>
    </row>
    <row r="55" spans="1:14" ht="15" customHeight="1">
      <c r="A55" s="316" t="s">
        <v>2182</v>
      </c>
      <c r="B55" s="262"/>
      <c r="C55" s="262"/>
      <c r="D55" s="262"/>
      <c r="E55" s="262"/>
      <c r="F55" s="262"/>
      <c r="G55" s="262"/>
      <c r="H55" s="262"/>
      <c r="I55" s="262"/>
      <c r="J55" s="186">
        <f>$J$53-$J$54</f>
        <v>0</v>
      </c>
    </row>
    <row r="56" spans="1:14" ht="15" customHeight="1">
      <c r="A56" s="317" t="s">
        <v>2183</v>
      </c>
      <c r="B56" s="262"/>
      <c r="C56" s="262"/>
      <c r="D56" s="262"/>
      <c r="E56" s="262"/>
      <c r="F56" s="262"/>
      <c r="G56" s="262"/>
      <c r="H56" s="262"/>
      <c r="I56" s="262"/>
      <c r="J56" s="185">
        <f>IF($C$6="Total",SUMIFS(RECETTES!$AB$39:$AB$88,RECETTES!$S$39:$S$88,"Oui"),SUMIFS(RECETTES!$AB$39:$AB$88,RECETTES!$S$39:$S$88,"Oui",RECETTES!$V$39:$V$88,VALUE($C$6)))</f>
        <v>0</v>
      </c>
      <c r="K56" s="183"/>
      <c r="L56" s="183"/>
      <c r="M56" s="183"/>
      <c r="N56" s="183"/>
    </row>
    <row r="57" spans="1:14" ht="15" customHeight="1">
      <c r="A57" s="316" t="s">
        <v>2510</v>
      </c>
      <c r="B57" s="262"/>
      <c r="C57" s="262"/>
      <c r="D57" s="262"/>
      <c r="E57" s="262"/>
      <c r="F57" s="262"/>
      <c r="G57" s="262"/>
      <c r="H57" s="262"/>
      <c r="I57" s="262"/>
      <c r="J57" s="181">
        <f>IF($C$6="Total",COUNTIF(RECETTES!$A$39:$A$88,"REC*"),COUNTIFS(RECETTES!$A$39:$A$88,"REC*",RECETTES!$V$39:$V$88,VALUE($C$6)))</f>
        <v>0</v>
      </c>
    </row>
    <row r="58" spans="1:14" ht="15" customHeight="1">
      <c r="A58" s="317" t="s">
        <v>2511</v>
      </c>
      <c r="B58" s="262"/>
      <c r="C58" s="262"/>
      <c r="D58" s="262"/>
      <c r="E58" s="262"/>
      <c r="F58" s="262"/>
      <c r="G58" s="262"/>
      <c r="H58" s="262"/>
      <c r="I58" s="262"/>
      <c r="J58" s="182">
        <f>RECETTES!$F$8</f>
        <v>0</v>
      </c>
      <c r="K58" s="184" t="s">
        <v>2491</v>
      </c>
      <c r="L58" s="183"/>
      <c r="M58" s="183"/>
      <c r="N58" s="183"/>
    </row>
    <row r="59" spans="1:14" ht="15" customHeight="1">
      <c r="A59" s="316" t="s">
        <v>2186</v>
      </c>
      <c r="B59" s="262"/>
      <c r="C59" s="262"/>
      <c r="D59" s="262"/>
      <c r="E59" s="262"/>
      <c r="F59" s="262"/>
      <c r="G59" s="262"/>
      <c r="H59" s="262"/>
      <c r="I59" s="262"/>
      <c r="J59" s="181">
        <f>RECETTES!$G$8</f>
        <v>0</v>
      </c>
      <c r="K59" s="166" t="s">
        <v>2491</v>
      </c>
    </row>
    <row r="60" spans="1:14" ht="15" customHeight="1">
      <c r="A60" s="317" t="s">
        <v>2512</v>
      </c>
      <c r="B60" s="262"/>
      <c r="C60" s="262"/>
      <c r="D60" s="262"/>
      <c r="E60" s="262"/>
      <c r="F60" s="262"/>
      <c r="G60" s="262"/>
      <c r="H60" s="262"/>
      <c r="I60" s="262"/>
      <c r="J60" s="187">
        <f>IFERROR($J$54/$J$53,0)</f>
        <v>0</v>
      </c>
      <c r="K60" s="183"/>
      <c r="L60" s="183"/>
      <c r="M60" s="183"/>
      <c r="N60" s="183"/>
    </row>
    <row r="62" spans="1:14" ht="19.5" customHeight="1">
      <c r="A62" s="314" t="s">
        <v>2513</v>
      </c>
      <c r="B62" s="262"/>
      <c r="C62" s="262"/>
      <c r="D62" s="262"/>
      <c r="E62" s="262"/>
      <c r="F62" s="262"/>
      <c r="G62" s="262"/>
      <c r="H62" s="262"/>
      <c r="I62" s="262"/>
      <c r="J62" s="262"/>
      <c r="K62" s="262"/>
      <c r="L62" s="262"/>
      <c r="M62" s="262"/>
      <c r="N62" s="262"/>
    </row>
    <row r="63" spans="1:14" ht="25.5" customHeight="1">
      <c r="A63" s="180" t="s">
        <v>2148</v>
      </c>
      <c r="B63" s="180" t="s">
        <v>1673</v>
      </c>
      <c r="C63" s="180" t="s">
        <v>2268</v>
      </c>
      <c r="D63" s="180" t="s">
        <v>2514</v>
      </c>
      <c r="E63" s="180" t="s">
        <v>2515</v>
      </c>
    </row>
    <row r="64" spans="1:14" ht="15" customHeight="1">
      <c r="A64" s="189" t="str">
        <f>IFERROR(INDEX(tbl_CategoriesDepenses[Libelle],1),"")</f>
        <v>Personnel</v>
      </c>
      <c r="B64" s="190">
        <f>IF($A$64="","",SUMIFS(tbl_Budget[Budget de reference (FCFA)],tbl_Budget[Categorie budgetaire],$A$64))</f>
        <v>0</v>
      </c>
      <c r="C64" s="190">
        <f>IF($A$64="","",SUMIFS(DEPENSES!$AG$119:$AG$168,DEPENSES!$D$119:$D$168,$A$64))</f>
        <v>0</v>
      </c>
      <c r="D64" s="190">
        <f>IF($A$64="","",$B$64-$C$64)</f>
        <v>0</v>
      </c>
      <c r="E64" s="191" t="str">
        <f>IF(OR($A$64="",$B$64=0),"",$C$64/$B$64)</f>
        <v/>
      </c>
    </row>
    <row r="65" spans="1:14" ht="15" customHeight="1">
      <c r="A65" s="192" t="str">
        <f>IFERROR(INDEX(tbl_CategoriesDepenses[Libelle],2),"")</f>
        <v>Honoraires</v>
      </c>
      <c r="B65" s="193">
        <f>IF($A$65="","",SUMIFS(tbl_Budget[Budget de reference (FCFA)],tbl_Budget[Categorie budgetaire],$A$65))</f>
        <v>0</v>
      </c>
      <c r="C65" s="193">
        <f>IF($A$65="","",SUMIFS(DEPENSES!$AG$119:$AG$168,DEPENSES!$D$119:$D$168,$A$65))</f>
        <v>0</v>
      </c>
      <c r="D65" s="193">
        <f>IF($A$65="","",$B$65-$C$65)</f>
        <v>0</v>
      </c>
      <c r="E65" s="194" t="str">
        <f>IF(OR($A$65="",$B$65=0),"",$C$65/$B$65)</f>
        <v/>
      </c>
    </row>
    <row r="66" spans="1:14" ht="15" customHeight="1">
      <c r="A66" s="189" t="str">
        <f>IFERROR(INDEX(tbl_CategoriesDepenses[Libelle],3),"")</f>
        <v>Consultants</v>
      </c>
      <c r="B66" s="190">
        <f>IF($A$66="","",SUMIFS(tbl_Budget[Budget de reference (FCFA)],tbl_Budget[Categorie budgetaire],$A$66))</f>
        <v>0</v>
      </c>
      <c r="C66" s="190">
        <f>IF($A$66="","",SUMIFS(DEPENSES!$AG$119:$AG$168,DEPENSES!$D$119:$D$168,$A$66))</f>
        <v>0</v>
      </c>
      <c r="D66" s="190">
        <f>IF($A$66="","",$B$66-$C$66)</f>
        <v>0</v>
      </c>
      <c r="E66" s="191" t="str">
        <f>IF(OR($A$66="",$B$66=0),"",$C$66/$B$66)</f>
        <v/>
      </c>
    </row>
    <row r="67" spans="1:14" ht="15" customHeight="1">
      <c r="A67" s="192" t="str">
        <f>IFERROR(INDEX(tbl_CategoriesDepenses[Libelle],4),"")</f>
        <v>Transport</v>
      </c>
      <c r="B67" s="193">
        <f>IF($A$67="","",SUMIFS(tbl_Budget[Budget de reference (FCFA)],tbl_Budget[Categorie budgetaire],$A$67))</f>
        <v>0</v>
      </c>
      <c r="C67" s="193">
        <f>IF($A$67="","",SUMIFS(DEPENSES!$AG$119:$AG$168,DEPENSES!$D$119:$D$168,$A$67))</f>
        <v>0</v>
      </c>
      <c r="D67" s="193">
        <f>IF($A$67="","",$B$67-$C$67)</f>
        <v>0</v>
      </c>
      <c r="E67" s="194" t="str">
        <f>IF(OR($A$67="",$B$67=0),"",$C$67/$B$67)</f>
        <v/>
      </c>
    </row>
    <row r="68" spans="1:14" ht="15" customHeight="1">
      <c r="A68" s="189" t="str">
        <f>IFERROR(INDEX(tbl_CategoriesDepenses[Libelle],5),"")</f>
        <v>Carburant</v>
      </c>
      <c r="B68" s="190">
        <f>IF($A$68="","",SUMIFS(tbl_Budget[Budget de reference (FCFA)],tbl_Budget[Categorie budgetaire],$A$68))</f>
        <v>0</v>
      </c>
      <c r="C68" s="190">
        <f>IF($A$68="","",SUMIFS(DEPENSES!$AG$119:$AG$168,DEPENSES!$D$119:$D$168,$A$68))</f>
        <v>0</v>
      </c>
      <c r="D68" s="190">
        <f>IF($A$68="","",$B$68-$C$68)</f>
        <v>0</v>
      </c>
      <c r="E68" s="191" t="str">
        <f>IF(OR($A$68="",$B$68=0),"",$C$68/$B$68)</f>
        <v/>
      </c>
    </row>
    <row r="69" spans="1:14" ht="15" customHeight="1">
      <c r="A69" s="192" t="str">
        <f>IFERROR(INDEX(tbl_CategoriesDepenses[Libelle],6),"")</f>
        <v>Hebergement</v>
      </c>
      <c r="B69" s="193">
        <f>IF($A$69="","",SUMIFS(tbl_Budget[Budget de reference (FCFA)],tbl_Budget[Categorie budgetaire],$A$69))</f>
        <v>0</v>
      </c>
      <c r="C69" s="193">
        <f>IF($A$69="","",SUMIFS(DEPENSES!$AG$119:$AG$168,DEPENSES!$D$119:$D$168,$A$69))</f>
        <v>0</v>
      </c>
      <c r="D69" s="193">
        <f>IF($A$69="","",$B$69-$C$69)</f>
        <v>0</v>
      </c>
      <c r="E69" s="194" t="str">
        <f>IF(OR($A$69="",$B$69=0),"",$C$69/$B$69)</f>
        <v/>
      </c>
    </row>
    <row r="70" spans="1:14" ht="15" customHeight="1">
      <c r="A70" s="189" t="str">
        <f>IFERROR(INDEX(tbl_CategoriesDepenses[Libelle],7),"")</f>
        <v>Restauration</v>
      </c>
      <c r="B70" s="190">
        <f>IF($A$70="","",SUMIFS(tbl_Budget[Budget de reference (FCFA)],tbl_Budget[Categorie budgetaire],$A$70))</f>
        <v>0</v>
      </c>
      <c r="C70" s="190">
        <f>IF($A$70="","",SUMIFS(DEPENSES!$AG$119:$AG$168,DEPENSES!$D$119:$D$168,$A$70))</f>
        <v>0</v>
      </c>
      <c r="D70" s="190">
        <f>IF($A$70="","",$B$70-$C$70)</f>
        <v>0</v>
      </c>
      <c r="E70" s="191" t="str">
        <f>IF(OR($A$70="",$B$70=0),"",$C$70/$B$70)</f>
        <v/>
      </c>
    </row>
    <row r="71" spans="1:14" ht="15" customHeight="1">
      <c r="A71" s="192" t="str">
        <f>IFERROR(INDEX(tbl_CategoriesDepenses[Libelle],8),"")</f>
        <v>Formation</v>
      </c>
      <c r="B71" s="193">
        <f>IF($A$71="","",SUMIFS(tbl_Budget[Budget de reference (FCFA)],tbl_Budget[Categorie budgetaire],$A$71))</f>
        <v>0</v>
      </c>
      <c r="C71" s="193">
        <f>IF($A$71="","",SUMIFS(DEPENSES!$AG$119:$AG$168,DEPENSES!$D$119:$D$168,$A$71))</f>
        <v>0</v>
      </c>
      <c r="D71" s="193">
        <f>IF($A$71="","",$B$71-$C$71)</f>
        <v>0</v>
      </c>
      <c r="E71" s="194" t="str">
        <f>IF(OR($A$71="",$B$71=0),"",$C$71/$B$71)</f>
        <v/>
      </c>
    </row>
    <row r="72" spans="1:14" ht="15" customHeight="1">
      <c r="A72" s="189" t="str">
        <f>IFERROR(INDEX(tbl_CategoriesDepenses[Libelle],9),"")</f>
        <v>Communication</v>
      </c>
      <c r="B72" s="190">
        <f>IF($A$72="","",SUMIFS(tbl_Budget[Budget de reference (FCFA)],tbl_Budget[Categorie budgetaire],$A$72))</f>
        <v>0</v>
      </c>
      <c r="C72" s="190">
        <f>IF($A$72="","",SUMIFS(DEPENSES!$AG$119:$AG$168,DEPENSES!$D$119:$D$168,$A$72))</f>
        <v>0</v>
      </c>
      <c r="D72" s="190">
        <f>IF($A$72="","",$B$72-$C$72)</f>
        <v>0</v>
      </c>
      <c r="E72" s="191" t="str">
        <f>IF(OR($A$72="",$B$72=0),"",$C$72/$B$72)</f>
        <v/>
      </c>
    </row>
    <row r="73" spans="1:14" ht="15" customHeight="1">
      <c r="A73" s="192" t="str">
        <f>IFERROR(INDEX(tbl_CategoriesDepenses[Libelle],10),"")</f>
        <v>Visibilite</v>
      </c>
      <c r="B73" s="193">
        <f>IF($A$73="","",SUMIFS(tbl_Budget[Budget de reference (FCFA)],tbl_Budget[Categorie budgetaire],$A$73))</f>
        <v>0</v>
      </c>
      <c r="C73" s="193">
        <f>IF($A$73="","",SUMIFS(DEPENSES!$AG$119:$AG$168,DEPENSES!$D$119:$D$168,$A$73))</f>
        <v>0</v>
      </c>
      <c r="D73" s="193">
        <f>IF($A$73="","",$B$73-$C$73)</f>
        <v>0</v>
      </c>
      <c r="E73" s="194" t="str">
        <f>IF(OR($A$73="",$B$73=0),"",$C$73/$B$73)</f>
        <v/>
      </c>
    </row>
    <row r="74" spans="1:14" ht="15" customHeight="1">
      <c r="A74" s="189" t="str">
        <f>IFERROR(INDEX(tbl_CategoriesDepenses[Libelle],11),"")</f>
        <v>Fournitures</v>
      </c>
      <c r="B74" s="190">
        <f>IF($A$74="","",SUMIFS(tbl_Budget[Budget de reference (FCFA)],tbl_Budget[Categorie budgetaire],$A$74))</f>
        <v>0</v>
      </c>
      <c r="C74" s="190">
        <f>IF($A$74="","",SUMIFS(DEPENSES!$AG$119:$AG$168,DEPENSES!$D$119:$D$168,$A$74))</f>
        <v>0</v>
      </c>
      <c r="D74" s="190">
        <f>IF($A$74="","",$B$74-$C$74)</f>
        <v>0</v>
      </c>
      <c r="E74" s="191" t="str">
        <f>IF(OR($A$74="",$B$74=0),"",$C$74/$B$74)</f>
        <v/>
      </c>
    </row>
    <row r="75" spans="1:14" ht="15" customHeight="1">
      <c r="A75" s="192" t="str">
        <f>IFERROR(INDEX(tbl_CategoriesDepenses[Libelle],12),"")</f>
        <v>Materiel</v>
      </c>
      <c r="B75" s="193">
        <f>IF($A$75="","",SUMIFS(tbl_Budget[Budget de reference (FCFA)],tbl_Budget[Categorie budgetaire],$A$75))</f>
        <v>0</v>
      </c>
      <c r="C75" s="193">
        <f>IF($A$75="","",SUMIFS(DEPENSES!$AG$119:$AG$168,DEPENSES!$D$119:$D$168,$A$75))</f>
        <v>0</v>
      </c>
      <c r="D75" s="193">
        <f>IF($A$75="","",$B$75-$C$75)</f>
        <v>0</v>
      </c>
      <c r="E75" s="194" t="str">
        <f>IF(OR($A$75="",$B$75=0),"",$C$75/$B$75)</f>
        <v/>
      </c>
    </row>
    <row r="76" spans="1:14" ht="15" customHeight="1">
      <c r="A76" s="189" t="str">
        <f>IFERROR(INDEX(tbl_CategoriesDepenses[Libelle],13),"")</f>
        <v>Equipements</v>
      </c>
      <c r="B76" s="190">
        <f>IF($A$76="","",SUMIFS(tbl_Budget[Budget de reference (FCFA)],tbl_Budget[Categorie budgetaire],$A$76))</f>
        <v>0</v>
      </c>
      <c r="C76" s="190">
        <f>IF($A$76="","",SUMIFS(DEPENSES!$AG$119:$AG$168,DEPENSES!$D$119:$D$168,$A$76))</f>
        <v>0</v>
      </c>
      <c r="D76" s="190">
        <f>IF($A$76="","",$B$76-$C$76)</f>
        <v>0</v>
      </c>
      <c r="E76" s="191" t="str">
        <f>IF(OR($A$76="",$B$76=0),"",$C$76/$B$76)</f>
        <v/>
      </c>
    </row>
    <row r="77" spans="1:14" ht="15" customHeight="1">
      <c r="A77" s="192" t="str">
        <f>IFERROR(INDEX(tbl_CategoriesDepenses[Libelle],14),"")</f>
        <v>Construction</v>
      </c>
      <c r="B77" s="193">
        <f>IF($A$77="","",SUMIFS(tbl_Budget[Budget de reference (FCFA)],tbl_Budget[Categorie budgetaire],$A$77))</f>
        <v>0</v>
      </c>
      <c r="C77" s="193">
        <f>IF($A$77="","",SUMIFS(DEPENSES!$AG$119:$AG$168,DEPENSES!$D$119:$D$168,$A$77))</f>
        <v>0</v>
      </c>
      <c r="D77" s="193">
        <f>IF($A$77="","",$B$77-$C$77)</f>
        <v>0</v>
      </c>
      <c r="E77" s="194" t="str">
        <f>IF(OR($A$77="",$B$77=0),"",$C$77/$B$77)</f>
        <v/>
      </c>
    </row>
    <row r="78" spans="1:14" ht="15" customHeight="1">
      <c r="A78" s="189" t="str">
        <f>IFERROR(INDEX(tbl_CategoriesDepenses[Libelle],15),"")</f>
        <v>Rehabilitation</v>
      </c>
      <c r="B78" s="190">
        <f>IF($A$78="","",SUMIFS(tbl_Budget[Budget de reference (FCFA)],tbl_Budget[Categorie budgetaire],$A$78))</f>
        <v>0</v>
      </c>
      <c r="C78" s="190">
        <f>IF($A$78="","",SUMIFS(DEPENSES!$AG$119:$AG$168,DEPENSES!$D$119:$D$168,$A$78))</f>
        <v>0</v>
      </c>
      <c r="D78" s="190">
        <f>IF($A$78="","",$B$78-$C$78)</f>
        <v>0</v>
      </c>
      <c r="E78" s="191" t="str">
        <f>IF(OR($A$78="",$B$78=0),"",$C$78/$B$78)</f>
        <v/>
      </c>
    </row>
    <row r="80" spans="1:14" ht="19.5" customHeight="1">
      <c r="A80" s="314" t="s">
        <v>2516</v>
      </c>
      <c r="B80" s="262"/>
      <c r="C80" s="262"/>
      <c r="D80" s="262"/>
      <c r="E80" s="262"/>
      <c r="F80" s="262"/>
      <c r="G80" s="262"/>
      <c r="H80" s="262"/>
      <c r="I80" s="262"/>
      <c r="J80" s="262"/>
      <c r="K80" s="262"/>
      <c r="L80" s="262"/>
      <c r="M80" s="262"/>
      <c r="N80" s="262"/>
    </row>
    <row r="81" spans="1:9" ht="25.5" customHeight="1">
      <c r="A81" s="180" t="s">
        <v>1511</v>
      </c>
      <c r="B81" s="180" t="s">
        <v>2104</v>
      </c>
      <c r="C81" s="180" t="s">
        <v>1407</v>
      </c>
      <c r="D81" s="180" t="s">
        <v>175</v>
      </c>
      <c r="E81" s="180" t="s">
        <v>2517</v>
      </c>
      <c r="F81" s="180" t="s">
        <v>2518</v>
      </c>
      <c r="G81" s="180" t="s">
        <v>2181</v>
      </c>
      <c r="H81" s="180" t="s">
        <v>2519</v>
      </c>
      <c r="I81" s="180" t="s">
        <v>2520</v>
      </c>
    </row>
    <row r="82" spans="1:9" ht="15" customHeight="1">
      <c r="A82" s="189" t="str">
        <f>DONATEURS!$A$56</f>
        <v>DON00001</v>
      </c>
      <c r="B82" s="189" t="str">
        <f>DONATEURS!$B$56</f>
        <v>AUSP</v>
      </c>
      <c r="C82" s="195" t="str">
        <f>DONATEURS!$E$56</f>
        <v>ONG</v>
      </c>
      <c r="D82" s="195" t="str">
        <f>DONATEURS!$AB$56</f>
        <v>Financement obtenu</v>
      </c>
      <c r="E82" s="190">
        <f>DONATEURS!$AM$56</f>
        <v>0</v>
      </c>
      <c r="F82" s="190">
        <f>DONATEURS!$AN$56</f>
        <v>0</v>
      </c>
      <c r="G82" s="190">
        <f>DONATEURS!$AO$56</f>
        <v>0</v>
      </c>
      <c r="H82" s="190">
        <f>IF(DONATEURS!$A$56="","",DONATEURS!$AN$56-DONATEURS!$AO$56)</f>
        <v>0</v>
      </c>
      <c r="I82" s="191" t="str">
        <f>DONATEURS!$AP$56</f>
        <v/>
      </c>
    </row>
    <row r="83" spans="1:9" ht="15" customHeight="1">
      <c r="A83" s="192" t="str">
        <f>DONATEURS!$A$57</f>
        <v/>
      </c>
      <c r="B83" s="192">
        <f>DONATEURS!$B$57</f>
        <v>0</v>
      </c>
      <c r="C83" s="196">
        <f>DONATEURS!$E$57</f>
        <v>0</v>
      </c>
      <c r="D83" s="196">
        <f>DONATEURS!$AB$57</f>
        <v>0</v>
      </c>
      <c r="E83" s="193">
        <f>DONATEURS!$AM$57</f>
        <v>0</v>
      </c>
      <c r="F83" s="193">
        <f>DONATEURS!$AN$57</f>
        <v>0</v>
      </c>
      <c r="G83" s="193">
        <f>DONATEURS!$AO$57</f>
        <v>0</v>
      </c>
      <c r="H83" s="193" t="str">
        <f>IF(DONATEURS!$A$57="","",DONATEURS!$AN$57-DONATEURS!$AO$57)</f>
        <v/>
      </c>
      <c r="I83" s="194" t="str">
        <f>DONATEURS!$AP$57</f>
        <v/>
      </c>
    </row>
    <row r="84" spans="1:9" ht="15" customHeight="1">
      <c r="A84" s="189" t="str">
        <f>DONATEURS!$A$58</f>
        <v/>
      </c>
      <c r="B84" s="189">
        <f>DONATEURS!$B$58</f>
        <v>0</v>
      </c>
      <c r="C84" s="195">
        <f>DONATEURS!$E$58</f>
        <v>0</v>
      </c>
      <c r="D84" s="195">
        <f>DONATEURS!$AB$58</f>
        <v>0</v>
      </c>
      <c r="E84" s="190">
        <f>DONATEURS!$AM$58</f>
        <v>0</v>
      </c>
      <c r="F84" s="190">
        <f>DONATEURS!$AN$58</f>
        <v>0</v>
      </c>
      <c r="G84" s="190">
        <f>DONATEURS!$AO$58</f>
        <v>0</v>
      </c>
      <c r="H84" s="190" t="str">
        <f>IF(DONATEURS!$A$58="","",DONATEURS!$AN$58-DONATEURS!$AO$58)</f>
        <v/>
      </c>
      <c r="I84" s="191" t="str">
        <f>DONATEURS!$AP$58</f>
        <v/>
      </c>
    </row>
    <row r="85" spans="1:9" ht="15" customHeight="1">
      <c r="A85" s="192" t="str">
        <f>DONATEURS!$A$59</f>
        <v/>
      </c>
      <c r="B85" s="192">
        <f>DONATEURS!$B$59</f>
        <v>0</v>
      </c>
      <c r="C85" s="196">
        <f>DONATEURS!$E$59</f>
        <v>0</v>
      </c>
      <c r="D85" s="196">
        <f>DONATEURS!$AB$59</f>
        <v>0</v>
      </c>
      <c r="E85" s="193">
        <f>DONATEURS!$AM$59</f>
        <v>0</v>
      </c>
      <c r="F85" s="193">
        <f>DONATEURS!$AN$59</f>
        <v>0</v>
      </c>
      <c r="G85" s="193">
        <f>DONATEURS!$AO$59</f>
        <v>0</v>
      </c>
      <c r="H85" s="193" t="str">
        <f>IF(DONATEURS!$A$59="","",DONATEURS!$AN$59-DONATEURS!$AO$59)</f>
        <v/>
      </c>
      <c r="I85" s="194" t="str">
        <f>DONATEURS!$AP$59</f>
        <v/>
      </c>
    </row>
    <row r="86" spans="1:9" ht="15" customHeight="1">
      <c r="A86" s="189" t="str">
        <f>DONATEURS!$A$60</f>
        <v/>
      </c>
      <c r="B86" s="189">
        <f>DONATEURS!$B$60</f>
        <v>0</v>
      </c>
      <c r="C86" s="195">
        <f>DONATEURS!$E$60</f>
        <v>0</v>
      </c>
      <c r="D86" s="195">
        <f>DONATEURS!$AB$60</f>
        <v>0</v>
      </c>
      <c r="E86" s="190">
        <f>DONATEURS!$AM$60</f>
        <v>0</v>
      </c>
      <c r="F86" s="190">
        <f>DONATEURS!$AN$60</f>
        <v>0</v>
      </c>
      <c r="G86" s="190">
        <f>DONATEURS!$AO$60</f>
        <v>0</v>
      </c>
      <c r="H86" s="190" t="str">
        <f>IF(DONATEURS!$A$60="","",DONATEURS!$AN$60-DONATEURS!$AO$60)</f>
        <v/>
      </c>
      <c r="I86" s="191" t="str">
        <f>DONATEURS!$AP$60</f>
        <v/>
      </c>
    </row>
    <row r="87" spans="1:9" ht="15" customHeight="1">
      <c r="A87" s="192" t="str">
        <f>DONATEURS!$A$61</f>
        <v/>
      </c>
      <c r="B87" s="192">
        <f>DONATEURS!$B$61</f>
        <v>0</v>
      </c>
      <c r="C87" s="196">
        <f>DONATEURS!$E$61</f>
        <v>0</v>
      </c>
      <c r="D87" s="196">
        <f>DONATEURS!$AB$61</f>
        <v>0</v>
      </c>
      <c r="E87" s="193">
        <f>DONATEURS!$AM$61</f>
        <v>0</v>
      </c>
      <c r="F87" s="193">
        <f>DONATEURS!$AN$61</f>
        <v>0</v>
      </c>
      <c r="G87" s="193">
        <f>DONATEURS!$AO$61</f>
        <v>0</v>
      </c>
      <c r="H87" s="193" t="str">
        <f>IF(DONATEURS!$A$61="","",DONATEURS!$AN$61-DONATEURS!$AO$61)</f>
        <v/>
      </c>
      <c r="I87" s="194" t="str">
        <f>DONATEURS!$AP$61</f>
        <v/>
      </c>
    </row>
    <row r="88" spans="1:9" ht="15" customHeight="1">
      <c r="A88" s="189" t="str">
        <f>DONATEURS!$A$62</f>
        <v/>
      </c>
      <c r="B88" s="189">
        <f>DONATEURS!$B$62</f>
        <v>0</v>
      </c>
      <c r="C88" s="195">
        <f>DONATEURS!$E$62</f>
        <v>0</v>
      </c>
      <c r="D88" s="195">
        <f>DONATEURS!$AB$62</f>
        <v>0</v>
      </c>
      <c r="E88" s="190">
        <f>DONATEURS!$AM$62</f>
        <v>0</v>
      </c>
      <c r="F88" s="190">
        <f>DONATEURS!$AN$62</f>
        <v>0</v>
      </c>
      <c r="G88" s="190">
        <f>DONATEURS!$AO$62</f>
        <v>0</v>
      </c>
      <c r="H88" s="190" t="str">
        <f>IF(DONATEURS!$A$62="","",DONATEURS!$AN$62-DONATEURS!$AO$62)</f>
        <v/>
      </c>
      <c r="I88" s="191" t="str">
        <f>DONATEURS!$AP$62</f>
        <v/>
      </c>
    </row>
    <row r="89" spans="1:9" ht="15" customHeight="1">
      <c r="A89" s="192" t="str">
        <f>DONATEURS!$A$63</f>
        <v/>
      </c>
      <c r="B89" s="192">
        <f>DONATEURS!$B$63</f>
        <v>0</v>
      </c>
      <c r="C89" s="196">
        <f>DONATEURS!$E$63</f>
        <v>0</v>
      </c>
      <c r="D89" s="196">
        <f>DONATEURS!$AB$63</f>
        <v>0</v>
      </c>
      <c r="E89" s="193">
        <f>DONATEURS!$AM$63</f>
        <v>0</v>
      </c>
      <c r="F89" s="193">
        <f>DONATEURS!$AN$63</f>
        <v>0</v>
      </c>
      <c r="G89" s="193">
        <f>DONATEURS!$AO$63</f>
        <v>0</v>
      </c>
      <c r="H89" s="193" t="str">
        <f>IF(DONATEURS!$A$63="","",DONATEURS!$AN$63-DONATEURS!$AO$63)</f>
        <v/>
      </c>
      <c r="I89" s="194" t="str">
        <f>DONATEURS!$AP$63</f>
        <v/>
      </c>
    </row>
    <row r="90" spans="1:9" ht="15" customHeight="1">
      <c r="A90" s="189" t="str">
        <f>DONATEURS!$A$64</f>
        <v/>
      </c>
      <c r="B90" s="189">
        <f>DONATEURS!$B$64</f>
        <v>0</v>
      </c>
      <c r="C90" s="195">
        <f>DONATEURS!$E$64</f>
        <v>0</v>
      </c>
      <c r="D90" s="195">
        <f>DONATEURS!$AB$64</f>
        <v>0</v>
      </c>
      <c r="E90" s="190">
        <f>DONATEURS!$AM$64</f>
        <v>0</v>
      </c>
      <c r="F90" s="190">
        <f>DONATEURS!$AN$64</f>
        <v>0</v>
      </c>
      <c r="G90" s="190">
        <f>DONATEURS!$AO$64</f>
        <v>0</v>
      </c>
      <c r="H90" s="190" t="str">
        <f>IF(DONATEURS!$A$64="","",DONATEURS!$AN$64-DONATEURS!$AO$64)</f>
        <v/>
      </c>
      <c r="I90" s="191" t="str">
        <f>DONATEURS!$AP$64</f>
        <v/>
      </c>
    </row>
    <row r="91" spans="1:9" ht="15" customHeight="1">
      <c r="A91" s="192" t="str">
        <f>DONATEURS!$A$65</f>
        <v/>
      </c>
      <c r="B91" s="192">
        <f>DONATEURS!$B$65</f>
        <v>0</v>
      </c>
      <c r="C91" s="196">
        <f>DONATEURS!$E$65</f>
        <v>0</v>
      </c>
      <c r="D91" s="196">
        <f>DONATEURS!$AB$65</f>
        <v>0</v>
      </c>
      <c r="E91" s="193">
        <f>DONATEURS!$AM$65</f>
        <v>0</v>
      </c>
      <c r="F91" s="193">
        <f>DONATEURS!$AN$65</f>
        <v>0</v>
      </c>
      <c r="G91" s="193">
        <f>DONATEURS!$AO$65</f>
        <v>0</v>
      </c>
      <c r="H91" s="193" t="str">
        <f>IF(DONATEURS!$A$65="","",DONATEURS!$AN$65-DONATEURS!$AO$65)</f>
        <v/>
      </c>
      <c r="I91" s="194" t="str">
        <f>DONATEURS!$AP$65</f>
        <v/>
      </c>
    </row>
    <row r="92" spans="1:9" ht="15" customHeight="1">
      <c r="A92" s="189" t="str">
        <f>DONATEURS!$A$66</f>
        <v/>
      </c>
      <c r="B92" s="189">
        <f>DONATEURS!$B$66</f>
        <v>0</v>
      </c>
      <c r="C92" s="195">
        <f>DONATEURS!$E$66</f>
        <v>0</v>
      </c>
      <c r="D92" s="195">
        <f>DONATEURS!$AB$66</f>
        <v>0</v>
      </c>
      <c r="E92" s="190">
        <f>DONATEURS!$AM$66</f>
        <v>0</v>
      </c>
      <c r="F92" s="190">
        <f>DONATEURS!$AN$66</f>
        <v>0</v>
      </c>
      <c r="G92" s="190">
        <f>DONATEURS!$AO$66</f>
        <v>0</v>
      </c>
      <c r="H92" s="190" t="str">
        <f>IF(DONATEURS!$A$66="","",DONATEURS!$AN$66-DONATEURS!$AO$66)</f>
        <v/>
      </c>
      <c r="I92" s="191" t="str">
        <f>DONATEURS!$AP$66</f>
        <v/>
      </c>
    </row>
    <row r="93" spans="1:9" ht="15" customHeight="1">
      <c r="A93" s="192" t="str">
        <f>DONATEURS!$A$67</f>
        <v/>
      </c>
      <c r="B93" s="192">
        <f>DONATEURS!$B$67</f>
        <v>0</v>
      </c>
      <c r="C93" s="196">
        <f>DONATEURS!$E$67</f>
        <v>0</v>
      </c>
      <c r="D93" s="196">
        <f>DONATEURS!$AB$67</f>
        <v>0</v>
      </c>
      <c r="E93" s="193">
        <f>DONATEURS!$AM$67</f>
        <v>0</v>
      </c>
      <c r="F93" s="193">
        <f>DONATEURS!$AN$67</f>
        <v>0</v>
      </c>
      <c r="G93" s="193">
        <f>DONATEURS!$AO$67</f>
        <v>0</v>
      </c>
      <c r="H93" s="193" t="str">
        <f>IF(DONATEURS!$A$67="","",DONATEURS!$AN$67-DONATEURS!$AO$67)</f>
        <v/>
      </c>
      <c r="I93" s="194" t="str">
        <f>DONATEURS!$AP$67</f>
        <v/>
      </c>
    </row>
    <row r="94" spans="1:9" ht="15" customHeight="1">
      <c r="A94" s="189" t="str">
        <f>DONATEURS!$A$68</f>
        <v/>
      </c>
      <c r="B94" s="189">
        <f>DONATEURS!$B$68</f>
        <v>0</v>
      </c>
      <c r="C94" s="195">
        <f>DONATEURS!$E$68</f>
        <v>0</v>
      </c>
      <c r="D94" s="195">
        <f>DONATEURS!$AB$68</f>
        <v>0</v>
      </c>
      <c r="E94" s="190">
        <f>DONATEURS!$AM$68</f>
        <v>0</v>
      </c>
      <c r="F94" s="190">
        <f>DONATEURS!$AN$68</f>
        <v>0</v>
      </c>
      <c r="G94" s="190">
        <f>DONATEURS!$AO$68</f>
        <v>0</v>
      </c>
      <c r="H94" s="190" t="str">
        <f>IF(DONATEURS!$A$68="","",DONATEURS!$AN$68-DONATEURS!$AO$68)</f>
        <v/>
      </c>
      <c r="I94" s="191" t="str">
        <f>DONATEURS!$AP$68</f>
        <v/>
      </c>
    </row>
    <row r="95" spans="1:9" ht="15" customHeight="1">
      <c r="A95" s="192" t="str">
        <f>DONATEURS!$A$69</f>
        <v/>
      </c>
      <c r="B95" s="192">
        <f>DONATEURS!$B$69</f>
        <v>0</v>
      </c>
      <c r="C95" s="196">
        <f>DONATEURS!$E$69</f>
        <v>0</v>
      </c>
      <c r="D95" s="196">
        <f>DONATEURS!$AB$69</f>
        <v>0</v>
      </c>
      <c r="E95" s="193">
        <f>DONATEURS!$AM$69</f>
        <v>0</v>
      </c>
      <c r="F95" s="193">
        <f>DONATEURS!$AN$69</f>
        <v>0</v>
      </c>
      <c r="G95" s="193">
        <f>DONATEURS!$AO$69</f>
        <v>0</v>
      </c>
      <c r="H95" s="193" t="str">
        <f>IF(DONATEURS!$A$69="","",DONATEURS!$AN$69-DONATEURS!$AO$69)</f>
        <v/>
      </c>
      <c r="I95" s="194" t="str">
        <f>DONATEURS!$AP$69</f>
        <v/>
      </c>
    </row>
    <row r="96" spans="1:9" ht="15" customHeight="1">
      <c r="A96" s="189" t="str">
        <f>DONATEURS!$A$70</f>
        <v/>
      </c>
      <c r="B96" s="189">
        <f>DONATEURS!$B$70</f>
        <v>0</v>
      </c>
      <c r="C96" s="195">
        <f>DONATEURS!$E$70</f>
        <v>0</v>
      </c>
      <c r="D96" s="195">
        <f>DONATEURS!$AB$70</f>
        <v>0</v>
      </c>
      <c r="E96" s="190">
        <f>DONATEURS!$AM$70</f>
        <v>0</v>
      </c>
      <c r="F96" s="190">
        <f>DONATEURS!$AN$70</f>
        <v>0</v>
      </c>
      <c r="G96" s="190">
        <f>DONATEURS!$AO$70</f>
        <v>0</v>
      </c>
      <c r="H96" s="190" t="str">
        <f>IF(DONATEURS!$A$70="","",DONATEURS!$AN$70-DONATEURS!$AO$70)</f>
        <v/>
      </c>
      <c r="I96" s="191" t="str">
        <f>DONATEURS!$AP$70</f>
        <v/>
      </c>
    </row>
    <row r="97" spans="1:14" ht="15" customHeight="1">
      <c r="A97" s="192" t="str">
        <f>DONATEURS!$A$71</f>
        <v/>
      </c>
      <c r="B97" s="192">
        <f>DONATEURS!$B$71</f>
        <v>0</v>
      </c>
      <c r="C97" s="196">
        <f>DONATEURS!$E$71</f>
        <v>0</v>
      </c>
      <c r="D97" s="196">
        <f>DONATEURS!$AB$71</f>
        <v>0</v>
      </c>
      <c r="E97" s="193">
        <f>DONATEURS!$AM$71</f>
        <v>0</v>
      </c>
      <c r="F97" s="193">
        <f>DONATEURS!$AN$71</f>
        <v>0</v>
      </c>
      <c r="G97" s="193">
        <f>DONATEURS!$AO$71</f>
        <v>0</v>
      </c>
      <c r="H97" s="193" t="str">
        <f>IF(DONATEURS!$A$71="","",DONATEURS!$AN$71-DONATEURS!$AO$71)</f>
        <v/>
      </c>
      <c r="I97" s="194" t="str">
        <f>DONATEURS!$AP$71</f>
        <v/>
      </c>
    </row>
    <row r="98" spans="1:14" ht="15" customHeight="1">
      <c r="A98" s="189" t="str">
        <f>DONATEURS!$A$72</f>
        <v/>
      </c>
      <c r="B98" s="189">
        <f>DONATEURS!$B$72</f>
        <v>0</v>
      </c>
      <c r="C98" s="195">
        <f>DONATEURS!$E$72</f>
        <v>0</v>
      </c>
      <c r="D98" s="195">
        <f>DONATEURS!$AB$72</f>
        <v>0</v>
      </c>
      <c r="E98" s="190">
        <f>DONATEURS!$AM$72</f>
        <v>0</v>
      </c>
      <c r="F98" s="190">
        <f>DONATEURS!$AN$72</f>
        <v>0</v>
      </c>
      <c r="G98" s="190">
        <f>DONATEURS!$AO$72</f>
        <v>0</v>
      </c>
      <c r="H98" s="190" t="str">
        <f>IF(DONATEURS!$A$72="","",DONATEURS!$AN$72-DONATEURS!$AO$72)</f>
        <v/>
      </c>
      <c r="I98" s="191" t="str">
        <f>DONATEURS!$AP$72</f>
        <v/>
      </c>
    </row>
    <row r="99" spans="1:14" ht="15" customHeight="1">
      <c r="A99" s="192" t="str">
        <f>DONATEURS!$A$73</f>
        <v/>
      </c>
      <c r="B99" s="192">
        <f>DONATEURS!$B$73</f>
        <v>0</v>
      </c>
      <c r="C99" s="196">
        <f>DONATEURS!$E$73</f>
        <v>0</v>
      </c>
      <c r="D99" s="196">
        <f>DONATEURS!$AB$73</f>
        <v>0</v>
      </c>
      <c r="E99" s="193">
        <f>DONATEURS!$AM$73</f>
        <v>0</v>
      </c>
      <c r="F99" s="193">
        <f>DONATEURS!$AN$73</f>
        <v>0</v>
      </c>
      <c r="G99" s="193">
        <f>DONATEURS!$AO$73</f>
        <v>0</v>
      </c>
      <c r="H99" s="193" t="str">
        <f>IF(DONATEURS!$A$73="","",DONATEURS!$AN$73-DONATEURS!$AO$73)</f>
        <v/>
      </c>
      <c r="I99" s="194" t="str">
        <f>DONATEURS!$AP$73</f>
        <v/>
      </c>
    </row>
    <row r="100" spans="1:14" ht="15" customHeight="1">
      <c r="A100" s="189" t="str">
        <f>DONATEURS!$A$74</f>
        <v/>
      </c>
      <c r="B100" s="189">
        <f>DONATEURS!$B$74</f>
        <v>0</v>
      </c>
      <c r="C100" s="195">
        <f>DONATEURS!$E$74</f>
        <v>0</v>
      </c>
      <c r="D100" s="195">
        <f>DONATEURS!$AB$74</f>
        <v>0</v>
      </c>
      <c r="E100" s="190">
        <f>DONATEURS!$AM$74</f>
        <v>0</v>
      </c>
      <c r="F100" s="190">
        <f>DONATEURS!$AN$74</f>
        <v>0</v>
      </c>
      <c r="G100" s="190">
        <f>DONATEURS!$AO$74</f>
        <v>0</v>
      </c>
      <c r="H100" s="190" t="str">
        <f>IF(DONATEURS!$A$74="","",DONATEURS!$AN$74-DONATEURS!$AO$74)</f>
        <v/>
      </c>
      <c r="I100" s="191" t="str">
        <f>DONATEURS!$AP$74</f>
        <v/>
      </c>
    </row>
    <row r="101" spans="1:14" ht="15" customHeight="1">
      <c r="A101" s="192" t="str">
        <f>DONATEURS!$A$75</f>
        <v/>
      </c>
      <c r="B101" s="192">
        <f>DONATEURS!$B$75</f>
        <v>0</v>
      </c>
      <c r="C101" s="196">
        <f>DONATEURS!$E$75</f>
        <v>0</v>
      </c>
      <c r="D101" s="196">
        <f>DONATEURS!$AB$75</f>
        <v>0</v>
      </c>
      <c r="E101" s="193">
        <f>DONATEURS!$AM$75</f>
        <v>0</v>
      </c>
      <c r="F101" s="193">
        <f>DONATEURS!$AN$75</f>
        <v>0</v>
      </c>
      <c r="G101" s="193">
        <f>DONATEURS!$AO$75</f>
        <v>0</v>
      </c>
      <c r="H101" s="193" t="str">
        <f>IF(DONATEURS!$A$75="","",DONATEURS!$AN$75-DONATEURS!$AO$75)</f>
        <v/>
      </c>
      <c r="I101" s="194" t="str">
        <f>DONATEURS!$AP$75</f>
        <v/>
      </c>
    </row>
    <row r="102" spans="1:14" ht="15" customHeight="1">
      <c r="A102" s="189" t="str">
        <f>DONATEURS!$A$76</f>
        <v/>
      </c>
      <c r="B102" s="189">
        <f>DONATEURS!$B$76</f>
        <v>0</v>
      </c>
      <c r="C102" s="195">
        <f>DONATEURS!$E$76</f>
        <v>0</v>
      </c>
      <c r="D102" s="195">
        <f>DONATEURS!$AB$76</f>
        <v>0</v>
      </c>
      <c r="E102" s="190">
        <f>DONATEURS!$AM$76</f>
        <v>0</v>
      </c>
      <c r="F102" s="190">
        <f>DONATEURS!$AN$76</f>
        <v>0</v>
      </c>
      <c r="G102" s="190">
        <f>DONATEURS!$AO$76</f>
        <v>0</v>
      </c>
      <c r="H102" s="190" t="str">
        <f>IF(DONATEURS!$A$76="","",DONATEURS!$AN$76-DONATEURS!$AO$76)</f>
        <v/>
      </c>
      <c r="I102" s="191" t="str">
        <f>DONATEURS!$AP$76</f>
        <v/>
      </c>
    </row>
    <row r="103" spans="1:14" ht="15" customHeight="1">
      <c r="A103" s="192" t="str">
        <f>DONATEURS!$A$77</f>
        <v/>
      </c>
      <c r="B103" s="192">
        <f>DONATEURS!$B$77</f>
        <v>0</v>
      </c>
      <c r="C103" s="196">
        <f>DONATEURS!$E$77</f>
        <v>0</v>
      </c>
      <c r="D103" s="196">
        <f>DONATEURS!$AB$77</f>
        <v>0</v>
      </c>
      <c r="E103" s="193">
        <f>DONATEURS!$AM$77</f>
        <v>0</v>
      </c>
      <c r="F103" s="193">
        <f>DONATEURS!$AN$77</f>
        <v>0</v>
      </c>
      <c r="G103" s="193">
        <f>DONATEURS!$AO$77</f>
        <v>0</v>
      </c>
      <c r="H103" s="193" t="str">
        <f>IF(DONATEURS!$A$77="","",DONATEURS!$AN$77-DONATEURS!$AO$77)</f>
        <v/>
      </c>
      <c r="I103" s="194" t="str">
        <f>DONATEURS!$AP$77</f>
        <v/>
      </c>
    </row>
    <row r="104" spans="1:14" ht="15" customHeight="1">
      <c r="A104" s="189" t="str">
        <f>DONATEURS!$A$78</f>
        <v/>
      </c>
      <c r="B104" s="189">
        <f>DONATEURS!$B$78</f>
        <v>0</v>
      </c>
      <c r="C104" s="195">
        <f>DONATEURS!$E$78</f>
        <v>0</v>
      </c>
      <c r="D104" s="195">
        <f>DONATEURS!$AB$78</f>
        <v>0</v>
      </c>
      <c r="E104" s="190">
        <f>DONATEURS!$AM$78</f>
        <v>0</v>
      </c>
      <c r="F104" s="190">
        <f>DONATEURS!$AN$78</f>
        <v>0</v>
      </c>
      <c r="G104" s="190">
        <f>DONATEURS!$AO$78</f>
        <v>0</v>
      </c>
      <c r="H104" s="190" t="str">
        <f>IF(DONATEURS!$A$78="","",DONATEURS!$AN$78-DONATEURS!$AO$78)</f>
        <v/>
      </c>
      <c r="I104" s="191" t="str">
        <f>DONATEURS!$AP$78</f>
        <v/>
      </c>
    </row>
    <row r="105" spans="1:14" ht="15" customHeight="1">
      <c r="A105" s="192" t="str">
        <f>DONATEURS!$A$79</f>
        <v/>
      </c>
      <c r="B105" s="192">
        <f>DONATEURS!$B$79</f>
        <v>0</v>
      </c>
      <c r="C105" s="196">
        <f>DONATEURS!$E$79</f>
        <v>0</v>
      </c>
      <c r="D105" s="196">
        <f>DONATEURS!$AB$79</f>
        <v>0</v>
      </c>
      <c r="E105" s="193">
        <f>DONATEURS!$AM$79</f>
        <v>0</v>
      </c>
      <c r="F105" s="193">
        <f>DONATEURS!$AN$79</f>
        <v>0</v>
      </c>
      <c r="G105" s="193">
        <f>DONATEURS!$AO$79</f>
        <v>0</v>
      </c>
      <c r="H105" s="193" t="str">
        <f>IF(DONATEURS!$A$79="","",DONATEURS!$AN$79-DONATEURS!$AO$79)</f>
        <v/>
      </c>
      <c r="I105" s="194" t="str">
        <f>DONATEURS!$AP$79</f>
        <v/>
      </c>
    </row>
    <row r="106" spans="1:14" ht="15" customHeight="1">
      <c r="A106" s="189" t="str">
        <f>DONATEURS!$A$80</f>
        <v/>
      </c>
      <c r="B106" s="189">
        <f>DONATEURS!$B$80</f>
        <v>0</v>
      </c>
      <c r="C106" s="195">
        <f>DONATEURS!$E$80</f>
        <v>0</v>
      </c>
      <c r="D106" s="195">
        <f>DONATEURS!$AB$80</f>
        <v>0</v>
      </c>
      <c r="E106" s="190">
        <f>DONATEURS!$AM$80</f>
        <v>0</v>
      </c>
      <c r="F106" s="190">
        <f>DONATEURS!$AN$80</f>
        <v>0</v>
      </c>
      <c r="G106" s="190">
        <f>DONATEURS!$AO$80</f>
        <v>0</v>
      </c>
      <c r="H106" s="190" t="str">
        <f>IF(DONATEURS!$A$80="","",DONATEURS!$AN$80-DONATEURS!$AO$80)</f>
        <v/>
      </c>
      <c r="I106" s="191" t="str">
        <f>DONATEURS!$AP$80</f>
        <v/>
      </c>
    </row>
    <row r="108" spans="1:14" ht="15" customHeight="1">
      <c r="A108" s="305" t="s">
        <v>2521</v>
      </c>
      <c r="B108" s="262"/>
      <c r="C108" s="262"/>
      <c r="D108" s="262"/>
      <c r="E108" s="262"/>
      <c r="F108" s="262"/>
      <c r="G108" s="262"/>
      <c r="H108" s="262"/>
      <c r="I108" s="262"/>
      <c r="J108" s="262"/>
      <c r="K108" s="262"/>
      <c r="L108" s="262"/>
      <c r="M108" s="262"/>
      <c r="N108" s="262"/>
    </row>
    <row r="109" spans="1:14" ht="15" customHeight="1">
      <c r="A109" s="312" t="s">
        <v>1512</v>
      </c>
      <c r="B109" s="262"/>
      <c r="C109" s="262"/>
      <c r="D109" s="262"/>
      <c r="E109" s="262"/>
      <c r="F109" s="321" t="str">
        <f>IFERROR(INDEX(DONATEURS!$B$56:$B$205,MATCH($L$6,DONATEURS!$A$56:$A$205,0)),"")</f>
        <v/>
      </c>
      <c r="G109" s="262"/>
      <c r="H109" s="262"/>
      <c r="I109" s="262"/>
      <c r="J109" s="262"/>
      <c r="K109" s="262"/>
      <c r="L109" s="262"/>
      <c r="M109" s="262"/>
      <c r="N109" s="262"/>
    </row>
    <row r="110" spans="1:14" ht="15" customHeight="1">
      <c r="A110" s="312" t="s">
        <v>1407</v>
      </c>
      <c r="B110" s="262"/>
      <c r="C110" s="262"/>
      <c r="D110" s="262"/>
      <c r="E110" s="262"/>
      <c r="F110" s="321" t="str">
        <f>IFERROR(INDEX(DONATEURS!$E$56:$E$205,MATCH($L$6,DONATEURS!$A$56:$A$205,0)),"")</f>
        <v/>
      </c>
      <c r="G110" s="262"/>
      <c r="H110" s="262"/>
      <c r="I110" s="262"/>
      <c r="J110" s="262"/>
      <c r="K110" s="262"/>
      <c r="L110" s="262"/>
      <c r="M110" s="262"/>
      <c r="N110" s="262"/>
    </row>
    <row r="111" spans="1:14" ht="15" customHeight="1">
      <c r="A111" s="312" t="s">
        <v>175</v>
      </c>
      <c r="B111" s="262"/>
      <c r="C111" s="262"/>
      <c r="D111" s="262"/>
      <c r="E111" s="262"/>
      <c r="F111" s="321" t="str">
        <f>IFERROR(INDEX(DONATEURS!$AB$56:$AB$205,MATCH($L$6,DONATEURS!$A$56:$A$205,0)),"")</f>
        <v/>
      </c>
      <c r="G111" s="262"/>
      <c r="H111" s="262"/>
      <c r="I111" s="262"/>
      <c r="J111" s="262"/>
      <c r="K111" s="262"/>
      <c r="L111" s="262"/>
      <c r="M111" s="262"/>
      <c r="N111" s="262"/>
    </row>
    <row r="112" spans="1:14" ht="15" customHeight="1">
      <c r="A112" s="312" t="s">
        <v>2517</v>
      </c>
      <c r="B112" s="262"/>
      <c r="C112" s="262"/>
      <c r="D112" s="262"/>
      <c r="E112" s="262"/>
      <c r="F112" s="324" t="str">
        <f>IFERROR(INDEX(DONATEURS!$AM$56:$AM$205,MATCH($L$6,DONATEURS!$A$56:$A$205,0)),"")</f>
        <v/>
      </c>
      <c r="G112" s="262"/>
      <c r="H112" s="262"/>
      <c r="I112" s="262"/>
      <c r="J112" s="262"/>
      <c r="K112" s="262"/>
      <c r="L112" s="262"/>
      <c r="M112" s="262"/>
      <c r="N112" s="262"/>
    </row>
    <row r="113" spans="1:14" ht="15" customHeight="1">
      <c r="A113" s="312" t="s">
        <v>2518</v>
      </c>
      <c r="B113" s="262"/>
      <c r="C113" s="262"/>
      <c r="D113" s="262"/>
      <c r="E113" s="262"/>
      <c r="F113" s="324" t="str">
        <f>IFERROR(INDEX(DONATEURS!$AN$56:$AN$205,MATCH($L$6,DONATEURS!$A$56:$A$205,0)),"")</f>
        <v/>
      </c>
      <c r="G113" s="262"/>
      <c r="H113" s="262"/>
      <c r="I113" s="262"/>
      <c r="J113" s="262"/>
      <c r="K113" s="262"/>
      <c r="L113" s="262"/>
      <c r="M113" s="262"/>
      <c r="N113" s="262"/>
    </row>
    <row r="114" spans="1:14" ht="15" customHeight="1">
      <c r="A114" s="312" t="s">
        <v>2181</v>
      </c>
      <c r="B114" s="262"/>
      <c r="C114" s="262"/>
      <c r="D114" s="262"/>
      <c r="E114" s="262"/>
      <c r="F114" s="324" t="str">
        <f>IFERROR(INDEX(DONATEURS!$AO$56:$AO$205,MATCH($L$6,DONATEURS!$A$56:$A$205,0)),"")</f>
        <v/>
      </c>
      <c r="G114" s="262"/>
      <c r="H114" s="262"/>
      <c r="I114" s="262"/>
      <c r="J114" s="262"/>
      <c r="K114" s="262"/>
      <c r="L114" s="262"/>
      <c r="M114" s="262"/>
      <c r="N114" s="262"/>
    </row>
    <row r="115" spans="1:14" ht="15" customHeight="1">
      <c r="A115" s="312" t="s">
        <v>1978</v>
      </c>
      <c r="B115" s="262"/>
      <c r="C115" s="262"/>
      <c r="D115" s="262"/>
      <c r="E115" s="262"/>
      <c r="F115" s="315" t="str">
        <f>IFERROR(INDEX(DONATEURS!$AP$56:$AP$205,MATCH($L$6,DONATEURS!$A$56:$A$205,0)),"")</f>
        <v/>
      </c>
      <c r="G115" s="262"/>
      <c r="H115" s="262"/>
      <c r="I115" s="262"/>
      <c r="J115" s="262"/>
      <c r="K115" s="262"/>
      <c r="L115" s="262"/>
      <c r="M115" s="262"/>
      <c r="N115" s="262"/>
    </row>
    <row r="117" spans="1:14" ht="19.5" customHeight="1">
      <c r="A117" s="314" t="s">
        <v>2522</v>
      </c>
      <c r="B117" s="262"/>
      <c r="C117" s="262"/>
      <c r="D117" s="262"/>
      <c r="E117" s="262"/>
      <c r="F117" s="262"/>
      <c r="G117" s="262"/>
      <c r="H117" s="262"/>
      <c r="I117" s="262"/>
      <c r="J117" s="262"/>
      <c r="K117" s="262"/>
      <c r="L117" s="262"/>
      <c r="M117" s="262"/>
      <c r="N117" s="262"/>
    </row>
    <row r="118" spans="1:14" ht="25.5" customHeight="1">
      <c r="A118" s="180" t="s">
        <v>1511</v>
      </c>
      <c r="B118" s="180" t="s">
        <v>872</v>
      </c>
      <c r="C118" s="180" t="s">
        <v>1400</v>
      </c>
      <c r="D118" s="180" t="s">
        <v>175</v>
      </c>
      <c r="E118" s="180" t="s">
        <v>1673</v>
      </c>
      <c r="F118" s="180" t="s">
        <v>2268</v>
      </c>
      <c r="G118" s="180" t="s">
        <v>2523</v>
      </c>
      <c r="H118" s="180" t="s">
        <v>2524</v>
      </c>
      <c r="I118" s="180" t="s">
        <v>1716</v>
      </c>
    </row>
    <row r="119" spans="1:14" ht="15" customHeight="1">
      <c r="A119" s="196" t="str">
        <f>PROJETS!$A$56</f>
        <v>PROJ0001</v>
      </c>
      <c r="B119" s="192" t="str">
        <f>PROJETS!$C$56</f>
        <v>Projet d'appui a l'insertion professionnelle des jeunes</v>
      </c>
      <c r="C119" s="196" t="str">
        <f>PROJETS!$J$56</f>
        <v>Education</v>
      </c>
      <c r="D119" s="196" t="str">
        <f>PROJETS!$AD$56</f>
        <v>En cours</v>
      </c>
      <c r="E119" s="193">
        <f>PROJETS!$AG$56</f>
        <v>11000000</v>
      </c>
      <c r="F119" s="193">
        <f>PROJETS!$AI$56</f>
        <v>4000000</v>
      </c>
      <c r="G119" s="194">
        <f>PROJETS!$AL$56</f>
        <v>0.36363636363636365</v>
      </c>
      <c r="H119" s="194">
        <f>PROJETS!$BD$56</f>
        <v>0.45</v>
      </c>
      <c r="I119" s="196" t="str">
        <f ca="1">IF(PROJETS!$A$56="","",IF(PROJETS!$AD$56="Termine","🟢",IF(OR(PROJETS!$BE$56=TRUE(),PROJETS!$BG$56=TRUE(),PROJETS!$BH$56=TRUE()),"🔴",IF(PROJETS!$BD$56&gt;=0.7,"🟢",IF(PROJETS!$BD$56&gt;=0.4,"🟠","🔴")))))</f>
        <v>🟠</v>
      </c>
    </row>
    <row r="120" spans="1:14" ht="15" customHeight="1">
      <c r="A120" s="195" t="str">
        <f>PROJETS!$A$57</f>
        <v/>
      </c>
      <c r="B120" s="189">
        <f>PROJETS!$C$57</f>
        <v>0</v>
      </c>
      <c r="C120" s="195">
        <f>PROJETS!$J$57</f>
        <v>0</v>
      </c>
      <c r="D120" s="195">
        <f>PROJETS!$AD$57</f>
        <v>0</v>
      </c>
      <c r="E120" s="190">
        <f>PROJETS!$AG$57</f>
        <v>0</v>
      </c>
      <c r="F120" s="190">
        <f>PROJETS!$AI$57</f>
        <v>0</v>
      </c>
      <c r="G120" s="191">
        <f>PROJETS!$AL$57</f>
        <v>0</v>
      </c>
      <c r="H120" s="191">
        <f>PROJETS!$BD$57</f>
        <v>0</v>
      </c>
      <c r="I120" s="195" t="str">
        <f>IF(PROJETS!$A$57="","",IF(PROJETS!$AD$57="Termine","🟢",IF(OR(PROJETS!$BE$57=TRUE(),PROJETS!$BG$57=TRUE(),PROJETS!$BH$57=TRUE()),"🔴",IF(PROJETS!$BD$57&gt;=0.7,"🟢",IF(PROJETS!$BD$57&gt;=0.4,"🟠","🔴")))))</f>
        <v/>
      </c>
    </row>
    <row r="121" spans="1:14" ht="15" customHeight="1">
      <c r="A121" s="196" t="str">
        <f>PROJETS!$A$58</f>
        <v/>
      </c>
      <c r="B121" s="192">
        <f>PROJETS!$C$58</f>
        <v>0</v>
      </c>
      <c r="C121" s="196">
        <f>PROJETS!$J$58</f>
        <v>0</v>
      </c>
      <c r="D121" s="196">
        <f>PROJETS!$AD$58</f>
        <v>0</v>
      </c>
      <c r="E121" s="193">
        <f>PROJETS!$AG$58</f>
        <v>0</v>
      </c>
      <c r="F121" s="193">
        <f>PROJETS!$AI$58</f>
        <v>0</v>
      </c>
      <c r="G121" s="194">
        <f>PROJETS!$AL$58</f>
        <v>0</v>
      </c>
      <c r="H121" s="194">
        <f>PROJETS!$BD$58</f>
        <v>0</v>
      </c>
      <c r="I121" s="196" t="str">
        <f>IF(PROJETS!$A$58="","",IF(PROJETS!$AD$58="Termine","🟢",IF(OR(PROJETS!$BE$58=TRUE(),PROJETS!$BG$58=TRUE(),PROJETS!$BH$58=TRUE()),"🔴",IF(PROJETS!$BD$58&gt;=0.7,"🟢",IF(PROJETS!$BD$58&gt;=0.4,"🟠","🔴")))))</f>
        <v/>
      </c>
    </row>
    <row r="122" spans="1:14" ht="15" customHeight="1">
      <c r="A122" s="195" t="str">
        <f>PROJETS!$A$59</f>
        <v/>
      </c>
      <c r="B122" s="189">
        <f>PROJETS!$C$59</f>
        <v>0</v>
      </c>
      <c r="C122" s="195">
        <f>PROJETS!$J$59</f>
        <v>0</v>
      </c>
      <c r="D122" s="195">
        <f>PROJETS!$AD$59</f>
        <v>0</v>
      </c>
      <c r="E122" s="190">
        <f>PROJETS!$AG$59</f>
        <v>0</v>
      </c>
      <c r="F122" s="190">
        <f>PROJETS!$AI$59</f>
        <v>0</v>
      </c>
      <c r="G122" s="191">
        <f>PROJETS!$AL$59</f>
        <v>0</v>
      </c>
      <c r="H122" s="191">
        <f>PROJETS!$BD$59</f>
        <v>0</v>
      </c>
      <c r="I122" s="195" t="str">
        <f>IF(PROJETS!$A$59="","",IF(PROJETS!$AD$59="Termine","🟢",IF(OR(PROJETS!$BE$59=TRUE(),PROJETS!$BG$59=TRUE(),PROJETS!$BH$59=TRUE()),"🔴",IF(PROJETS!$BD$59&gt;=0.7,"🟢",IF(PROJETS!$BD$59&gt;=0.4,"🟠","🔴")))))</f>
        <v/>
      </c>
    </row>
    <row r="123" spans="1:14" ht="15" customHeight="1">
      <c r="A123" s="196" t="str">
        <f>PROJETS!$A$60</f>
        <v/>
      </c>
      <c r="B123" s="192">
        <f>PROJETS!$C$60</f>
        <v>0</v>
      </c>
      <c r="C123" s="196">
        <f>PROJETS!$J$60</f>
        <v>0</v>
      </c>
      <c r="D123" s="196">
        <f>PROJETS!$AD$60</f>
        <v>0</v>
      </c>
      <c r="E123" s="193">
        <f>PROJETS!$AG$60</f>
        <v>0</v>
      </c>
      <c r="F123" s="193">
        <f>PROJETS!$AI$60</f>
        <v>0</v>
      </c>
      <c r="G123" s="194">
        <f>PROJETS!$AL$60</f>
        <v>0</v>
      </c>
      <c r="H123" s="194">
        <f>PROJETS!$BD$60</f>
        <v>0</v>
      </c>
      <c r="I123" s="196" t="str">
        <f>IF(PROJETS!$A$60="","",IF(PROJETS!$AD$60="Termine","🟢",IF(OR(PROJETS!$BE$60=TRUE(),PROJETS!$BG$60=TRUE(),PROJETS!$BH$60=TRUE()),"🔴",IF(PROJETS!$BD$60&gt;=0.7,"🟢",IF(PROJETS!$BD$60&gt;=0.4,"🟠","🔴")))))</f>
        <v/>
      </c>
    </row>
    <row r="124" spans="1:14" ht="15" customHeight="1">
      <c r="A124" s="195" t="str">
        <f>PROJETS!$A$61</f>
        <v/>
      </c>
      <c r="B124" s="189">
        <f>PROJETS!$C$61</f>
        <v>0</v>
      </c>
      <c r="C124" s="195">
        <f>PROJETS!$J$61</f>
        <v>0</v>
      </c>
      <c r="D124" s="195">
        <f>PROJETS!$AD$61</f>
        <v>0</v>
      </c>
      <c r="E124" s="190">
        <f>PROJETS!$AG$61</f>
        <v>0</v>
      </c>
      <c r="F124" s="190">
        <f>PROJETS!$AI$61</f>
        <v>0</v>
      </c>
      <c r="G124" s="191">
        <f>PROJETS!$AL$61</f>
        <v>0</v>
      </c>
      <c r="H124" s="191">
        <f>PROJETS!$BD$61</f>
        <v>0</v>
      </c>
      <c r="I124" s="195" t="str">
        <f>IF(PROJETS!$A$61="","",IF(PROJETS!$AD$61="Termine","🟢",IF(OR(PROJETS!$BE$61=TRUE(),PROJETS!$BG$61=TRUE(),PROJETS!$BH$61=TRUE()),"🔴",IF(PROJETS!$BD$61&gt;=0.7,"🟢",IF(PROJETS!$BD$61&gt;=0.4,"🟠","🔴")))))</f>
        <v/>
      </c>
    </row>
    <row r="125" spans="1:14" ht="15" customHeight="1">
      <c r="A125" s="196" t="str">
        <f>PROJETS!$A$62</f>
        <v/>
      </c>
      <c r="B125" s="192">
        <f>PROJETS!$C$62</f>
        <v>0</v>
      </c>
      <c r="C125" s="196">
        <f>PROJETS!$J$62</f>
        <v>0</v>
      </c>
      <c r="D125" s="196">
        <f>PROJETS!$AD$62</f>
        <v>0</v>
      </c>
      <c r="E125" s="193">
        <f>PROJETS!$AG$62</f>
        <v>0</v>
      </c>
      <c r="F125" s="193">
        <f>PROJETS!$AI$62</f>
        <v>0</v>
      </c>
      <c r="G125" s="194">
        <f>PROJETS!$AL$62</f>
        <v>0</v>
      </c>
      <c r="H125" s="194">
        <f>PROJETS!$BD$62</f>
        <v>0</v>
      </c>
      <c r="I125" s="196" t="str">
        <f>IF(PROJETS!$A$62="","",IF(PROJETS!$AD$62="Termine","🟢",IF(OR(PROJETS!$BE$62=TRUE(),PROJETS!$BG$62=TRUE(),PROJETS!$BH$62=TRUE()),"🔴",IF(PROJETS!$BD$62&gt;=0.7,"🟢",IF(PROJETS!$BD$62&gt;=0.4,"🟠","🔴")))))</f>
        <v/>
      </c>
    </row>
    <row r="126" spans="1:14" ht="15" customHeight="1">
      <c r="A126" s="195" t="str">
        <f>PROJETS!$A$63</f>
        <v/>
      </c>
      <c r="B126" s="189">
        <f>PROJETS!$C$63</f>
        <v>0</v>
      </c>
      <c r="C126" s="195">
        <f>PROJETS!$J$63</f>
        <v>0</v>
      </c>
      <c r="D126" s="195">
        <f>PROJETS!$AD$63</f>
        <v>0</v>
      </c>
      <c r="E126" s="190">
        <f>PROJETS!$AG$63</f>
        <v>0</v>
      </c>
      <c r="F126" s="190">
        <f>PROJETS!$AI$63</f>
        <v>0</v>
      </c>
      <c r="G126" s="191">
        <f>PROJETS!$AL$63</f>
        <v>0</v>
      </c>
      <c r="H126" s="191">
        <f>PROJETS!$BD$63</f>
        <v>0</v>
      </c>
      <c r="I126" s="195" t="str">
        <f>IF(PROJETS!$A$63="","",IF(PROJETS!$AD$63="Termine","🟢",IF(OR(PROJETS!$BE$63=TRUE(),PROJETS!$BG$63=TRUE(),PROJETS!$BH$63=TRUE()),"🔴",IF(PROJETS!$BD$63&gt;=0.7,"🟢",IF(PROJETS!$BD$63&gt;=0.4,"🟠","🔴")))))</f>
        <v/>
      </c>
    </row>
    <row r="127" spans="1:14" ht="15" customHeight="1">
      <c r="A127" s="196" t="str">
        <f>PROJETS!$A$64</f>
        <v/>
      </c>
      <c r="B127" s="192">
        <f>PROJETS!$C$64</f>
        <v>0</v>
      </c>
      <c r="C127" s="196">
        <f>PROJETS!$J$64</f>
        <v>0</v>
      </c>
      <c r="D127" s="196">
        <f>PROJETS!$AD$64</f>
        <v>0</v>
      </c>
      <c r="E127" s="193">
        <f>PROJETS!$AG$64</f>
        <v>0</v>
      </c>
      <c r="F127" s="193">
        <f>PROJETS!$AI$64</f>
        <v>0</v>
      </c>
      <c r="G127" s="194">
        <f>PROJETS!$AL$64</f>
        <v>0</v>
      </c>
      <c r="H127" s="194">
        <f>PROJETS!$BD$64</f>
        <v>0</v>
      </c>
      <c r="I127" s="196" t="str">
        <f>IF(PROJETS!$A$64="","",IF(PROJETS!$AD$64="Termine","🟢",IF(OR(PROJETS!$BE$64=TRUE(),PROJETS!$BG$64=TRUE(),PROJETS!$BH$64=TRUE()),"🔴",IF(PROJETS!$BD$64&gt;=0.7,"🟢",IF(PROJETS!$BD$64&gt;=0.4,"🟠","🔴")))))</f>
        <v/>
      </c>
    </row>
    <row r="128" spans="1:14" ht="15" customHeight="1">
      <c r="A128" s="195" t="str">
        <f>PROJETS!$A$65</f>
        <v/>
      </c>
      <c r="B128" s="189">
        <f>PROJETS!$C$65</f>
        <v>0</v>
      </c>
      <c r="C128" s="195">
        <f>PROJETS!$J$65</f>
        <v>0</v>
      </c>
      <c r="D128" s="195">
        <f>PROJETS!$AD$65</f>
        <v>0</v>
      </c>
      <c r="E128" s="190">
        <f>PROJETS!$AG$65</f>
        <v>0</v>
      </c>
      <c r="F128" s="190">
        <f>PROJETS!$AI$65</f>
        <v>0</v>
      </c>
      <c r="G128" s="191">
        <f>PROJETS!$AL$65</f>
        <v>0</v>
      </c>
      <c r="H128" s="191">
        <f>PROJETS!$BD$65</f>
        <v>0</v>
      </c>
      <c r="I128" s="195" t="str">
        <f>IF(PROJETS!$A$65="","",IF(PROJETS!$AD$65="Termine","🟢",IF(OR(PROJETS!$BE$65=TRUE(),PROJETS!$BG$65=TRUE(),PROJETS!$BH$65=TRUE()),"🔴",IF(PROJETS!$BD$65&gt;=0.7,"🟢",IF(PROJETS!$BD$65&gt;=0.4,"🟠","🔴")))))</f>
        <v/>
      </c>
    </row>
    <row r="129" spans="1:9" ht="15" customHeight="1">
      <c r="A129" s="196" t="str">
        <f>PROJETS!$A$66</f>
        <v/>
      </c>
      <c r="B129" s="192">
        <f>PROJETS!$C$66</f>
        <v>0</v>
      </c>
      <c r="C129" s="196">
        <f>PROJETS!$J$66</f>
        <v>0</v>
      </c>
      <c r="D129" s="196">
        <f>PROJETS!$AD$66</f>
        <v>0</v>
      </c>
      <c r="E129" s="193">
        <f>PROJETS!$AG$66</f>
        <v>0</v>
      </c>
      <c r="F129" s="193">
        <f>PROJETS!$AI$66</f>
        <v>0</v>
      </c>
      <c r="G129" s="194">
        <f>PROJETS!$AL$66</f>
        <v>0</v>
      </c>
      <c r="H129" s="194">
        <f>PROJETS!$BD$66</f>
        <v>0</v>
      </c>
      <c r="I129" s="196" t="str">
        <f>IF(PROJETS!$A$66="","",IF(PROJETS!$AD$66="Termine","🟢",IF(OR(PROJETS!$BE$66=TRUE(),PROJETS!$BG$66=TRUE(),PROJETS!$BH$66=TRUE()),"🔴",IF(PROJETS!$BD$66&gt;=0.7,"🟢",IF(PROJETS!$BD$66&gt;=0.4,"🟠","🔴")))))</f>
        <v/>
      </c>
    </row>
    <row r="130" spans="1:9" ht="15" customHeight="1">
      <c r="A130" s="195" t="str">
        <f>PROJETS!$A$67</f>
        <v/>
      </c>
      <c r="B130" s="189">
        <f>PROJETS!$C$67</f>
        <v>0</v>
      </c>
      <c r="C130" s="195">
        <f>PROJETS!$J$67</f>
        <v>0</v>
      </c>
      <c r="D130" s="195">
        <f>PROJETS!$AD$67</f>
        <v>0</v>
      </c>
      <c r="E130" s="190">
        <f>PROJETS!$AG$67</f>
        <v>0</v>
      </c>
      <c r="F130" s="190">
        <f>PROJETS!$AI$67</f>
        <v>0</v>
      </c>
      <c r="G130" s="191">
        <f>PROJETS!$AL$67</f>
        <v>0</v>
      </c>
      <c r="H130" s="191">
        <f>PROJETS!$BD$67</f>
        <v>0</v>
      </c>
      <c r="I130" s="195" t="str">
        <f>IF(PROJETS!$A$67="","",IF(PROJETS!$AD$67="Termine","🟢",IF(OR(PROJETS!$BE$67=TRUE(),PROJETS!$BG$67=TRUE(),PROJETS!$BH$67=TRUE()),"🔴",IF(PROJETS!$BD$67&gt;=0.7,"🟢",IF(PROJETS!$BD$67&gt;=0.4,"🟠","🔴")))))</f>
        <v/>
      </c>
    </row>
    <row r="131" spans="1:9" ht="15" customHeight="1">
      <c r="A131" s="196" t="str">
        <f>PROJETS!$A$68</f>
        <v/>
      </c>
      <c r="B131" s="192">
        <f>PROJETS!$C$68</f>
        <v>0</v>
      </c>
      <c r="C131" s="196">
        <f>PROJETS!$J$68</f>
        <v>0</v>
      </c>
      <c r="D131" s="196">
        <f>PROJETS!$AD$68</f>
        <v>0</v>
      </c>
      <c r="E131" s="193">
        <f>PROJETS!$AG$68</f>
        <v>0</v>
      </c>
      <c r="F131" s="193">
        <f>PROJETS!$AI$68</f>
        <v>0</v>
      </c>
      <c r="G131" s="194">
        <f>PROJETS!$AL$68</f>
        <v>0</v>
      </c>
      <c r="H131" s="194">
        <f>PROJETS!$BD$68</f>
        <v>0</v>
      </c>
      <c r="I131" s="196" t="str">
        <f>IF(PROJETS!$A$68="","",IF(PROJETS!$AD$68="Termine","🟢",IF(OR(PROJETS!$BE$68=TRUE(),PROJETS!$BG$68=TRUE(),PROJETS!$BH$68=TRUE()),"🔴",IF(PROJETS!$BD$68&gt;=0.7,"🟢",IF(PROJETS!$BD$68&gt;=0.4,"🟠","🔴")))))</f>
        <v/>
      </c>
    </row>
    <row r="132" spans="1:9" ht="15" customHeight="1">
      <c r="A132" s="195" t="str">
        <f>PROJETS!$A$69</f>
        <v/>
      </c>
      <c r="B132" s="189">
        <f>PROJETS!$C$69</f>
        <v>0</v>
      </c>
      <c r="C132" s="195">
        <f>PROJETS!$J$69</f>
        <v>0</v>
      </c>
      <c r="D132" s="195">
        <f>PROJETS!$AD$69</f>
        <v>0</v>
      </c>
      <c r="E132" s="190">
        <f>PROJETS!$AG$69</f>
        <v>0</v>
      </c>
      <c r="F132" s="190">
        <f>PROJETS!$AI$69</f>
        <v>0</v>
      </c>
      <c r="G132" s="191">
        <f>PROJETS!$AL$69</f>
        <v>0</v>
      </c>
      <c r="H132" s="191">
        <f>PROJETS!$BD$69</f>
        <v>0</v>
      </c>
      <c r="I132" s="195" t="str">
        <f>IF(PROJETS!$A$69="","",IF(PROJETS!$AD$69="Termine","🟢",IF(OR(PROJETS!$BE$69=TRUE(),PROJETS!$BG$69=TRUE(),PROJETS!$BH$69=TRUE()),"🔴",IF(PROJETS!$BD$69&gt;=0.7,"🟢",IF(PROJETS!$BD$69&gt;=0.4,"🟠","🔴")))))</f>
        <v/>
      </c>
    </row>
    <row r="133" spans="1:9" ht="15" customHeight="1">
      <c r="A133" s="196" t="str">
        <f>PROJETS!$A$70</f>
        <v/>
      </c>
      <c r="B133" s="192">
        <f>PROJETS!$C$70</f>
        <v>0</v>
      </c>
      <c r="C133" s="196">
        <f>PROJETS!$J$70</f>
        <v>0</v>
      </c>
      <c r="D133" s="196">
        <f>PROJETS!$AD$70</f>
        <v>0</v>
      </c>
      <c r="E133" s="193">
        <f>PROJETS!$AG$70</f>
        <v>0</v>
      </c>
      <c r="F133" s="193">
        <f>PROJETS!$AI$70</f>
        <v>0</v>
      </c>
      <c r="G133" s="194">
        <f>PROJETS!$AL$70</f>
        <v>0</v>
      </c>
      <c r="H133" s="194">
        <f>PROJETS!$BD$70</f>
        <v>0</v>
      </c>
      <c r="I133" s="196" t="str">
        <f>IF(PROJETS!$A$70="","",IF(PROJETS!$AD$70="Termine","🟢",IF(OR(PROJETS!$BE$70=TRUE(),PROJETS!$BG$70=TRUE(),PROJETS!$BH$70=TRUE()),"🔴",IF(PROJETS!$BD$70&gt;=0.7,"🟢",IF(PROJETS!$BD$70&gt;=0.4,"🟠","🔴")))))</f>
        <v/>
      </c>
    </row>
    <row r="134" spans="1:9" ht="15" customHeight="1">
      <c r="A134" s="195" t="str">
        <f>PROJETS!$A$71</f>
        <v/>
      </c>
      <c r="B134" s="189">
        <f>PROJETS!$C$71</f>
        <v>0</v>
      </c>
      <c r="C134" s="195">
        <f>PROJETS!$J$71</f>
        <v>0</v>
      </c>
      <c r="D134" s="195">
        <f>PROJETS!$AD$71</f>
        <v>0</v>
      </c>
      <c r="E134" s="190">
        <f>PROJETS!$AG$71</f>
        <v>0</v>
      </c>
      <c r="F134" s="190">
        <f>PROJETS!$AI$71</f>
        <v>0</v>
      </c>
      <c r="G134" s="191">
        <f>PROJETS!$AL$71</f>
        <v>0</v>
      </c>
      <c r="H134" s="191">
        <f>PROJETS!$BD$71</f>
        <v>0</v>
      </c>
      <c r="I134" s="195" t="str">
        <f>IF(PROJETS!$A$71="","",IF(PROJETS!$AD$71="Termine","🟢",IF(OR(PROJETS!$BE$71=TRUE(),PROJETS!$BG$71=TRUE(),PROJETS!$BH$71=TRUE()),"🔴",IF(PROJETS!$BD$71&gt;=0.7,"🟢",IF(PROJETS!$BD$71&gt;=0.4,"🟠","🔴")))))</f>
        <v/>
      </c>
    </row>
    <row r="135" spans="1:9" ht="15" customHeight="1">
      <c r="A135" s="196" t="str">
        <f>PROJETS!$A$72</f>
        <v/>
      </c>
      <c r="B135" s="192">
        <f>PROJETS!$C$72</f>
        <v>0</v>
      </c>
      <c r="C135" s="196">
        <f>PROJETS!$J$72</f>
        <v>0</v>
      </c>
      <c r="D135" s="196">
        <f>PROJETS!$AD$72</f>
        <v>0</v>
      </c>
      <c r="E135" s="193">
        <f>PROJETS!$AG$72</f>
        <v>0</v>
      </c>
      <c r="F135" s="193">
        <f>PROJETS!$AI$72</f>
        <v>0</v>
      </c>
      <c r="G135" s="194">
        <f>PROJETS!$AL$72</f>
        <v>0</v>
      </c>
      <c r="H135" s="194">
        <f>PROJETS!$BD$72</f>
        <v>0</v>
      </c>
      <c r="I135" s="196" t="str">
        <f>IF(PROJETS!$A$72="","",IF(PROJETS!$AD$72="Termine","🟢",IF(OR(PROJETS!$BE$72=TRUE(),PROJETS!$BG$72=TRUE(),PROJETS!$BH$72=TRUE()),"🔴",IF(PROJETS!$BD$72&gt;=0.7,"🟢",IF(PROJETS!$BD$72&gt;=0.4,"🟠","🔴")))))</f>
        <v/>
      </c>
    </row>
    <row r="136" spans="1:9" ht="15" customHeight="1">
      <c r="A136" s="195" t="str">
        <f>PROJETS!$A$73</f>
        <v/>
      </c>
      <c r="B136" s="189">
        <f>PROJETS!$C$73</f>
        <v>0</v>
      </c>
      <c r="C136" s="195">
        <f>PROJETS!$J$73</f>
        <v>0</v>
      </c>
      <c r="D136" s="195">
        <f>PROJETS!$AD$73</f>
        <v>0</v>
      </c>
      <c r="E136" s="190">
        <f>PROJETS!$AG$73</f>
        <v>0</v>
      </c>
      <c r="F136" s="190">
        <f>PROJETS!$AI$73</f>
        <v>0</v>
      </c>
      <c r="G136" s="191">
        <f>PROJETS!$AL$73</f>
        <v>0</v>
      </c>
      <c r="H136" s="191">
        <f>PROJETS!$BD$73</f>
        <v>0</v>
      </c>
      <c r="I136" s="195" t="str">
        <f>IF(PROJETS!$A$73="","",IF(PROJETS!$AD$73="Termine","🟢",IF(OR(PROJETS!$BE$73=TRUE(),PROJETS!$BG$73=TRUE(),PROJETS!$BH$73=TRUE()),"🔴",IF(PROJETS!$BD$73&gt;=0.7,"🟢",IF(PROJETS!$BD$73&gt;=0.4,"🟠","🔴")))))</f>
        <v/>
      </c>
    </row>
    <row r="137" spans="1:9" ht="15" customHeight="1">
      <c r="A137" s="196" t="str">
        <f>PROJETS!$A$74</f>
        <v/>
      </c>
      <c r="B137" s="192">
        <f>PROJETS!$C$74</f>
        <v>0</v>
      </c>
      <c r="C137" s="196">
        <f>PROJETS!$J$74</f>
        <v>0</v>
      </c>
      <c r="D137" s="196">
        <f>PROJETS!$AD$74</f>
        <v>0</v>
      </c>
      <c r="E137" s="193">
        <f>PROJETS!$AG$74</f>
        <v>0</v>
      </c>
      <c r="F137" s="193">
        <f>PROJETS!$AI$74</f>
        <v>0</v>
      </c>
      <c r="G137" s="194">
        <f>PROJETS!$AL$74</f>
        <v>0</v>
      </c>
      <c r="H137" s="194">
        <f>PROJETS!$BD$74</f>
        <v>0</v>
      </c>
      <c r="I137" s="196" t="str">
        <f>IF(PROJETS!$A$74="","",IF(PROJETS!$AD$74="Termine","🟢",IF(OR(PROJETS!$BE$74=TRUE(),PROJETS!$BG$74=TRUE(),PROJETS!$BH$74=TRUE()),"🔴",IF(PROJETS!$BD$74&gt;=0.7,"🟢",IF(PROJETS!$BD$74&gt;=0.4,"🟠","🔴")))))</f>
        <v/>
      </c>
    </row>
    <row r="138" spans="1:9" ht="15" customHeight="1">
      <c r="A138" s="195" t="str">
        <f>PROJETS!$A$75</f>
        <v/>
      </c>
      <c r="B138" s="189">
        <f>PROJETS!$C$75</f>
        <v>0</v>
      </c>
      <c r="C138" s="195">
        <f>PROJETS!$J$75</f>
        <v>0</v>
      </c>
      <c r="D138" s="195">
        <f>PROJETS!$AD$75</f>
        <v>0</v>
      </c>
      <c r="E138" s="190">
        <f>PROJETS!$AG$75</f>
        <v>0</v>
      </c>
      <c r="F138" s="190">
        <f>PROJETS!$AI$75</f>
        <v>0</v>
      </c>
      <c r="G138" s="191">
        <f>PROJETS!$AL$75</f>
        <v>0</v>
      </c>
      <c r="H138" s="191">
        <f>PROJETS!$BD$75</f>
        <v>0</v>
      </c>
      <c r="I138" s="195" t="str">
        <f>IF(PROJETS!$A$75="","",IF(PROJETS!$AD$75="Termine","🟢",IF(OR(PROJETS!$BE$75=TRUE(),PROJETS!$BG$75=TRUE(),PROJETS!$BH$75=TRUE()),"🔴",IF(PROJETS!$BD$75&gt;=0.7,"🟢",IF(PROJETS!$BD$75&gt;=0.4,"🟠","🔴")))))</f>
        <v/>
      </c>
    </row>
    <row r="139" spans="1:9" ht="15" customHeight="1">
      <c r="A139" s="196" t="str">
        <f>PROJETS!$A$76</f>
        <v/>
      </c>
      <c r="B139" s="192">
        <f>PROJETS!$C$76</f>
        <v>0</v>
      </c>
      <c r="C139" s="196">
        <f>PROJETS!$J$76</f>
        <v>0</v>
      </c>
      <c r="D139" s="196">
        <f>PROJETS!$AD$76</f>
        <v>0</v>
      </c>
      <c r="E139" s="193">
        <f>PROJETS!$AG$76</f>
        <v>0</v>
      </c>
      <c r="F139" s="193">
        <f>PROJETS!$AI$76</f>
        <v>0</v>
      </c>
      <c r="G139" s="194">
        <f>PROJETS!$AL$76</f>
        <v>0</v>
      </c>
      <c r="H139" s="194">
        <f>PROJETS!$BD$76</f>
        <v>0</v>
      </c>
      <c r="I139" s="196" t="str">
        <f>IF(PROJETS!$A$76="","",IF(PROJETS!$AD$76="Termine","🟢",IF(OR(PROJETS!$BE$76=TRUE(),PROJETS!$BG$76=TRUE(),PROJETS!$BH$76=TRUE()),"🔴",IF(PROJETS!$BD$76&gt;=0.7,"🟢",IF(PROJETS!$BD$76&gt;=0.4,"🟠","🔴")))))</f>
        <v/>
      </c>
    </row>
    <row r="140" spans="1:9" ht="15" customHeight="1">
      <c r="A140" s="195" t="str">
        <f>PROJETS!$A$77</f>
        <v/>
      </c>
      <c r="B140" s="189">
        <f>PROJETS!$C$77</f>
        <v>0</v>
      </c>
      <c r="C140" s="195">
        <f>PROJETS!$J$77</f>
        <v>0</v>
      </c>
      <c r="D140" s="195">
        <f>PROJETS!$AD$77</f>
        <v>0</v>
      </c>
      <c r="E140" s="190">
        <f>PROJETS!$AG$77</f>
        <v>0</v>
      </c>
      <c r="F140" s="190">
        <f>PROJETS!$AI$77</f>
        <v>0</v>
      </c>
      <c r="G140" s="191">
        <f>PROJETS!$AL$77</f>
        <v>0</v>
      </c>
      <c r="H140" s="191">
        <f>PROJETS!$BD$77</f>
        <v>0</v>
      </c>
      <c r="I140" s="195" t="str">
        <f>IF(PROJETS!$A$77="","",IF(PROJETS!$AD$77="Termine","🟢",IF(OR(PROJETS!$BE$77=TRUE(),PROJETS!$BG$77=TRUE(),PROJETS!$BH$77=TRUE()),"🔴",IF(PROJETS!$BD$77&gt;=0.7,"🟢",IF(PROJETS!$BD$77&gt;=0.4,"🟠","🔴")))))</f>
        <v/>
      </c>
    </row>
    <row r="141" spans="1:9" ht="15" customHeight="1">
      <c r="A141" s="196" t="str">
        <f>PROJETS!$A$78</f>
        <v/>
      </c>
      <c r="B141" s="192">
        <f>PROJETS!$C$78</f>
        <v>0</v>
      </c>
      <c r="C141" s="196">
        <f>PROJETS!$J$78</f>
        <v>0</v>
      </c>
      <c r="D141" s="196">
        <f>PROJETS!$AD$78</f>
        <v>0</v>
      </c>
      <c r="E141" s="193">
        <f>PROJETS!$AG$78</f>
        <v>0</v>
      </c>
      <c r="F141" s="193">
        <f>PROJETS!$AI$78</f>
        <v>0</v>
      </c>
      <c r="G141" s="194">
        <f>PROJETS!$AL$78</f>
        <v>0</v>
      </c>
      <c r="H141" s="194">
        <f>PROJETS!$BD$78</f>
        <v>0</v>
      </c>
      <c r="I141" s="196" t="str">
        <f>IF(PROJETS!$A$78="","",IF(PROJETS!$AD$78="Termine","🟢",IF(OR(PROJETS!$BE$78=TRUE(),PROJETS!$BG$78=TRUE(),PROJETS!$BH$78=TRUE()),"🔴",IF(PROJETS!$BD$78&gt;=0.7,"🟢",IF(PROJETS!$BD$78&gt;=0.4,"🟠","🔴")))))</f>
        <v/>
      </c>
    </row>
    <row r="142" spans="1:9" ht="15" customHeight="1">
      <c r="A142" s="195" t="str">
        <f>PROJETS!$A$79</f>
        <v/>
      </c>
      <c r="B142" s="189">
        <f>PROJETS!$C$79</f>
        <v>0</v>
      </c>
      <c r="C142" s="195">
        <f>PROJETS!$J$79</f>
        <v>0</v>
      </c>
      <c r="D142" s="195">
        <f>PROJETS!$AD$79</f>
        <v>0</v>
      </c>
      <c r="E142" s="190">
        <f>PROJETS!$AG$79</f>
        <v>0</v>
      </c>
      <c r="F142" s="190">
        <f>PROJETS!$AI$79</f>
        <v>0</v>
      </c>
      <c r="G142" s="191">
        <f>PROJETS!$AL$79</f>
        <v>0</v>
      </c>
      <c r="H142" s="191">
        <f>PROJETS!$BD$79</f>
        <v>0</v>
      </c>
      <c r="I142" s="195" t="str">
        <f>IF(PROJETS!$A$79="","",IF(PROJETS!$AD$79="Termine","🟢",IF(OR(PROJETS!$BE$79=TRUE(),PROJETS!$BG$79=TRUE(),PROJETS!$BH$79=TRUE()),"🔴",IF(PROJETS!$BD$79&gt;=0.7,"🟢",IF(PROJETS!$BD$79&gt;=0.4,"🟠","🔴")))))</f>
        <v/>
      </c>
    </row>
    <row r="143" spans="1:9" ht="15" customHeight="1">
      <c r="A143" s="196" t="str">
        <f>PROJETS!$A$80</f>
        <v/>
      </c>
      <c r="B143" s="192">
        <f>PROJETS!$C$80</f>
        <v>0</v>
      </c>
      <c r="C143" s="196">
        <f>PROJETS!$J$80</f>
        <v>0</v>
      </c>
      <c r="D143" s="196">
        <f>PROJETS!$AD$80</f>
        <v>0</v>
      </c>
      <c r="E143" s="193">
        <f>PROJETS!$AG$80</f>
        <v>0</v>
      </c>
      <c r="F143" s="193">
        <f>PROJETS!$AI$80</f>
        <v>0</v>
      </c>
      <c r="G143" s="194">
        <f>PROJETS!$AL$80</f>
        <v>0</v>
      </c>
      <c r="H143" s="194">
        <f>PROJETS!$BD$80</f>
        <v>0</v>
      </c>
      <c r="I143" s="196" t="str">
        <f>IF(PROJETS!$A$80="","",IF(PROJETS!$AD$80="Termine","🟢",IF(OR(PROJETS!$BE$80=TRUE(),PROJETS!$BG$80=TRUE(),PROJETS!$BH$80=TRUE()),"🔴",IF(PROJETS!$BD$80&gt;=0.7,"🟢",IF(PROJETS!$BD$80&gt;=0.4,"🟠","🔴")))))</f>
        <v/>
      </c>
    </row>
    <row r="144" spans="1:9" ht="15" customHeight="1">
      <c r="A144" s="195" t="str">
        <f>PROJETS!$A$81</f>
        <v/>
      </c>
      <c r="B144" s="189">
        <f>PROJETS!$C$81</f>
        <v>0</v>
      </c>
      <c r="C144" s="195">
        <f>PROJETS!$J$81</f>
        <v>0</v>
      </c>
      <c r="D144" s="195">
        <f>PROJETS!$AD$81</f>
        <v>0</v>
      </c>
      <c r="E144" s="190">
        <f>PROJETS!$AG$81</f>
        <v>0</v>
      </c>
      <c r="F144" s="190">
        <f>PROJETS!$AI$81</f>
        <v>0</v>
      </c>
      <c r="G144" s="191">
        <f>PROJETS!$AL$81</f>
        <v>0</v>
      </c>
      <c r="H144" s="191">
        <f>PROJETS!$BD$81</f>
        <v>0</v>
      </c>
      <c r="I144" s="195" t="str">
        <f>IF(PROJETS!$A$81="","",IF(PROJETS!$AD$81="Termine","🟢",IF(OR(PROJETS!$BE$81=TRUE(),PROJETS!$BG$81=TRUE(),PROJETS!$BH$81=TRUE()),"🔴",IF(PROJETS!$BD$81&gt;=0.7,"🟢",IF(PROJETS!$BD$81&gt;=0.4,"🟠","🔴")))))</f>
        <v/>
      </c>
    </row>
    <row r="145" spans="1:14" ht="15" customHeight="1">
      <c r="A145" s="196" t="str">
        <f>PROJETS!$A$82</f>
        <v/>
      </c>
      <c r="B145" s="192">
        <f>PROJETS!$C$82</f>
        <v>0</v>
      </c>
      <c r="C145" s="196">
        <f>PROJETS!$J$82</f>
        <v>0</v>
      </c>
      <c r="D145" s="196">
        <f>PROJETS!$AD$82</f>
        <v>0</v>
      </c>
      <c r="E145" s="193">
        <f>PROJETS!$AG$82</f>
        <v>0</v>
      </c>
      <c r="F145" s="193">
        <f>PROJETS!$AI$82</f>
        <v>0</v>
      </c>
      <c r="G145" s="194">
        <f>PROJETS!$AL$82</f>
        <v>0</v>
      </c>
      <c r="H145" s="194">
        <f>PROJETS!$BD$82</f>
        <v>0</v>
      </c>
      <c r="I145" s="196" t="str">
        <f>IF(PROJETS!$A$82="","",IF(PROJETS!$AD$82="Termine","🟢",IF(OR(PROJETS!$BE$82=TRUE(),PROJETS!$BG$82=TRUE(),PROJETS!$BH$82=TRUE()),"🔴",IF(PROJETS!$BD$82&gt;=0.7,"🟢",IF(PROJETS!$BD$82&gt;=0.4,"🟠","🔴")))))</f>
        <v/>
      </c>
    </row>
    <row r="146" spans="1:14" ht="15" customHeight="1">
      <c r="A146" s="195" t="str">
        <f>PROJETS!$A$83</f>
        <v/>
      </c>
      <c r="B146" s="189">
        <f>PROJETS!$C$83</f>
        <v>0</v>
      </c>
      <c r="C146" s="195">
        <f>PROJETS!$J$83</f>
        <v>0</v>
      </c>
      <c r="D146" s="195">
        <f>PROJETS!$AD$83</f>
        <v>0</v>
      </c>
      <c r="E146" s="190">
        <f>PROJETS!$AG$83</f>
        <v>0</v>
      </c>
      <c r="F146" s="190">
        <f>PROJETS!$AI$83</f>
        <v>0</v>
      </c>
      <c r="G146" s="191">
        <f>PROJETS!$AL$83</f>
        <v>0</v>
      </c>
      <c r="H146" s="191">
        <f>PROJETS!$BD$83</f>
        <v>0</v>
      </c>
      <c r="I146" s="195" t="str">
        <f>IF(PROJETS!$A$83="","",IF(PROJETS!$AD$83="Termine","🟢",IF(OR(PROJETS!$BE$83=TRUE(),PROJETS!$BG$83=TRUE(),PROJETS!$BH$83=TRUE()),"🔴",IF(PROJETS!$BD$83&gt;=0.7,"🟢",IF(PROJETS!$BD$83&gt;=0.4,"🟠","🔴")))))</f>
        <v/>
      </c>
    </row>
    <row r="147" spans="1:14" ht="15" customHeight="1">
      <c r="A147" s="196" t="str">
        <f>PROJETS!$A$84</f>
        <v/>
      </c>
      <c r="B147" s="192">
        <f>PROJETS!$C$84</f>
        <v>0</v>
      </c>
      <c r="C147" s="196">
        <f>PROJETS!$J$84</f>
        <v>0</v>
      </c>
      <c r="D147" s="196">
        <f>PROJETS!$AD$84</f>
        <v>0</v>
      </c>
      <c r="E147" s="193">
        <f>PROJETS!$AG$84</f>
        <v>0</v>
      </c>
      <c r="F147" s="193">
        <f>PROJETS!$AI$84</f>
        <v>0</v>
      </c>
      <c r="G147" s="194">
        <f>PROJETS!$AL$84</f>
        <v>0</v>
      </c>
      <c r="H147" s="194">
        <f>PROJETS!$BD$84</f>
        <v>0</v>
      </c>
      <c r="I147" s="196" t="str">
        <f>IF(PROJETS!$A$84="","",IF(PROJETS!$AD$84="Termine","🟢",IF(OR(PROJETS!$BE$84=TRUE(),PROJETS!$BG$84=TRUE(),PROJETS!$BH$84=TRUE()),"🔴",IF(PROJETS!$BD$84&gt;=0.7,"🟢",IF(PROJETS!$BD$84&gt;=0.4,"🟠","🔴")))))</f>
        <v/>
      </c>
    </row>
    <row r="148" spans="1:14" ht="15" customHeight="1">
      <c r="A148" s="195" t="str">
        <f>PROJETS!$A$85</f>
        <v/>
      </c>
      <c r="B148" s="189">
        <f>PROJETS!$C$85</f>
        <v>0</v>
      </c>
      <c r="C148" s="195">
        <f>PROJETS!$J$85</f>
        <v>0</v>
      </c>
      <c r="D148" s="195">
        <f>PROJETS!$AD$85</f>
        <v>0</v>
      </c>
      <c r="E148" s="190">
        <f>PROJETS!$AG$85</f>
        <v>0</v>
      </c>
      <c r="F148" s="190">
        <f>PROJETS!$AI$85</f>
        <v>0</v>
      </c>
      <c r="G148" s="191">
        <f>PROJETS!$AL$85</f>
        <v>0</v>
      </c>
      <c r="H148" s="191">
        <f>PROJETS!$BD$85</f>
        <v>0</v>
      </c>
      <c r="I148" s="195" t="str">
        <f>IF(PROJETS!$A$85="","",IF(PROJETS!$AD$85="Termine","🟢",IF(OR(PROJETS!$BE$85=TRUE(),PROJETS!$BG$85=TRUE(),PROJETS!$BH$85=TRUE()),"🔴",IF(PROJETS!$BD$85&gt;=0.7,"🟢",IF(PROJETS!$BD$85&gt;=0.4,"🟠","🔴")))))</f>
        <v/>
      </c>
    </row>
    <row r="149" spans="1:14" ht="15" customHeight="1">
      <c r="A149" s="196" t="str">
        <f>PROJETS!$A$86</f>
        <v/>
      </c>
      <c r="B149" s="192">
        <f>PROJETS!$C$86</f>
        <v>0</v>
      </c>
      <c r="C149" s="196">
        <f>PROJETS!$J$86</f>
        <v>0</v>
      </c>
      <c r="D149" s="196">
        <f>PROJETS!$AD$86</f>
        <v>0</v>
      </c>
      <c r="E149" s="193">
        <f>PROJETS!$AG$86</f>
        <v>0</v>
      </c>
      <c r="F149" s="193">
        <f>PROJETS!$AI$86</f>
        <v>0</v>
      </c>
      <c r="G149" s="194">
        <f>PROJETS!$AL$86</f>
        <v>0</v>
      </c>
      <c r="H149" s="194">
        <f>PROJETS!$BD$86</f>
        <v>0</v>
      </c>
      <c r="I149" s="196" t="str">
        <f>IF(PROJETS!$A$86="","",IF(PROJETS!$AD$86="Termine","🟢",IF(OR(PROJETS!$BE$86=TRUE(),PROJETS!$BG$86=TRUE(),PROJETS!$BH$86=TRUE()),"🔴",IF(PROJETS!$BD$86&gt;=0.7,"🟢",IF(PROJETS!$BD$86&gt;=0.4,"🟠","🔴")))))</f>
        <v/>
      </c>
    </row>
    <row r="150" spans="1:14" ht="15" customHeight="1">
      <c r="A150" s="195" t="str">
        <f>PROJETS!$A$87</f>
        <v/>
      </c>
      <c r="B150" s="189">
        <f>PROJETS!$C$87</f>
        <v>0</v>
      </c>
      <c r="C150" s="195">
        <f>PROJETS!$J$87</f>
        <v>0</v>
      </c>
      <c r="D150" s="195">
        <f>PROJETS!$AD$87</f>
        <v>0</v>
      </c>
      <c r="E150" s="190">
        <f>PROJETS!$AG$87</f>
        <v>0</v>
      </c>
      <c r="F150" s="190">
        <f>PROJETS!$AI$87</f>
        <v>0</v>
      </c>
      <c r="G150" s="191">
        <f>PROJETS!$AL$87</f>
        <v>0</v>
      </c>
      <c r="H150" s="191">
        <f>PROJETS!$BD$87</f>
        <v>0</v>
      </c>
      <c r="I150" s="195" t="str">
        <f>IF(PROJETS!$A$87="","",IF(PROJETS!$AD$87="Termine","🟢",IF(OR(PROJETS!$BE$87=TRUE(),PROJETS!$BG$87=TRUE(),PROJETS!$BH$87=TRUE()),"🔴",IF(PROJETS!$BD$87&gt;=0.7,"🟢",IF(PROJETS!$BD$87&gt;=0.4,"🟠","🔴")))))</f>
        <v/>
      </c>
    </row>
    <row r="151" spans="1:14" ht="15" customHeight="1">
      <c r="A151" s="196" t="str">
        <f>PROJETS!$A$88</f>
        <v/>
      </c>
      <c r="B151" s="192">
        <f>PROJETS!$C$88</f>
        <v>0</v>
      </c>
      <c r="C151" s="196">
        <f>PROJETS!$J$88</f>
        <v>0</v>
      </c>
      <c r="D151" s="196">
        <f>PROJETS!$AD$88</f>
        <v>0</v>
      </c>
      <c r="E151" s="193">
        <f>PROJETS!$AG$88</f>
        <v>0</v>
      </c>
      <c r="F151" s="193">
        <f>PROJETS!$AI$88</f>
        <v>0</v>
      </c>
      <c r="G151" s="194">
        <f>PROJETS!$AL$88</f>
        <v>0</v>
      </c>
      <c r="H151" s="194">
        <f>PROJETS!$BD$88</f>
        <v>0</v>
      </c>
      <c r="I151" s="196" t="str">
        <f>IF(PROJETS!$A$88="","",IF(PROJETS!$AD$88="Termine","🟢",IF(OR(PROJETS!$BE$88=TRUE(),PROJETS!$BG$88=TRUE(),PROJETS!$BH$88=TRUE()),"🔴",IF(PROJETS!$BD$88&gt;=0.7,"🟢",IF(PROJETS!$BD$88&gt;=0.4,"🟠","🔴")))))</f>
        <v/>
      </c>
    </row>
    <row r="152" spans="1:14" ht="15" customHeight="1">
      <c r="A152" s="195" t="str">
        <f>PROJETS!$A$89</f>
        <v/>
      </c>
      <c r="B152" s="189">
        <f>PROJETS!$C$89</f>
        <v>0</v>
      </c>
      <c r="C152" s="195">
        <f>PROJETS!$J$89</f>
        <v>0</v>
      </c>
      <c r="D152" s="195">
        <f>PROJETS!$AD$89</f>
        <v>0</v>
      </c>
      <c r="E152" s="190">
        <f>PROJETS!$AG$89</f>
        <v>0</v>
      </c>
      <c r="F152" s="190">
        <f>PROJETS!$AI$89</f>
        <v>0</v>
      </c>
      <c r="G152" s="191">
        <f>PROJETS!$AL$89</f>
        <v>0</v>
      </c>
      <c r="H152" s="191">
        <f>PROJETS!$BD$89</f>
        <v>0</v>
      </c>
      <c r="I152" s="195" t="str">
        <f>IF(PROJETS!$A$89="","",IF(PROJETS!$AD$89="Termine","🟢",IF(OR(PROJETS!$BE$89=TRUE(),PROJETS!$BG$89=TRUE(),PROJETS!$BH$89=TRUE()),"🔴",IF(PROJETS!$BD$89&gt;=0.7,"🟢",IF(PROJETS!$BD$89&gt;=0.4,"🟠","🔴")))))</f>
        <v/>
      </c>
    </row>
    <row r="153" spans="1:14" ht="15" customHeight="1">
      <c r="A153" s="196" t="str">
        <f>PROJETS!$A$90</f>
        <v/>
      </c>
      <c r="B153" s="192">
        <f>PROJETS!$C$90</f>
        <v>0</v>
      </c>
      <c r="C153" s="196">
        <f>PROJETS!$J$90</f>
        <v>0</v>
      </c>
      <c r="D153" s="196">
        <f>PROJETS!$AD$90</f>
        <v>0</v>
      </c>
      <c r="E153" s="193">
        <f>PROJETS!$AG$90</f>
        <v>0</v>
      </c>
      <c r="F153" s="193">
        <f>PROJETS!$AI$90</f>
        <v>0</v>
      </c>
      <c r="G153" s="194">
        <f>PROJETS!$AL$90</f>
        <v>0</v>
      </c>
      <c r="H153" s="194">
        <f>PROJETS!$BD$90</f>
        <v>0</v>
      </c>
      <c r="I153" s="196" t="str">
        <f>IF(PROJETS!$A$90="","",IF(PROJETS!$AD$90="Termine","🟢",IF(OR(PROJETS!$BE$90=TRUE(),PROJETS!$BG$90=TRUE(),PROJETS!$BH$90=TRUE()),"🔴",IF(PROJETS!$BD$90&gt;=0.7,"🟢",IF(PROJETS!$BD$90&gt;=0.4,"🟠","🔴")))))</f>
        <v/>
      </c>
    </row>
    <row r="154" spans="1:14" ht="15" customHeight="1">
      <c r="A154" s="195" t="str">
        <f>PROJETS!$A$91</f>
        <v/>
      </c>
      <c r="B154" s="189">
        <f>PROJETS!$C$91</f>
        <v>0</v>
      </c>
      <c r="C154" s="195">
        <f>PROJETS!$J$91</f>
        <v>0</v>
      </c>
      <c r="D154" s="195">
        <f>PROJETS!$AD$91</f>
        <v>0</v>
      </c>
      <c r="E154" s="190">
        <f>PROJETS!$AG$91</f>
        <v>0</v>
      </c>
      <c r="F154" s="190">
        <f>PROJETS!$AI$91</f>
        <v>0</v>
      </c>
      <c r="G154" s="191">
        <f>PROJETS!$AL$91</f>
        <v>0</v>
      </c>
      <c r="H154" s="191">
        <f>PROJETS!$BD$91</f>
        <v>0</v>
      </c>
      <c r="I154" s="195" t="str">
        <f>IF(PROJETS!$A$91="","",IF(PROJETS!$AD$91="Termine","🟢",IF(OR(PROJETS!$BE$91=TRUE(),PROJETS!$BG$91=TRUE(),PROJETS!$BH$91=TRUE()),"🔴",IF(PROJETS!$BD$91&gt;=0.7,"🟢",IF(PROJETS!$BD$91&gt;=0.4,"🟠","🔴")))))</f>
        <v/>
      </c>
    </row>
    <row r="155" spans="1:14" ht="15" customHeight="1">
      <c r="A155" s="196" t="str">
        <f>PROJETS!$A$92</f>
        <v/>
      </c>
      <c r="B155" s="192">
        <f>PROJETS!$C$92</f>
        <v>0</v>
      </c>
      <c r="C155" s="196">
        <f>PROJETS!$J$92</f>
        <v>0</v>
      </c>
      <c r="D155" s="196">
        <f>PROJETS!$AD$92</f>
        <v>0</v>
      </c>
      <c r="E155" s="193">
        <f>PROJETS!$AG$92</f>
        <v>0</v>
      </c>
      <c r="F155" s="193">
        <f>PROJETS!$AI$92</f>
        <v>0</v>
      </c>
      <c r="G155" s="194">
        <f>PROJETS!$AL$92</f>
        <v>0</v>
      </c>
      <c r="H155" s="194">
        <f>PROJETS!$BD$92</f>
        <v>0</v>
      </c>
      <c r="I155" s="196" t="str">
        <f>IF(PROJETS!$A$92="","",IF(PROJETS!$AD$92="Termine","🟢",IF(OR(PROJETS!$BE$92=TRUE(),PROJETS!$BG$92=TRUE(),PROJETS!$BH$92=TRUE()),"🔴",IF(PROJETS!$BD$92&gt;=0.7,"🟢",IF(PROJETS!$BD$92&gt;=0.4,"🟠","🔴")))))</f>
        <v/>
      </c>
    </row>
    <row r="156" spans="1:14" ht="15" customHeight="1">
      <c r="A156" s="195" t="str">
        <f>PROJETS!$A$93</f>
        <v/>
      </c>
      <c r="B156" s="189">
        <f>PROJETS!$C$93</f>
        <v>0</v>
      </c>
      <c r="C156" s="195">
        <f>PROJETS!$J$93</f>
        <v>0</v>
      </c>
      <c r="D156" s="195">
        <f>PROJETS!$AD$93</f>
        <v>0</v>
      </c>
      <c r="E156" s="190">
        <f>PROJETS!$AG$93</f>
        <v>0</v>
      </c>
      <c r="F156" s="190">
        <f>PROJETS!$AI$93</f>
        <v>0</v>
      </c>
      <c r="G156" s="191">
        <f>PROJETS!$AL$93</f>
        <v>0</v>
      </c>
      <c r="H156" s="191">
        <f>PROJETS!$BD$93</f>
        <v>0</v>
      </c>
      <c r="I156" s="195" t="str">
        <f>IF(PROJETS!$A$93="","",IF(PROJETS!$AD$93="Termine","🟢",IF(OR(PROJETS!$BE$93=TRUE(),PROJETS!$BG$93=TRUE(),PROJETS!$BH$93=TRUE()),"🔴",IF(PROJETS!$BD$93&gt;=0.7,"🟢",IF(PROJETS!$BD$93&gt;=0.4,"🟠","🔴")))))</f>
        <v/>
      </c>
    </row>
    <row r="157" spans="1:14" ht="15" customHeight="1">
      <c r="A157" s="196" t="str">
        <f>PROJETS!$A$94</f>
        <v/>
      </c>
      <c r="B157" s="192">
        <f>PROJETS!$C$94</f>
        <v>0</v>
      </c>
      <c r="C157" s="196">
        <f>PROJETS!$J$94</f>
        <v>0</v>
      </c>
      <c r="D157" s="196">
        <f>PROJETS!$AD$94</f>
        <v>0</v>
      </c>
      <c r="E157" s="193">
        <f>PROJETS!$AG$94</f>
        <v>0</v>
      </c>
      <c r="F157" s="193">
        <f>PROJETS!$AI$94</f>
        <v>0</v>
      </c>
      <c r="G157" s="194">
        <f>PROJETS!$AL$94</f>
        <v>0</v>
      </c>
      <c r="H157" s="194">
        <f>PROJETS!$BD$94</f>
        <v>0</v>
      </c>
      <c r="I157" s="196" t="str">
        <f>IF(PROJETS!$A$94="","",IF(PROJETS!$AD$94="Termine","🟢",IF(OR(PROJETS!$BE$94=TRUE(),PROJETS!$BG$94=TRUE(),PROJETS!$BH$94=TRUE()),"🔴",IF(PROJETS!$BD$94&gt;=0.7,"🟢",IF(PROJETS!$BD$94&gt;=0.4,"🟠","🔴")))))</f>
        <v/>
      </c>
    </row>
    <row r="158" spans="1:14" ht="15" customHeight="1">
      <c r="A158" s="195" t="str">
        <f>PROJETS!$A$95</f>
        <v/>
      </c>
      <c r="B158" s="189">
        <f>PROJETS!$C$95</f>
        <v>0</v>
      </c>
      <c r="C158" s="195">
        <f>PROJETS!$J$95</f>
        <v>0</v>
      </c>
      <c r="D158" s="195">
        <f>PROJETS!$AD$95</f>
        <v>0</v>
      </c>
      <c r="E158" s="190">
        <f>PROJETS!$AG$95</f>
        <v>0</v>
      </c>
      <c r="F158" s="190">
        <f>PROJETS!$AI$95</f>
        <v>0</v>
      </c>
      <c r="G158" s="191">
        <f>PROJETS!$AL$95</f>
        <v>0</v>
      </c>
      <c r="H158" s="191">
        <f>PROJETS!$BD$95</f>
        <v>0</v>
      </c>
      <c r="I158" s="195" t="str">
        <f>IF(PROJETS!$A$95="","",IF(PROJETS!$AD$95="Termine","🟢",IF(OR(PROJETS!$BE$95=TRUE(),PROJETS!$BG$95=TRUE(),PROJETS!$BH$95=TRUE()),"🔴",IF(PROJETS!$BD$95&gt;=0.7,"🟢",IF(PROJETS!$BD$95&gt;=0.4,"🟠","🔴")))))</f>
        <v/>
      </c>
    </row>
    <row r="160" spans="1:14" ht="15" customHeight="1">
      <c r="A160" s="305" t="s">
        <v>2525</v>
      </c>
      <c r="B160" s="262"/>
      <c r="C160" s="262"/>
      <c r="D160" s="262"/>
      <c r="E160" s="262"/>
      <c r="F160" s="262"/>
      <c r="G160" s="262"/>
      <c r="H160" s="262"/>
      <c r="I160" s="262"/>
      <c r="J160" s="262"/>
      <c r="K160" s="262"/>
      <c r="L160" s="262"/>
      <c r="M160" s="262"/>
      <c r="N160" s="262"/>
    </row>
    <row r="161" spans="1:14" ht="15" customHeight="1">
      <c r="A161" s="312" t="s">
        <v>2526</v>
      </c>
      <c r="B161" s="262"/>
      <c r="C161" s="262"/>
      <c r="D161" s="262"/>
      <c r="E161" s="262"/>
      <c r="F161" s="321" t="str">
        <f>IFERROR(INDEX(PROJETS!$C$56:$C$95,MATCH($G$6,PROJETS!$A$56:$A$95,0)),"")</f>
        <v>Projet d'appui a l'insertion professionnelle des jeunes</v>
      </c>
      <c r="G161" s="262"/>
      <c r="H161" s="262"/>
      <c r="I161" s="262"/>
      <c r="J161" s="262"/>
      <c r="K161" s="262"/>
      <c r="L161" s="262"/>
      <c r="M161" s="262"/>
      <c r="N161" s="262"/>
    </row>
    <row r="162" spans="1:14" ht="15" customHeight="1">
      <c r="A162" s="312" t="s">
        <v>1540</v>
      </c>
      <c r="B162" s="262"/>
      <c r="C162" s="262"/>
      <c r="D162" s="262"/>
      <c r="E162" s="262"/>
      <c r="F162" s="321" t="str">
        <f>IFERROR(INDEX(PROJETS!$J$56:$J$95,MATCH($G$6,PROJETS!$A$56:$A$95,0)),"")</f>
        <v>Education</v>
      </c>
      <c r="G162" s="262"/>
      <c r="H162" s="262"/>
      <c r="I162" s="262"/>
      <c r="J162" s="262"/>
      <c r="K162" s="262"/>
      <c r="L162" s="262"/>
      <c r="M162" s="262"/>
      <c r="N162" s="262"/>
    </row>
    <row r="163" spans="1:14" ht="15" customHeight="1">
      <c r="A163" s="312" t="s">
        <v>1408</v>
      </c>
      <c r="B163" s="262"/>
      <c r="C163" s="262"/>
      <c r="D163" s="262"/>
      <c r="E163" s="262"/>
      <c r="F163" s="321" t="str">
        <f>IFERROR(INDEX(PROJETS!$N$56:$N$95,MATCH($G$6,PROJETS!$A$56:$A$95,0)),"")</f>
        <v>Jean MABIALA</v>
      </c>
      <c r="G163" s="262"/>
      <c r="H163" s="262"/>
      <c r="I163" s="262"/>
      <c r="J163" s="262"/>
      <c r="K163" s="262"/>
      <c r="L163" s="262"/>
      <c r="M163" s="262"/>
      <c r="N163" s="262"/>
    </row>
    <row r="164" spans="1:14" ht="15" customHeight="1">
      <c r="A164" s="312" t="s">
        <v>949</v>
      </c>
      <c r="B164" s="262"/>
      <c r="C164" s="262"/>
      <c r="D164" s="262"/>
      <c r="E164" s="262"/>
      <c r="F164" s="321" t="str">
        <f>IFERROR(INDEX(PROJETS!$R$56:$R$95,MATCH($G$6,PROJETS!$A$56:$A$95,0)),"")</f>
        <v>Bacongo</v>
      </c>
      <c r="G164" s="262"/>
      <c r="H164" s="262"/>
      <c r="I164" s="262"/>
      <c r="J164" s="262"/>
      <c r="K164" s="262"/>
      <c r="L164" s="262"/>
      <c r="M164" s="262"/>
      <c r="N164" s="262"/>
    </row>
    <row r="165" spans="1:14" ht="15" customHeight="1">
      <c r="A165" s="312" t="s">
        <v>2527</v>
      </c>
      <c r="B165" s="262"/>
      <c r="C165" s="262"/>
      <c r="D165" s="262"/>
      <c r="E165" s="262"/>
      <c r="F165" s="321" t="str">
        <f>IFERROR(INDEX(BUDGET!$O$28:$O$67,MATCH($G$6,BUDGET!$H$28:$H$67,0)),"")</f>
        <v>AUSP</v>
      </c>
      <c r="G165" s="262"/>
      <c r="H165" s="262"/>
      <c r="I165" s="262"/>
      <c r="J165" s="262"/>
      <c r="K165" s="262"/>
      <c r="L165" s="262"/>
      <c r="M165" s="262"/>
      <c r="N165" s="262"/>
    </row>
    <row r="166" spans="1:14" ht="15" customHeight="1">
      <c r="A166" s="312" t="s">
        <v>1645</v>
      </c>
      <c r="B166" s="262"/>
      <c r="C166" s="262"/>
      <c r="D166" s="262"/>
      <c r="E166" s="262"/>
      <c r="F166" s="321" t="str">
        <f>IFERROR(INDEX(PROJETS!$AD$56:$AD$95,MATCH($G$6,PROJETS!$A$56:$A$95,0)),"")</f>
        <v>En cours</v>
      </c>
      <c r="G166" s="262"/>
      <c r="H166" s="262"/>
      <c r="I166" s="262"/>
      <c r="J166" s="262"/>
      <c r="K166" s="262"/>
      <c r="L166" s="262"/>
      <c r="M166" s="262"/>
      <c r="N166" s="262"/>
    </row>
    <row r="167" spans="1:14" ht="15" customHeight="1">
      <c r="A167" s="312" t="s">
        <v>1665</v>
      </c>
      <c r="B167" s="262"/>
      <c r="C167" s="262"/>
      <c r="D167" s="262"/>
      <c r="E167" s="262"/>
      <c r="F167" s="328">
        <f>IFERROR(INDEX(PROJETS!$X$56:$X$95,MATCH($G$6,PROJETS!$A$56:$A$95,0)),"")</f>
        <v>45292</v>
      </c>
      <c r="G167" s="262"/>
      <c r="H167" s="262"/>
      <c r="I167" s="262"/>
      <c r="J167" s="262"/>
      <c r="K167" s="262"/>
      <c r="L167" s="262"/>
      <c r="M167" s="262"/>
      <c r="N167" s="262"/>
    </row>
    <row r="168" spans="1:14" ht="15" customHeight="1">
      <c r="A168" s="312" t="s">
        <v>1667</v>
      </c>
      <c r="B168" s="262"/>
      <c r="C168" s="262"/>
      <c r="D168" s="262"/>
      <c r="E168" s="262"/>
      <c r="F168" s="328">
        <f>IFERROR(INDEX(PROJETS!$Z$56:$Z$95,MATCH($G$6,PROJETS!$A$56:$A$95,0)),"")</f>
        <v>45657</v>
      </c>
      <c r="G168" s="262"/>
      <c r="H168" s="262"/>
      <c r="I168" s="262"/>
      <c r="J168" s="262"/>
      <c r="K168" s="262"/>
      <c r="L168" s="262"/>
      <c r="M168" s="262"/>
      <c r="N168" s="262"/>
    </row>
    <row r="169" spans="1:14" ht="15" customHeight="1">
      <c r="A169" s="312" t="s">
        <v>1673</v>
      </c>
      <c r="B169" s="262"/>
      <c r="C169" s="262"/>
      <c r="D169" s="262"/>
      <c r="E169" s="262"/>
      <c r="F169" s="324">
        <f>IFERROR(INDEX(PROJETS!$AG$56:$AG$95,MATCH($G$6,PROJETS!$A$56:$A$95,0)),"")</f>
        <v>11000000</v>
      </c>
      <c r="G169" s="262"/>
      <c r="H169" s="262"/>
      <c r="I169" s="262"/>
      <c r="J169" s="262"/>
      <c r="K169" s="262"/>
      <c r="L169" s="262"/>
      <c r="M169" s="262"/>
      <c r="N169" s="262"/>
    </row>
    <row r="170" spans="1:14" ht="15" customHeight="1">
      <c r="A170" s="312" t="s">
        <v>1674</v>
      </c>
      <c r="B170" s="262"/>
      <c r="C170" s="262"/>
      <c r="D170" s="262"/>
      <c r="E170" s="262"/>
      <c r="F170" s="324">
        <f>IFERROR(INDEX(PROJETS!$AH$56:$AH$95,MATCH($G$6,PROJETS!$A$56:$A$95,0)),"")</f>
        <v>6000000</v>
      </c>
      <c r="G170" s="262"/>
      <c r="H170" s="262"/>
      <c r="I170" s="262"/>
      <c r="J170" s="262"/>
      <c r="K170" s="262"/>
      <c r="L170" s="262"/>
      <c r="M170" s="262"/>
      <c r="N170" s="262"/>
    </row>
    <row r="171" spans="1:14" ht="15" customHeight="1">
      <c r="A171" s="312" t="s">
        <v>1675</v>
      </c>
      <c r="B171" s="262"/>
      <c r="C171" s="262"/>
      <c r="D171" s="262"/>
      <c r="E171" s="262"/>
      <c r="F171" s="324">
        <f>IFERROR(INDEX(PROJETS!$AI$56:$AI$95,MATCH($G$6,PROJETS!$A$56:$A$95,0)),"")</f>
        <v>4000000</v>
      </c>
      <c r="G171" s="262"/>
      <c r="H171" s="262"/>
      <c r="I171" s="262"/>
      <c r="J171" s="262"/>
      <c r="K171" s="262"/>
      <c r="L171" s="262"/>
      <c r="M171" s="262"/>
      <c r="N171" s="262"/>
    </row>
    <row r="172" spans="1:14" ht="15" customHeight="1">
      <c r="A172" s="312" t="s">
        <v>1677</v>
      </c>
      <c r="B172" s="262"/>
      <c r="C172" s="262"/>
      <c r="D172" s="262"/>
      <c r="E172" s="262"/>
      <c r="F172" s="324">
        <f>IFERROR(INDEX(PROJETS!$AK$56:$AK$95,MATCH($G$6,PROJETS!$A$56:$A$95,0)),"")</f>
        <v>2000000</v>
      </c>
      <c r="G172" s="262"/>
      <c r="H172" s="262"/>
      <c r="I172" s="262"/>
      <c r="J172" s="262"/>
      <c r="K172" s="262"/>
      <c r="L172" s="262"/>
      <c r="M172" s="262"/>
      <c r="N172" s="262"/>
    </row>
    <row r="173" spans="1:14" ht="15" customHeight="1">
      <c r="A173" s="312" t="s">
        <v>1808</v>
      </c>
      <c r="B173" s="262"/>
      <c r="C173" s="262"/>
      <c r="D173" s="262"/>
      <c r="E173" s="262"/>
      <c r="F173" s="315">
        <f>IFERROR(INDEX(PROJETS!$AL$56:$AL$95,MATCH($G$6,PROJETS!$A$56:$A$95,0)),"")</f>
        <v>0.36363636363636365</v>
      </c>
      <c r="G173" s="262"/>
      <c r="H173" s="262"/>
      <c r="I173" s="262"/>
      <c r="J173" s="262"/>
      <c r="K173" s="262"/>
      <c r="L173" s="262"/>
      <c r="M173" s="262"/>
      <c r="N173" s="262"/>
    </row>
    <row r="174" spans="1:14" ht="15" customHeight="1">
      <c r="A174" s="312" t="s">
        <v>2423</v>
      </c>
      <c r="B174" s="262"/>
      <c r="C174" s="262"/>
      <c r="D174" s="262"/>
      <c r="E174" s="262"/>
      <c r="F174" s="323">
        <f>IFERROR(INDEX(PROJETS!$AM$56:$AM$95,MATCH($G$6,PROJETS!$A$56:$A$95,0)),"")</f>
        <v>100</v>
      </c>
      <c r="G174" s="262"/>
      <c r="H174" s="262"/>
      <c r="I174" s="262"/>
      <c r="J174" s="262"/>
      <c r="K174" s="262"/>
      <c r="L174" s="262"/>
      <c r="M174" s="262"/>
      <c r="N174" s="262"/>
    </row>
    <row r="175" spans="1:14" ht="15" customHeight="1">
      <c r="A175" s="312" t="s">
        <v>2424</v>
      </c>
      <c r="B175" s="262"/>
      <c r="C175" s="262"/>
      <c r="D175" s="262"/>
      <c r="E175" s="262"/>
      <c r="F175" s="323">
        <f>IFERROR(INDEX(PROJETS!$AS$56:$AS$95,MATCH($G$6,PROJETS!$A$56:$A$95,0)),"")</f>
        <v>1</v>
      </c>
      <c r="G175" s="262"/>
      <c r="H175" s="262"/>
      <c r="I175" s="262"/>
      <c r="J175" s="262"/>
      <c r="K175" s="262"/>
      <c r="L175" s="262"/>
      <c r="M175" s="262"/>
      <c r="N175" s="262"/>
    </row>
    <row r="176" spans="1:14" ht="15" customHeight="1">
      <c r="A176" s="312" t="s">
        <v>2450</v>
      </c>
      <c r="B176" s="262"/>
      <c r="C176" s="262"/>
      <c r="D176" s="262"/>
      <c r="E176" s="262"/>
      <c r="F176" s="323">
        <f>IFERROR(INDEX(PROJETS!$AT$56:$AT$95,MATCH($G$6,PROJETS!$A$56:$A$95,0)),"")</f>
        <v>1</v>
      </c>
      <c r="G176" s="262"/>
      <c r="H176" s="262"/>
      <c r="I176" s="262"/>
      <c r="J176" s="262"/>
      <c r="K176" s="262"/>
      <c r="L176" s="262"/>
      <c r="M176" s="262"/>
      <c r="N176" s="262"/>
    </row>
    <row r="177" spans="1:14" ht="15" customHeight="1">
      <c r="A177" s="312" t="s">
        <v>2449</v>
      </c>
      <c r="B177" s="262"/>
      <c r="C177" s="262"/>
      <c r="D177" s="262"/>
      <c r="E177" s="262"/>
      <c r="F177" s="323">
        <f>IFERROR(INDEX(PROJETS!$AU$56:$AU$95,MATCH($G$6,PROJETS!$A$56:$A$95,0)),"")</f>
        <v>0</v>
      </c>
      <c r="G177" s="262"/>
      <c r="H177" s="262"/>
      <c r="I177" s="262"/>
      <c r="J177" s="262"/>
      <c r="K177" s="262"/>
      <c r="L177" s="262"/>
      <c r="M177" s="262"/>
      <c r="N177" s="262"/>
    </row>
    <row r="178" spans="1:14" ht="15" customHeight="1">
      <c r="A178" s="312" t="s">
        <v>1849</v>
      </c>
      <c r="B178" s="262"/>
      <c r="C178" s="262"/>
      <c r="D178" s="262"/>
      <c r="E178" s="262"/>
      <c r="F178" s="323">
        <f>IFERROR(INDEX(PROJETS!$AX$56:$AX$95,MATCH($G$6,PROJETS!$A$56:$A$95,0)),"")</f>
        <v>10</v>
      </c>
      <c r="G178" s="262"/>
      <c r="H178" s="262"/>
      <c r="I178" s="262"/>
      <c r="J178" s="262"/>
      <c r="K178" s="262"/>
      <c r="L178" s="262"/>
      <c r="M178" s="262"/>
      <c r="N178" s="262"/>
    </row>
    <row r="179" spans="1:14" ht="15" customHeight="1">
      <c r="A179" s="312" t="s">
        <v>1693</v>
      </c>
      <c r="B179" s="262"/>
      <c r="C179" s="262"/>
      <c r="D179" s="262"/>
      <c r="E179" s="262"/>
      <c r="F179" s="323">
        <f>IFERROR(INDEX(PROJETS!$BA$56:$BA$95,MATCH($G$6,PROJETS!$A$56:$A$95,0)),"")</f>
        <v>3</v>
      </c>
      <c r="G179" s="262"/>
      <c r="H179" s="262"/>
      <c r="I179" s="262"/>
      <c r="J179" s="262"/>
      <c r="K179" s="262"/>
      <c r="L179" s="262"/>
      <c r="M179" s="262"/>
      <c r="N179" s="262"/>
    </row>
    <row r="180" spans="1:14" ht="15" customHeight="1">
      <c r="A180" s="312" t="s">
        <v>2528</v>
      </c>
      <c r="B180" s="262"/>
      <c r="C180" s="262"/>
      <c r="D180" s="262"/>
      <c r="E180" s="262"/>
      <c r="F180" s="315">
        <f>IFERROR(INDEX(PROJETS!$BC$56:$BC$95,MATCH($G$6,PROJETS!$A$56:$A$95,0)),"")</f>
        <v>0.3</v>
      </c>
      <c r="G180" s="262"/>
      <c r="H180" s="262"/>
      <c r="I180" s="262"/>
      <c r="J180" s="262"/>
      <c r="K180" s="262"/>
      <c r="L180" s="262"/>
      <c r="M180" s="262"/>
      <c r="N180" s="262"/>
    </row>
    <row r="181" spans="1:14" ht="15" customHeight="1">
      <c r="A181" s="312" t="s">
        <v>2529</v>
      </c>
      <c r="B181" s="262"/>
      <c r="C181" s="262"/>
      <c r="D181" s="262"/>
      <c r="E181" s="262"/>
      <c r="F181" s="315">
        <f>IFERROR(INDEX(PROJETS!$BD$56:$BD$95,MATCH($G$6,PROJETS!$A$56:$A$95,0)),"")</f>
        <v>0.45</v>
      </c>
      <c r="G181" s="262"/>
      <c r="H181" s="262"/>
      <c r="I181" s="262"/>
      <c r="J181" s="262"/>
      <c r="K181" s="262"/>
      <c r="L181" s="262"/>
      <c r="M181" s="262"/>
      <c r="N181" s="262"/>
    </row>
    <row r="183" spans="1:14" ht="19.5" customHeight="1">
      <c r="A183" s="314" t="s">
        <v>2530</v>
      </c>
      <c r="B183" s="262"/>
      <c r="C183" s="262"/>
      <c r="D183" s="262"/>
      <c r="E183" s="262"/>
      <c r="F183" s="262"/>
      <c r="G183" s="262"/>
      <c r="H183" s="262"/>
      <c r="I183" s="262"/>
      <c r="J183" s="262"/>
      <c r="K183" s="262"/>
      <c r="L183" s="262"/>
      <c r="M183" s="262"/>
      <c r="N183" s="262"/>
    </row>
    <row r="184" spans="1:14" ht="25.5" customHeight="1">
      <c r="A184" s="318" t="s">
        <v>1716</v>
      </c>
      <c r="B184" s="319"/>
      <c r="C184" s="319"/>
      <c r="D184" s="319"/>
      <c r="E184" s="319"/>
      <c r="F184" s="319"/>
      <c r="G184" s="319"/>
      <c r="H184" s="319"/>
      <c r="I184" s="320"/>
      <c r="J184" s="318" t="s">
        <v>1626</v>
      </c>
      <c r="K184" s="319"/>
      <c r="L184" s="319"/>
      <c r="M184" s="319"/>
      <c r="N184" s="320"/>
    </row>
    <row r="185" spans="1:14" ht="15" customHeight="1">
      <c r="A185" s="316" t="s">
        <v>1764</v>
      </c>
      <c r="B185" s="262"/>
      <c r="C185" s="262"/>
      <c r="D185" s="262"/>
      <c r="E185" s="262"/>
      <c r="F185" s="262"/>
      <c r="G185" s="262"/>
      <c r="H185" s="262"/>
      <c r="I185" s="262"/>
      <c r="J185" s="181">
        <f>IF($C$6="Total",COUNTIF(ACTIVITES!$A$56:$A$105,"ACT*"),COUNTIFS(ACTIVITES!$A$56:$A$105,"ACT*",ACTIVITES!$S$56:$S$105,$C$6))</f>
        <v>0</v>
      </c>
    </row>
    <row r="186" spans="1:14" ht="15" customHeight="1">
      <c r="A186" s="317" t="s">
        <v>1765</v>
      </c>
      <c r="B186" s="262"/>
      <c r="C186" s="262"/>
      <c r="D186" s="262"/>
      <c r="E186" s="262"/>
      <c r="F186" s="262"/>
      <c r="G186" s="262"/>
      <c r="H186" s="262"/>
      <c r="I186" s="262"/>
      <c r="J186" s="182">
        <f>IF($C$6="Total",COUNTIFS(ACTIVITES!$A$56:$A$105,"ACT*",ACTIVITES!$Z$56:$Z$105,"Planifiee"),COUNTIFS(ACTIVITES!$A$56:$A$105,"ACT*",ACTIVITES!$Z$56:$Z$105,"Planifiee",ACTIVITES!$S$56:$S$105,$C$6))</f>
        <v>0</v>
      </c>
      <c r="K186" s="183"/>
      <c r="L186" s="183"/>
      <c r="M186" s="183"/>
      <c r="N186" s="183"/>
    </row>
    <row r="187" spans="1:14" ht="15" customHeight="1">
      <c r="A187" s="316" t="s">
        <v>13</v>
      </c>
      <c r="B187" s="262"/>
      <c r="C187" s="262"/>
      <c r="D187" s="262"/>
      <c r="E187" s="262"/>
      <c r="F187" s="262"/>
      <c r="G187" s="262"/>
      <c r="H187" s="262"/>
      <c r="I187" s="262"/>
      <c r="J187" s="181">
        <f>IF($C$6="Total",COUNTIFS(ACTIVITES!$A$56:$A$105,"ACT*",ACTIVITES!$Z$56:$Z$105,"En cours"),COUNTIFS(ACTIVITES!$A$56:$A$105,"ACT*",ACTIVITES!$Z$56:$Z$105,"En cours",ACTIVITES!$S$56:$S$105,$C$6))</f>
        <v>0</v>
      </c>
    </row>
    <row r="188" spans="1:14" ht="15" customHeight="1">
      <c r="A188" s="317" t="s">
        <v>1766</v>
      </c>
      <c r="B188" s="262"/>
      <c r="C188" s="262"/>
      <c r="D188" s="262"/>
      <c r="E188" s="262"/>
      <c r="F188" s="262"/>
      <c r="G188" s="262"/>
      <c r="H188" s="262"/>
      <c r="I188" s="262"/>
      <c r="J188" s="182">
        <f>IF($C$6="Total",COUNTIFS(ACTIVITES!$A$56:$A$105,"ACT*",ACTIVITES!$Z$56:$Z$105,"Realisee"),COUNTIFS(ACTIVITES!$A$56:$A$105,"ACT*",ACTIVITES!$Z$56:$Z$105,"Realisee",ACTIVITES!$S$56:$S$105,$C$6))</f>
        <v>0</v>
      </c>
      <c r="K188" s="183"/>
      <c r="L188" s="183"/>
      <c r="M188" s="183"/>
      <c r="N188" s="183"/>
    </row>
    <row r="189" spans="1:14" ht="15" customHeight="1">
      <c r="A189" s="316" t="s">
        <v>1767</v>
      </c>
      <c r="B189" s="262"/>
      <c r="C189" s="262"/>
      <c r="D189" s="262"/>
      <c r="E189" s="262"/>
      <c r="F189" s="262"/>
      <c r="G189" s="262"/>
      <c r="H189" s="262"/>
      <c r="I189" s="262"/>
      <c r="J189" s="181">
        <f>IF($C$6="Total",COUNTIFS(ACTIVITES!$A$56:$A$105,"ACT*",ACTIVITES!$Z$56:$Z$105,"Reportee"),COUNTIFS(ACTIVITES!$A$56:$A$105,"ACT*",ACTIVITES!$Z$56:$Z$105,"Reportee",ACTIVITES!$S$56:$S$105,$C$6))</f>
        <v>0</v>
      </c>
    </row>
    <row r="190" spans="1:14" ht="15" customHeight="1">
      <c r="A190" s="317" t="s">
        <v>1768</v>
      </c>
      <c r="B190" s="262"/>
      <c r="C190" s="262"/>
      <c r="D190" s="262"/>
      <c r="E190" s="262"/>
      <c r="F190" s="262"/>
      <c r="G190" s="262"/>
      <c r="H190" s="262"/>
      <c r="I190" s="262"/>
      <c r="J190" s="182">
        <f>IF($C$6="Total",COUNTIFS(ACTIVITES!$A$56:$A$105,"ACT*",ACTIVITES!$Z$56:$Z$105,"Annulee"),COUNTIFS(ACTIVITES!$A$56:$A$105,"ACT*",ACTIVITES!$Z$56:$Z$105,"Annulee",ACTIVITES!$S$56:$S$105,$C$6))</f>
        <v>0</v>
      </c>
      <c r="K190" s="183"/>
      <c r="L190" s="183"/>
      <c r="M190" s="183"/>
      <c r="N190" s="183"/>
    </row>
    <row r="191" spans="1:14" ht="15" customHeight="1">
      <c r="A191" s="316" t="s">
        <v>1769</v>
      </c>
      <c r="B191" s="262"/>
      <c r="C191" s="262"/>
      <c r="D191" s="262"/>
      <c r="E191" s="262"/>
      <c r="F191" s="262"/>
      <c r="G191" s="262"/>
      <c r="H191" s="262"/>
      <c r="I191" s="262"/>
      <c r="J191" s="188">
        <f>IFERROR($J$188/$J$185,0)</f>
        <v>0</v>
      </c>
    </row>
    <row r="192" spans="1:14" ht="15" customHeight="1">
      <c r="A192" s="317" t="s">
        <v>1770</v>
      </c>
      <c r="B192" s="262"/>
      <c r="C192" s="262"/>
      <c r="D192" s="262"/>
      <c r="E192" s="262"/>
      <c r="F192" s="262"/>
      <c r="G192" s="262"/>
      <c r="H192" s="262"/>
      <c r="I192" s="262"/>
      <c r="J192" s="182">
        <f>ACTIVITES!$H$8</f>
        <v>1</v>
      </c>
      <c r="K192" s="184" t="s">
        <v>2491</v>
      </c>
      <c r="L192" s="183"/>
      <c r="M192" s="183"/>
      <c r="N192" s="183"/>
    </row>
    <row r="194" spans="1:14" ht="19.5" customHeight="1">
      <c r="A194" s="314" t="s">
        <v>2531</v>
      </c>
      <c r="B194" s="262"/>
      <c r="C194" s="262"/>
      <c r="D194" s="262"/>
      <c r="E194" s="262"/>
      <c r="F194" s="262"/>
      <c r="G194" s="262"/>
      <c r="H194" s="262"/>
      <c r="I194" s="262"/>
      <c r="J194" s="262"/>
      <c r="K194" s="262"/>
      <c r="L194" s="262"/>
      <c r="M194" s="262"/>
      <c r="N194" s="262"/>
    </row>
    <row r="195" spans="1:14" ht="25.5" customHeight="1">
      <c r="A195" s="318" t="s">
        <v>1716</v>
      </c>
      <c r="B195" s="319"/>
      <c r="C195" s="319"/>
      <c r="D195" s="319"/>
      <c r="E195" s="319"/>
      <c r="F195" s="319"/>
      <c r="G195" s="319"/>
      <c r="H195" s="319"/>
      <c r="I195" s="320"/>
      <c r="J195" s="318" t="s">
        <v>1626</v>
      </c>
      <c r="K195" s="319"/>
      <c r="L195" s="319"/>
      <c r="M195" s="319"/>
      <c r="N195" s="320"/>
    </row>
    <row r="196" spans="1:14" ht="15" customHeight="1">
      <c r="A196" s="317" t="s">
        <v>2532</v>
      </c>
      <c r="B196" s="262"/>
      <c r="C196" s="262"/>
      <c r="D196" s="262"/>
      <c r="E196" s="262"/>
      <c r="F196" s="262"/>
      <c r="G196" s="262"/>
      <c r="H196" s="262"/>
      <c r="I196" s="262"/>
      <c r="J196" s="182">
        <f>SUM(PROJETS!$AM$56:$AM$95)</f>
        <v>100</v>
      </c>
      <c r="K196" s="184" t="s">
        <v>2491</v>
      </c>
      <c r="L196" s="183"/>
      <c r="M196" s="183"/>
      <c r="N196" s="183"/>
    </row>
    <row r="197" spans="1:14" ht="15" customHeight="1">
      <c r="A197" s="316" t="s">
        <v>2533</v>
      </c>
      <c r="B197" s="262"/>
      <c r="C197" s="262"/>
      <c r="D197" s="262"/>
      <c r="E197" s="262"/>
      <c r="F197" s="262"/>
      <c r="G197" s="262"/>
      <c r="H197" s="262"/>
      <c r="I197" s="262"/>
      <c r="J197" s="181">
        <f>IF($C$6="Total",COUNTIF(BENEFICIAIRES!$A$56:$A$115,"BEN*"),COUNTIFS(BENEFICIAIRES!$A$56:$A$115,"BEN*",BENEFICIAIRES!$BB$56:$BB$115,"&gt;="&amp;DATE(VALUE($C$6),1,1),BENEFICIAIRES!$BB$56:$BB$115,"&lt;"&amp;DATE(VALUE($C$6)+1,1,1)))</f>
        <v>0</v>
      </c>
    </row>
    <row r="198" spans="1:14" ht="15" customHeight="1">
      <c r="A198" s="317" t="s">
        <v>2534</v>
      </c>
      <c r="B198" s="262"/>
      <c r="C198" s="262"/>
      <c r="D198" s="262"/>
      <c r="E198" s="262"/>
      <c r="F198" s="262"/>
      <c r="G198" s="262"/>
      <c r="H198" s="262"/>
      <c r="I198" s="262"/>
      <c r="J198" s="182">
        <f>IF($C$6="Total",COUNTIFS(BENEFICIAIRES!$A$56:$A$115,"BEN*",BENEFICIAIRES!$H$56:$H$115,"Masculin"),COUNTIFS(BENEFICIAIRES!$A$56:$A$115,"BEN*",BENEFICIAIRES!$H$56:$H$115,"Masculin",BENEFICIAIRES!$BB$56:$BB$115,"&gt;="&amp;DATE(VALUE($C$6),1,1),BENEFICIAIRES!$BB$56:$BB$115,"&lt;"&amp;DATE(VALUE($C$6)+1,1,1)))</f>
        <v>0</v>
      </c>
      <c r="K198" s="183"/>
      <c r="L198" s="183"/>
      <c r="M198" s="183"/>
      <c r="N198" s="183"/>
    </row>
    <row r="199" spans="1:14" ht="15" customHeight="1">
      <c r="A199" s="316" t="s">
        <v>2535</v>
      </c>
      <c r="B199" s="262"/>
      <c r="C199" s="262"/>
      <c r="D199" s="262"/>
      <c r="E199" s="262"/>
      <c r="F199" s="262"/>
      <c r="G199" s="262"/>
      <c r="H199" s="262"/>
      <c r="I199" s="262"/>
      <c r="J199" s="181">
        <f>IF($C$6="Total",COUNTIFS(BENEFICIAIRES!$A$56:$A$115,"BEN*",BENEFICIAIRES!$H$56:$H$115,"Feminin"),COUNTIFS(BENEFICIAIRES!$A$56:$A$115,"BEN*",BENEFICIAIRES!$H$56:$H$115,"Feminin",BENEFICIAIRES!$BB$56:$BB$115,"&gt;="&amp;DATE(VALUE($C$6),1,1),BENEFICIAIRES!$BB$56:$BB$115,"&lt;"&amp;DATE(VALUE($C$6)+1,1,1)))</f>
        <v>0</v>
      </c>
    </row>
    <row r="200" spans="1:14" ht="15" customHeight="1">
      <c r="A200" s="317" t="s">
        <v>2536</v>
      </c>
      <c r="B200" s="262"/>
      <c r="C200" s="262"/>
      <c r="D200" s="262"/>
      <c r="E200" s="262"/>
      <c r="F200" s="262"/>
      <c r="G200" s="262"/>
      <c r="H200" s="262"/>
      <c r="I200" s="262"/>
      <c r="J200" s="182">
        <f ca="1">IF($C$6="Total",COUNTIFS(BENEFICIAIRES!$A$56:$A$115,"BEN*",BENEFICIAIRES!$J$56:$J$115,"&gt;=18",BENEFICIAIRES!$J$56:$J$115,"&lt;=24"),COUNTIFS(BENEFICIAIRES!$A$56:$A$115,"BEN*",BENEFICIAIRES!$J$56:$J$115,"&gt;=18",BENEFICIAIRES!$J$56:$J$115,"&lt;=24",BENEFICIAIRES!$BB$56:$BB$115,"&gt;="&amp;DATE(VALUE($C$6),1,1),BENEFICIAIRES!$BB$56:$BB$115,"&lt;"&amp;DATE(VALUE($C$6)+1,1,1)))</f>
        <v>0</v>
      </c>
      <c r="K200" s="183"/>
      <c r="L200" s="183"/>
      <c r="M200" s="183"/>
      <c r="N200" s="183"/>
    </row>
    <row r="201" spans="1:14" ht="15" customHeight="1">
      <c r="A201" s="316" t="s">
        <v>2537</v>
      </c>
      <c r="B201" s="262"/>
      <c r="C201" s="262"/>
      <c r="D201" s="262"/>
      <c r="E201" s="262"/>
      <c r="F201" s="262"/>
      <c r="G201" s="262"/>
      <c r="H201" s="262"/>
      <c r="I201" s="262"/>
      <c r="J201" s="181">
        <f ca="1">IF($C$6="Total",COUNTIFS(BENEFICIAIRES!$A$56:$A$115,"BEN*",BENEFICIAIRES!$J$56:$J$115,"&lt;18"),COUNTIFS(BENEFICIAIRES!$A$56:$A$115,"BEN*",BENEFICIAIRES!$J$56:$J$115,"&lt;18",BENEFICIAIRES!$BB$56:$BB$115,"&gt;="&amp;DATE(VALUE($C$6),1,1),BENEFICIAIRES!$BB$56:$BB$115,"&lt;"&amp;DATE(VALUE($C$6)+1,1,1)))</f>
        <v>0</v>
      </c>
    </row>
    <row r="202" spans="1:14" ht="15" customHeight="1">
      <c r="A202" s="317" t="s">
        <v>2538</v>
      </c>
      <c r="B202" s="262"/>
      <c r="C202" s="262"/>
      <c r="D202" s="262"/>
      <c r="E202" s="262"/>
      <c r="F202" s="262"/>
      <c r="G202" s="262"/>
      <c r="H202" s="262"/>
      <c r="I202" s="262"/>
      <c r="J202" s="182">
        <f>IF($C$6="Total",COUNTIFS(BENEFICIAIRES!$A$56:$A$115,"BEN*",BENEFICIAIRES!$V$56:$V$115,"Oui"),COUNTIFS(BENEFICIAIRES!$A$56:$A$115,"BEN*",BENEFICIAIRES!$V$56:$V$115,"Oui",BENEFICIAIRES!$BB$56:$BB$115,"&gt;="&amp;DATE(VALUE($C$6),1,1),BENEFICIAIRES!$BB$56:$BB$115,"&lt;"&amp;DATE(VALUE($C$6)+1,1,1)))</f>
        <v>0</v>
      </c>
      <c r="K202" s="183"/>
      <c r="L202" s="183"/>
      <c r="M202" s="183"/>
      <c r="N202" s="183"/>
    </row>
    <row r="203" spans="1:14" ht="15" customHeight="1">
      <c r="A203" s="316" t="s">
        <v>2539</v>
      </c>
      <c r="B203" s="262"/>
      <c r="C203" s="262"/>
      <c r="D203" s="262"/>
      <c r="E203" s="262"/>
      <c r="F203" s="262"/>
      <c r="G203" s="262"/>
      <c r="H203" s="262"/>
      <c r="I203" s="262"/>
      <c r="J203" s="188">
        <f>IFERROR($J$197/$J$196,0)</f>
        <v>0</v>
      </c>
    </row>
    <row r="205" spans="1:14" ht="25.5" customHeight="1">
      <c r="A205" s="180" t="s">
        <v>2148</v>
      </c>
      <c r="B205" s="180" t="s">
        <v>118</v>
      </c>
      <c r="C205" s="180" t="s">
        <v>117</v>
      </c>
      <c r="D205" s="180" t="s">
        <v>1282</v>
      </c>
    </row>
    <row r="206" spans="1:14" ht="15" customHeight="1">
      <c r="A206" s="197" t="s">
        <v>2540</v>
      </c>
      <c r="B206" s="198">
        <f>IF($C$6="Total",COUNTIFS(BENEFICIAIRES!$A$56:$A$115,"BEN*",BENEFICIAIRES!$H$56:$H$115,"Masculin"),COUNTIFS(BENEFICIAIRES!$A$56:$A$115,"BEN*",BENEFICIAIRES!$H$56:$H$115,"Masculin",BENEFICIAIRES!$BB$56:$BB$115,"&gt;="&amp;DATE(VALUE($C$6),1,1),BENEFICIAIRES!$BB$56:$BB$115,"&lt;"&amp;DATE(VALUE($C$6)+1,1,1)))</f>
        <v>0</v>
      </c>
      <c r="C206" s="198">
        <f>IF($C$6="Total",COUNTIFS(BENEFICIAIRES!$A$56:$A$115,"BEN*",BENEFICIAIRES!$H$56:$H$115,"Feminin"),COUNTIFS(BENEFICIAIRES!$A$56:$A$115,"BEN*",BENEFICIAIRES!$H$56:$H$115,"Feminin",BENEFICIAIRES!$BB$56:$BB$115,"&gt;="&amp;DATE(VALUE($C$6),1,1),BENEFICIAIRES!$BB$56:$BB$115,"&lt;"&amp;DATE(VALUE($C$6)+1,1,1)))</f>
        <v>0</v>
      </c>
      <c r="D206" s="198">
        <f>B206+C206</f>
        <v>0</v>
      </c>
    </row>
    <row r="207" spans="1:14" ht="15" customHeight="1">
      <c r="A207" s="199" t="s">
        <v>2541</v>
      </c>
      <c r="B207" s="200">
        <f>COUNTIFS('RESSOURCES HUMAINES'!$A$27:$A$76,"RH*",'RESSOURCES HUMAINES'!$F$27:$F$76,"Masculin")</f>
        <v>0</v>
      </c>
      <c r="C207" s="200">
        <f>COUNTIFS('RESSOURCES HUMAINES'!$A$27:$A$76,"RH*",'RESSOURCES HUMAINES'!$F$27:$F$76,"Feminin")</f>
        <v>0</v>
      </c>
      <c r="D207" s="200">
        <f>B207+C207</f>
        <v>0</v>
      </c>
    </row>
    <row r="209" spans="1:14" ht="19.5" customHeight="1">
      <c r="A209" s="314" t="s">
        <v>2542</v>
      </c>
      <c r="B209" s="262"/>
      <c r="C209" s="262"/>
      <c r="D209" s="262"/>
      <c r="E209" s="262"/>
      <c r="F209" s="262"/>
      <c r="G209" s="262"/>
      <c r="H209" s="262"/>
      <c r="I209" s="262"/>
      <c r="J209" s="262"/>
      <c r="K209" s="262"/>
      <c r="L209" s="262"/>
      <c r="M209" s="262"/>
      <c r="N209" s="262"/>
    </row>
    <row r="210" spans="1:14" ht="25.5" customHeight="1">
      <c r="A210" s="318" t="s">
        <v>1716</v>
      </c>
      <c r="B210" s="319"/>
      <c r="C210" s="319"/>
      <c r="D210" s="319"/>
      <c r="E210" s="319"/>
      <c r="F210" s="319"/>
      <c r="G210" s="319"/>
      <c r="H210" s="319"/>
      <c r="I210" s="320"/>
      <c r="J210" s="318" t="s">
        <v>1626</v>
      </c>
      <c r="K210" s="319"/>
      <c r="L210" s="319"/>
      <c r="M210" s="319"/>
      <c r="N210" s="320"/>
    </row>
    <row r="211" spans="1:14" ht="15" customHeight="1">
      <c r="A211" s="316" t="s">
        <v>116</v>
      </c>
      <c r="B211" s="262"/>
      <c r="C211" s="262"/>
      <c r="D211" s="262"/>
      <c r="E211" s="262"/>
      <c r="F211" s="262"/>
      <c r="G211" s="262"/>
      <c r="H211" s="262"/>
      <c r="I211" s="262"/>
      <c r="J211" s="181">
        <f>IF($C$6="Total",COUNTIF('RESSOURCES HUMAINES'!$A$27:$A$76,"RH*"),COUNTIFS('RESSOURCES HUMAINES'!$A$27:$A$76,"RH*",'RESSOURCES HUMAINES'!$W$27:$W$76,VALUE($C$6)))</f>
        <v>0</v>
      </c>
    </row>
    <row r="212" spans="1:14" ht="15" customHeight="1">
      <c r="A212" s="317" t="s">
        <v>2489</v>
      </c>
      <c r="B212" s="262"/>
      <c r="C212" s="262"/>
      <c r="D212" s="262"/>
      <c r="E212" s="262"/>
      <c r="F212" s="262"/>
      <c r="G212" s="262"/>
      <c r="H212" s="262"/>
      <c r="I212" s="262"/>
      <c r="J212" s="182">
        <f>IF($C$6="Total",COUNTIFS('RESSOURCES HUMAINES'!$A$27:$A$76,"RH*",'RESSOURCES HUMAINES'!$P$27:$P$76,"Actif"),COUNTIFS('RESSOURCES HUMAINES'!$A$27:$A$76,"RH*",'RESSOURCES HUMAINES'!$P$27:$P$76,"Actif",'RESSOURCES HUMAINES'!$W$27:$W$76,VALUE($C$6)))</f>
        <v>0</v>
      </c>
      <c r="K212" s="183"/>
      <c r="L212" s="183"/>
      <c r="M212" s="183"/>
      <c r="N212" s="183"/>
    </row>
    <row r="213" spans="1:14" ht="15" customHeight="1">
      <c r="A213" s="316" t="s">
        <v>2323</v>
      </c>
      <c r="B213" s="262"/>
      <c r="C213" s="262"/>
      <c r="D213" s="262"/>
      <c r="E213" s="262"/>
      <c r="F213" s="262"/>
      <c r="G213" s="262"/>
      <c r="H213" s="262"/>
      <c r="I213" s="262"/>
      <c r="J213" s="181">
        <f>IF($C$6="Total",COUNTIFS('RESSOURCES HUMAINES'!$Y$27:$Y$76,"CDI"),COUNTIFS('RESSOURCES HUMAINES'!$Y$27:$Y$76,"CDI",'RESSOURCES HUMAINES'!$W$27:$W$76,VALUE($C$6)))</f>
        <v>0</v>
      </c>
    </row>
    <row r="214" spans="1:14" ht="15" customHeight="1">
      <c r="A214" s="317" t="s">
        <v>2324</v>
      </c>
      <c r="B214" s="262"/>
      <c r="C214" s="262"/>
      <c r="D214" s="262"/>
      <c r="E214" s="262"/>
      <c r="F214" s="262"/>
      <c r="G214" s="262"/>
      <c r="H214" s="262"/>
      <c r="I214" s="262"/>
      <c r="J214" s="182">
        <f>IF($C$6="Total",COUNTIFS('RESSOURCES HUMAINES'!$Y$27:$Y$76,"CDD"),COUNTIFS('RESSOURCES HUMAINES'!$Y$27:$Y$76,"CDD",'RESSOURCES HUMAINES'!$W$27:$W$76,VALUE($C$6)))</f>
        <v>0</v>
      </c>
      <c r="K214" s="183"/>
      <c r="L214" s="183"/>
      <c r="M214" s="183"/>
      <c r="N214" s="183"/>
    </row>
    <row r="215" spans="1:14" ht="15" customHeight="1">
      <c r="A215" s="316" t="s">
        <v>2325</v>
      </c>
      <c r="B215" s="262"/>
      <c r="C215" s="262"/>
      <c r="D215" s="262"/>
      <c r="E215" s="262"/>
      <c r="F215" s="262"/>
      <c r="G215" s="262"/>
      <c r="H215" s="262"/>
      <c r="I215" s="262"/>
      <c r="J215" s="181">
        <f>IF($C$6="Total",COUNTIFS('RESSOURCES HUMAINES'!$Y$27:$Y$76,"Consultant")+COUNTIFS('RESSOURCES HUMAINES'!$Y$27:$Y$76,"Prestataire"),COUNTIFS('RESSOURCES HUMAINES'!$Y$27:$Y$76,"Consultant",'RESSOURCES HUMAINES'!$W$27:$W$76,VALUE($C$6))+COUNTIFS('RESSOURCES HUMAINES'!$Y$27:$Y$76,"Prestataire",'RESSOURCES HUMAINES'!$W$27:$W$76,VALUE($C$6)))</f>
        <v>0</v>
      </c>
    </row>
    <row r="216" spans="1:14" ht="15" customHeight="1">
      <c r="A216" s="317" t="s">
        <v>2326</v>
      </c>
      <c r="B216" s="262"/>
      <c r="C216" s="262"/>
      <c r="D216" s="262"/>
      <c r="E216" s="262"/>
      <c r="F216" s="262"/>
      <c r="G216" s="262"/>
      <c r="H216" s="262"/>
      <c r="I216" s="262"/>
      <c r="J216" s="182">
        <f>IF($C$6="Total",COUNTIFS('RESSOURCES HUMAINES'!$Y$27:$Y$76,"Benevolat")+COUNTIFS('RESSOURCES HUMAINES'!$Y$27:$Y$76,"Volontariat"),COUNTIFS('RESSOURCES HUMAINES'!$Y$27:$Y$76,"Benevolat",'RESSOURCES HUMAINES'!$W$27:$W$76,VALUE($C$6))+COUNTIFS('RESSOURCES HUMAINES'!$Y$27:$Y$76,"Volontariat",'RESSOURCES HUMAINES'!$W$27:$W$76,VALUE($C$6)))</f>
        <v>0</v>
      </c>
      <c r="K216" s="183"/>
      <c r="L216" s="183"/>
      <c r="M216" s="183"/>
      <c r="N216" s="183"/>
    </row>
    <row r="217" spans="1:14" ht="15" customHeight="1">
      <c r="A217" s="316" t="s">
        <v>1415</v>
      </c>
      <c r="B217" s="262"/>
      <c r="C217" s="262"/>
      <c r="D217" s="262"/>
      <c r="E217" s="262"/>
      <c r="F217" s="262"/>
      <c r="G217" s="262"/>
      <c r="H217" s="262"/>
      <c r="I217" s="262"/>
      <c r="J217" s="181">
        <f>IF($C$6="Total",COUNTIFS('RESSOURCES HUMAINES'!$Y$27:$Y$76,"Stage"),COUNTIFS('RESSOURCES HUMAINES'!$Y$27:$Y$76,"Stage",'RESSOURCES HUMAINES'!$W$27:$W$76,VALUE($C$6)))</f>
        <v>0</v>
      </c>
    </row>
    <row r="218" spans="1:14" ht="15" customHeight="1">
      <c r="A218" s="317" t="s">
        <v>118</v>
      </c>
      <c r="B218" s="262"/>
      <c r="C218" s="262"/>
      <c r="D218" s="262"/>
      <c r="E218" s="262"/>
      <c r="F218" s="262"/>
      <c r="G218" s="262"/>
      <c r="H218" s="262"/>
      <c r="I218" s="262"/>
      <c r="J218" s="182">
        <f>IF($C$6="Total",COUNTIFS('RESSOURCES HUMAINES'!$F$27:$F$76,"Masculin"),COUNTIFS('RESSOURCES HUMAINES'!$F$27:$F$76,"Masculin",'RESSOURCES HUMAINES'!$W$27:$W$76,VALUE($C$6)))</f>
        <v>0</v>
      </c>
      <c r="K218" s="183"/>
      <c r="L218" s="183"/>
      <c r="M218" s="183"/>
      <c r="N218" s="183"/>
    </row>
    <row r="219" spans="1:14" ht="15" customHeight="1">
      <c r="A219" s="316" t="s">
        <v>117</v>
      </c>
      <c r="B219" s="262"/>
      <c r="C219" s="262"/>
      <c r="D219" s="262"/>
      <c r="E219" s="262"/>
      <c r="F219" s="262"/>
      <c r="G219" s="262"/>
      <c r="H219" s="262"/>
      <c r="I219" s="262"/>
      <c r="J219" s="181">
        <f>IF($C$6="Total",COUNTIFS('RESSOURCES HUMAINES'!$F$27:$F$76,"Feminin"),COUNTIFS('RESSOURCES HUMAINES'!$F$27:$F$76,"Feminin",'RESSOURCES HUMAINES'!$W$27:$W$76,VALUE($C$6)))</f>
        <v>0</v>
      </c>
    </row>
    <row r="220" spans="1:14" ht="15" customHeight="1">
      <c r="A220" s="317" t="s">
        <v>2327</v>
      </c>
      <c r="B220" s="262"/>
      <c r="C220" s="262"/>
      <c r="D220" s="262"/>
      <c r="E220" s="262"/>
      <c r="F220" s="262"/>
      <c r="G220" s="262"/>
      <c r="H220" s="262"/>
      <c r="I220" s="262"/>
      <c r="J220" s="182">
        <f ca="1">'RESSOURCES HUMAINES'!$J$8</f>
        <v>0</v>
      </c>
      <c r="K220" s="184" t="s">
        <v>2491</v>
      </c>
      <c r="L220" s="183"/>
      <c r="M220" s="183"/>
      <c r="N220" s="183"/>
    </row>
    <row r="221" spans="1:14" ht="15" customHeight="1">
      <c r="A221" s="316" t="s">
        <v>2328</v>
      </c>
      <c r="B221" s="262"/>
      <c r="C221" s="262"/>
      <c r="D221" s="262"/>
      <c r="E221" s="262"/>
      <c r="F221" s="262"/>
      <c r="G221" s="262"/>
      <c r="H221" s="262"/>
      <c r="I221" s="262"/>
      <c r="J221" s="181">
        <f ca="1">'RESSOURCES HUMAINES'!$K$8</f>
        <v>0</v>
      </c>
      <c r="K221" s="166" t="s">
        <v>2491</v>
      </c>
    </row>
    <row r="223" spans="1:14" ht="15" customHeight="1">
      <c r="A223" s="305" t="s">
        <v>2543</v>
      </c>
      <c r="B223" s="262"/>
      <c r="C223" s="262"/>
      <c r="D223" s="262"/>
      <c r="E223" s="262"/>
      <c r="F223" s="262"/>
      <c r="G223" s="262"/>
      <c r="H223" s="262"/>
      <c r="I223" s="262"/>
      <c r="J223" s="262"/>
      <c r="K223" s="262"/>
      <c r="L223" s="262"/>
      <c r="M223" s="262"/>
      <c r="N223" s="262"/>
    </row>
    <row r="225" spans="1:14" ht="19.5" customHeight="1">
      <c r="A225" s="314" t="s">
        <v>2544</v>
      </c>
      <c r="B225" s="262"/>
      <c r="C225" s="262"/>
      <c r="D225" s="262"/>
      <c r="E225" s="262"/>
      <c r="F225" s="262"/>
      <c r="G225" s="262"/>
      <c r="H225" s="262"/>
      <c r="I225" s="262"/>
      <c r="J225" s="262"/>
      <c r="K225" s="262"/>
      <c r="L225" s="262"/>
      <c r="M225" s="262"/>
      <c r="N225" s="262"/>
    </row>
    <row r="226" spans="1:14" ht="25.5" customHeight="1">
      <c r="A226" s="318" t="s">
        <v>1716</v>
      </c>
      <c r="B226" s="319"/>
      <c r="C226" s="319"/>
      <c r="D226" s="319"/>
      <c r="E226" s="319"/>
      <c r="F226" s="319"/>
      <c r="G226" s="319"/>
      <c r="H226" s="319"/>
      <c r="I226" s="320"/>
      <c r="J226" s="318" t="s">
        <v>1626</v>
      </c>
      <c r="K226" s="319"/>
      <c r="L226" s="319"/>
      <c r="M226" s="319"/>
      <c r="N226" s="320"/>
    </row>
    <row r="227" spans="1:14" ht="15" customHeight="1">
      <c r="A227" s="316" t="s">
        <v>1859</v>
      </c>
      <c r="B227" s="262"/>
      <c r="C227" s="262"/>
      <c r="D227" s="262"/>
      <c r="E227" s="262"/>
      <c r="F227" s="262"/>
      <c r="G227" s="262"/>
      <c r="H227" s="262"/>
      <c r="I227" s="262"/>
      <c r="J227" s="181">
        <f>PARTENAIRES!$A$8</f>
        <v>0</v>
      </c>
      <c r="K227" s="166" t="s">
        <v>2491</v>
      </c>
    </row>
    <row r="228" spans="1:14" ht="15" customHeight="1">
      <c r="A228" s="317" t="s">
        <v>2545</v>
      </c>
      <c r="B228" s="262"/>
      <c r="C228" s="262"/>
      <c r="D228" s="262"/>
      <c r="E228" s="262"/>
      <c r="F228" s="262"/>
      <c r="G228" s="262"/>
      <c r="H228" s="262"/>
      <c r="I228" s="262"/>
      <c r="J228" s="182">
        <f>PARTENAIRES!$B$8</f>
        <v>0</v>
      </c>
      <c r="K228" s="184" t="s">
        <v>2491</v>
      </c>
      <c r="L228" s="183"/>
      <c r="M228" s="183"/>
      <c r="N228" s="183"/>
    </row>
    <row r="229" spans="1:14" ht="15" customHeight="1">
      <c r="A229" s="316" t="s">
        <v>1860</v>
      </c>
      <c r="B229" s="262"/>
      <c r="C229" s="262"/>
      <c r="D229" s="262"/>
      <c r="E229" s="262"/>
      <c r="F229" s="262"/>
      <c r="G229" s="262"/>
      <c r="H229" s="262"/>
      <c r="I229" s="262"/>
      <c r="J229" s="181">
        <f>PARTENAIRES!$C$8</f>
        <v>0</v>
      </c>
      <c r="K229" s="166" t="s">
        <v>2491</v>
      </c>
    </row>
    <row r="230" spans="1:14" ht="15" customHeight="1">
      <c r="A230" s="317" t="s">
        <v>1861</v>
      </c>
      <c r="B230" s="262"/>
      <c r="C230" s="262"/>
      <c r="D230" s="262"/>
      <c r="E230" s="262"/>
      <c r="F230" s="262"/>
      <c r="G230" s="262"/>
      <c r="H230" s="262"/>
      <c r="I230" s="262"/>
      <c r="J230" s="182">
        <f>PARTENAIRES!$D$8</f>
        <v>0</v>
      </c>
      <c r="K230" s="184" t="s">
        <v>2491</v>
      </c>
      <c r="L230" s="183"/>
      <c r="M230" s="183"/>
      <c r="N230" s="183"/>
    </row>
    <row r="231" spans="1:14" ht="15" customHeight="1">
      <c r="A231" s="316" t="s">
        <v>2546</v>
      </c>
      <c r="B231" s="262"/>
      <c r="C231" s="262"/>
      <c r="D231" s="262"/>
      <c r="E231" s="262"/>
      <c r="F231" s="262"/>
      <c r="G231" s="262"/>
      <c r="H231" s="262"/>
      <c r="I231" s="262"/>
      <c r="J231" s="181">
        <f>PARTENAIRES!$E$8</f>
        <v>0</v>
      </c>
      <c r="K231" s="166" t="s">
        <v>2491</v>
      </c>
    </row>
    <row r="232" spans="1:14" ht="15" customHeight="1">
      <c r="A232" s="317" t="s">
        <v>2547</v>
      </c>
      <c r="B232" s="262"/>
      <c r="C232" s="262"/>
      <c r="D232" s="262"/>
      <c r="E232" s="262"/>
      <c r="F232" s="262"/>
      <c r="G232" s="262"/>
      <c r="H232" s="262"/>
      <c r="I232" s="262"/>
      <c r="J232" s="182">
        <f>PARTENAIRES!$F$8</f>
        <v>0</v>
      </c>
      <c r="K232" s="184" t="s">
        <v>2491</v>
      </c>
      <c r="L232" s="183"/>
      <c r="M232" s="183"/>
      <c r="N232" s="183"/>
    </row>
    <row r="233" spans="1:14" ht="15" customHeight="1">
      <c r="A233" s="316" t="s">
        <v>2548</v>
      </c>
      <c r="B233" s="262"/>
      <c r="C233" s="262"/>
      <c r="D233" s="262"/>
      <c r="E233" s="262"/>
      <c r="F233" s="262"/>
      <c r="G233" s="262"/>
      <c r="H233" s="262"/>
      <c r="I233" s="262"/>
      <c r="J233" s="181">
        <f>PARTENAIRES!$G$8</f>
        <v>0</v>
      </c>
      <c r="K233" s="166" t="s">
        <v>2491</v>
      </c>
    </row>
    <row r="234" spans="1:14" ht="15" customHeight="1">
      <c r="A234" s="317" t="s">
        <v>1865</v>
      </c>
      <c r="B234" s="262"/>
      <c r="C234" s="262"/>
      <c r="D234" s="262"/>
      <c r="E234" s="262"/>
      <c r="F234" s="262"/>
      <c r="G234" s="262"/>
      <c r="H234" s="262"/>
      <c r="I234" s="262"/>
      <c r="J234" s="182">
        <f>PARTENAIRES!$H$8</f>
        <v>0</v>
      </c>
      <c r="K234" s="184" t="s">
        <v>2491</v>
      </c>
      <c r="L234" s="183"/>
      <c r="M234" s="183"/>
      <c r="N234" s="183"/>
    </row>
    <row r="235" spans="1:14" ht="15" customHeight="1">
      <c r="A235" s="316" t="s">
        <v>1866</v>
      </c>
      <c r="B235" s="262"/>
      <c r="C235" s="262"/>
      <c r="D235" s="262"/>
      <c r="E235" s="262"/>
      <c r="F235" s="262"/>
      <c r="G235" s="262"/>
      <c r="H235" s="262"/>
      <c r="I235" s="262"/>
      <c r="J235" s="181">
        <f ca="1">PARTENAIRES!$I$8</f>
        <v>0</v>
      </c>
      <c r="K235" s="166" t="s">
        <v>2491</v>
      </c>
    </row>
    <row r="237" spans="1:14" ht="19.5" customHeight="1">
      <c r="A237" s="314" t="s">
        <v>2549</v>
      </c>
      <c r="B237" s="262"/>
      <c r="C237" s="262"/>
      <c r="D237" s="262"/>
      <c r="E237" s="262"/>
      <c r="F237" s="262"/>
      <c r="G237" s="262"/>
      <c r="H237" s="262"/>
      <c r="I237" s="262"/>
      <c r="J237" s="262"/>
      <c r="K237" s="262"/>
      <c r="L237" s="262"/>
      <c r="M237" s="262"/>
      <c r="N237" s="262"/>
    </row>
    <row r="238" spans="1:14" ht="25.5" customHeight="1">
      <c r="A238" s="318" t="s">
        <v>1716</v>
      </c>
      <c r="B238" s="319"/>
      <c r="C238" s="319"/>
      <c r="D238" s="319"/>
      <c r="E238" s="319"/>
      <c r="F238" s="319"/>
      <c r="G238" s="319"/>
      <c r="H238" s="319"/>
      <c r="I238" s="320"/>
      <c r="J238" s="318" t="s">
        <v>1626</v>
      </c>
      <c r="K238" s="319"/>
      <c r="L238" s="319"/>
      <c r="M238" s="319"/>
      <c r="N238" s="320"/>
    </row>
    <row r="239" spans="1:14" ht="15" customHeight="1">
      <c r="A239" s="316" t="s">
        <v>2417</v>
      </c>
      <c r="B239" s="262"/>
      <c r="C239" s="262"/>
      <c r="D239" s="262"/>
      <c r="E239" s="262"/>
      <c r="F239" s="262"/>
      <c r="G239" s="262"/>
      <c r="H239" s="262"/>
      <c r="I239" s="262"/>
      <c r="J239" s="181">
        <f>'SUIVI-EVALUATION'!$A$8</f>
        <v>0</v>
      </c>
      <c r="K239" s="166" t="s">
        <v>2491</v>
      </c>
    </row>
    <row r="240" spans="1:14" ht="15" customHeight="1">
      <c r="A240" s="317" t="s">
        <v>2418</v>
      </c>
      <c r="B240" s="262"/>
      <c r="C240" s="262"/>
      <c r="D240" s="262"/>
      <c r="E240" s="262"/>
      <c r="F240" s="262"/>
      <c r="G240" s="262"/>
      <c r="H240" s="262"/>
      <c r="I240" s="262"/>
      <c r="J240" s="182">
        <f>'SUIVI-EVALUATION'!$B$8</f>
        <v>0</v>
      </c>
      <c r="K240" s="184" t="s">
        <v>2491</v>
      </c>
      <c r="L240" s="183"/>
      <c r="M240" s="183"/>
      <c r="N240" s="183"/>
    </row>
    <row r="241" spans="1:14" ht="15" customHeight="1">
      <c r="A241" s="316" t="s">
        <v>2419</v>
      </c>
      <c r="B241" s="262"/>
      <c r="C241" s="262"/>
      <c r="D241" s="262"/>
      <c r="E241" s="262"/>
      <c r="F241" s="262"/>
      <c r="G241" s="262"/>
      <c r="H241" s="262"/>
      <c r="I241" s="262"/>
      <c r="J241" s="181">
        <f>'SUIVI-EVALUATION'!$C$8</f>
        <v>0</v>
      </c>
      <c r="K241" s="166" t="s">
        <v>2491</v>
      </c>
    </row>
    <row r="242" spans="1:14" ht="15" customHeight="1">
      <c r="A242" s="317" t="s">
        <v>2420</v>
      </c>
      <c r="B242" s="262"/>
      <c r="C242" s="262"/>
      <c r="D242" s="262"/>
      <c r="E242" s="262"/>
      <c r="F242" s="262"/>
      <c r="G242" s="262"/>
      <c r="H242" s="262"/>
      <c r="I242" s="262"/>
      <c r="J242" s="182">
        <f>IF($C$6="Total",COUNTIFS('SUIVI-EVALUATION'!$A$55:$A$104,"IND*",'SUIVI-EVALUATION'!$AD$55:$AD$104,"&gt;=1"),COUNTIFS('SUIVI-EVALUATION'!$A$55:$A$104,"IND*",'SUIVI-EVALUATION'!$AD$55:$AD$104,"&gt;=1",'SUIVI-EVALUATION'!$AB$55:$AB$104,"&gt;="&amp;DATE(VALUE($C$6),1,1),'SUIVI-EVALUATION'!$AB$55:$AB$104,"&lt;"&amp;DATE(VALUE($C$6)+1,1,1)))</f>
        <v>0</v>
      </c>
      <c r="K242" s="183"/>
      <c r="L242" s="183"/>
      <c r="M242" s="183"/>
      <c r="N242" s="183"/>
    </row>
    <row r="243" spans="1:14" ht="15" customHeight="1">
      <c r="A243" s="316" t="s">
        <v>2421</v>
      </c>
      <c r="B243" s="262"/>
      <c r="C243" s="262"/>
      <c r="D243" s="262"/>
      <c r="E243" s="262"/>
      <c r="F243" s="262"/>
      <c r="G243" s="262"/>
      <c r="H243" s="262"/>
      <c r="I243" s="262"/>
      <c r="J243" s="181">
        <f>IF($C$6="Total",COUNTIFS('SUIVI-EVALUATION'!$A$55:$A$104,"IND*",'SUIVI-EVALUATION'!$AD$55:$AD$104,"&lt;1",'SUIVI-EVALUATION'!$AD$55:$AD$104,"&lt;&gt;"),COUNTIFS('SUIVI-EVALUATION'!$A$55:$A$104,"IND*",'SUIVI-EVALUATION'!$AD$55:$AD$104,"&lt;1",'SUIVI-EVALUATION'!$AD$55:$AD$104,"&lt;&gt;",'SUIVI-EVALUATION'!$AB$55:$AB$104,"&gt;="&amp;DATE(VALUE($C$6),1,1),'SUIVI-EVALUATION'!$AB$55:$AB$104,"&lt;"&amp;DATE(VALUE($C$6)+1,1,1)))</f>
        <v>0</v>
      </c>
    </row>
    <row r="244" spans="1:14" ht="15" customHeight="1">
      <c r="A244" s="317" t="s">
        <v>2422</v>
      </c>
      <c r="B244" s="262"/>
      <c r="C244" s="262"/>
      <c r="D244" s="262"/>
      <c r="E244" s="262"/>
      <c r="F244" s="262"/>
      <c r="G244" s="262"/>
      <c r="H244" s="262"/>
      <c r="I244" s="262"/>
      <c r="J244" s="187">
        <f>'SUIVI-EVALUATION'!$F$8</f>
        <v>0</v>
      </c>
      <c r="K244" s="184" t="s">
        <v>2491</v>
      </c>
      <c r="L244" s="183"/>
      <c r="M244" s="183"/>
      <c r="N244" s="183"/>
    </row>
    <row r="245" spans="1:14" ht="15" customHeight="1">
      <c r="A245" s="316" t="s">
        <v>2423</v>
      </c>
      <c r="B245" s="262"/>
      <c r="C245" s="262"/>
      <c r="D245" s="262"/>
      <c r="E245" s="262"/>
      <c r="F245" s="262"/>
      <c r="G245" s="262"/>
      <c r="H245" s="262"/>
      <c r="I245" s="262"/>
      <c r="J245" s="181">
        <f>'SUIVI-EVALUATION'!$G$8</f>
        <v>0</v>
      </c>
      <c r="K245" s="166" t="s">
        <v>2491</v>
      </c>
    </row>
    <row r="246" spans="1:14" ht="15" customHeight="1">
      <c r="A246" s="317" t="s">
        <v>2424</v>
      </c>
      <c r="B246" s="262"/>
      <c r="C246" s="262"/>
      <c r="D246" s="262"/>
      <c r="E246" s="262"/>
      <c r="F246" s="262"/>
      <c r="G246" s="262"/>
      <c r="H246" s="262"/>
      <c r="I246" s="262"/>
      <c r="J246" s="182">
        <f>'SUIVI-EVALUATION'!$H$8</f>
        <v>0</v>
      </c>
      <c r="K246" s="184" t="s">
        <v>2491</v>
      </c>
      <c r="L246" s="183"/>
      <c r="M246" s="183"/>
      <c r="N246" s="183"/>
    </row>
    <row r="247" spans="1:14" ht="15" customHeight="1">
      <c r="A247" s="316" t="s">
        <v>2425</v>
      </c>
      <c r="B247" s="262"/>
      <c r="C247" s="262"/>
      <c r="D247" s="262"/>
      <c r="E247" s="262"/>
      <c r="F247" s="262"/>
      <c r="G247" s="262"/>
      <c r="H247" s="262"/>
      <c r="I247" s="262"/>
      <c r="J247" s="188">
        <f>'SUIVI-EVALUATION'!$I$8</f>
        <v>0</v>
      </c>
      <c r="K247" s="166" t="s">
        <v>2491</v>
      </c>
    </row>
    <row r="248" spans="1:14" ht="15" customHeight="1">
      <c r="A248" s="317" t="s">
        <v>2550</v>
      </c>
      <c r="B248" s="262"/>
      <c r="C248" s="262"/>
      <c r="D248" s="262"/>
      <c r="E248" s="262"/>
      <c r="F248" s="262"/>
      <c r="G248" s="262"/>
      <c r="H248" s="262"/>
      <c r="I248" s="262"/>
      <c r="J248" s="182">
        <f>'SUIVI-EVALUATION'!$J$8</f>
        <v>0</v>
      </c>
      <c r="K248" s="184" t="s">
        <v>2491</v>
      </c>
      <c r="L248" s="183"/>
      <c r="M248" s="183"/>
      <c r="N248" s="183"/>
    </row>
    <row r="249" spans="1:14" ht="15" customHeight="1">
      <c r="A249" s="316" t="s">
        <v>2427</v>
      </c>
      <c r="B249" s="262"/>
      <c r="C249" s="262"/>
      <c r="D249" s="262"/>
      <c r="E249" s="262"/>
      <c r="F249" s="262"/>
      <c r="G249" s="262"/>
      <c r="H249" s="262"/>
      <c r="I249" s="262"/>
      <c r="J249" s="181">
        <f>'SUIVI-EVALUATION'!$K$8</f>
        <v>0</v>
      </c>
      <c r="K249" s="166" t="s">
        <v>2491</v>
      </c>
    </row>
    <row r="251" spans="1:14" ht="19.5" customHeight="1">
      <c r="A251" s="314" t="s">
        <v>2551</v>
      </c>
      <c r="B251" s="262"/>
      <c r="C251" s="262"/>
      <c r="D251" s="262"/>
      <c r="E251" s="262"/>
      <c r="F251" s="262"/>
      <c r="G251" s="262"/>
      <c r="H251" s="262"/>
      <c r="I251" s="262"/>
      <c r="J251" s="262"/>
      <c r="K251" s="262"/>
      <c r="L251" s="262"/>
      <c r="M251" s="262"/>
      <c r="N251" s="262"/>
    </row>
    <row r="252" spans="1:14" ht="25.5" customHeight="1">
      <c r="A252" s="180" t="s">
        <v>1400</v>
      </c>
      <c r="B252" s="180" t="s">
        <v>6</v>
      </c>
      <c r="C252" s="180" t="s">
        <v>2552</v>
      </c>
      <c r="D252" s="180" t="s">
        <v>2540</v>
      </c>
      <c r="E252" s="180" t="s">
        <v>1673</v>
      </c>
      <c r="F252" s="180" t="s">
        <v>2268</v>
      </c>
    </row>
    <row r="253" spans="1:14" ht="15" customHeight="1">
      <c r="A253" s="192" t="str">
        <f>IFERROR(INDEX(tbl_Domaines[Libelle],1),"")</f>
        <v>Education</v>
      </c>
      <c r="B253" s="200">
        <f>IF($A$253="","",COUNTIFS(PROJETS!$A$56:$A$95,"PROJ*",PROJETS!$J$56:$J$95,$A$253))</f>
        <v>1</v>
      </c>
      <c r="C253" s="200">
        <f>IF($A$253="","",COUNTIFS(ACTIVITES!$A$56:$A$105,"ACT*",ACTIVITES!$E$56:$E$105,$A$253))</f>
        <v>1</v>
      </c>
      <c r="D253" s="200">
        <f>IF($A$253="","",COUNTIFS(BENEFICIAIRES!$A$56:$A$115,"BEN*",BENEFICIAIRES!$BA$56:$BA$115,$A$253))</f>
        <v>1</v>
      </c>
      <c r="E253" s="193">
        <f>IF($A$253="","",SUMIFS(tbl_Budget[Budget de reference (FCFA)],tbl_Budget[Domaine],$A$253))</f>
        <v>0</v>
      </c>
      <c r="F253" s="193">
        <f>IF($A$253="","",SUMIFS(DEPENSES!$AG$119:$AG$168,DEPENSES!$G$119:$G$168,$A$253))</f>
        <v>29999</v>
      </c>
    </row>
    <row r="254" spans="1:14" ht="15" customHeight="1">
      <c r="A254" s="189" t="str">
        <f>IFERROR(INDEX(tbl_Domaines[Libelle],2),"")</f>
        <v>Formation professionnelle</v>
      </c>
      <c r="B254" s="198">
        <f>IF($A$254="","",COUNTIFS(PROJETS!$A$56:$A$95,"PROJ*",PROJETS!$J$56:$J$95,$A$254))</f>
        <v>0</v>
      </c>
      <c r="C254" s="198">
        <f>IF($A$254="","",COUNTIFS(ACTIVITES!$A$56:$A$105,"ACT*",ACTIVITES!$E$56:$E$105,$A$254))</f>
        <v>0</v>
      </c>
      <c r="D254" s="198">
        <f>IF($A$254="","",COUNTIFS(BENEFICIAIRES!$A$56:$A$115,"BEN*",BENEFICIAIRES!$BA$56:$BA$115,$A$254))</f>
        <v>0</v>
      </c>
      <c r="E254" s="190">
        <f>IF($A$254="","",SUMIFS(tbl_Budget[Budget de reference (FCFA)],tbl_Budget[Domaine],$A$254))</f>
        <v>0</v>
      </c>
      <c r="F254" s="190">
        <f>IF($A$254="","",SUMIFS(DEPENSES!$AG$119:$AG$168,DEPENSES!$G$119:$G$168,$A$254))</f>
        <v>0</v>
      </c>
    </row>
    <row r="255" spans="1:14" ht="15" customHeight="1">
      <c r="A255" s="192" t="str">
        <f>IFERROR(INDEX(tbl_Domaines[Libelle],3),"")</f>
        <v>Entrepreneuriat</v>
      </c>
      <c r="B255" s="200">
        <f>IF($A$255="","",COUNTIFS(PROJETS!$A$56:$A$95,"PROJ*",PROJETS!$J$56:$J$95,$A$255))</f>
        <v>0</v>
      </c>
      <c r="C255" s="200">
        <f>IF($A$255="","",COUNTIFS(ACTIVITES!$A$56:$A$105,"ACT*",ACTIVITES!$E$56:$E$105,$A$255))</f>
        <v>0</v>
      </c>
      <c r="D255" s="200">
        <f>IF($A$255="","",COUNTIFS(BENEFICIAIRES!$A$56:$A$115,"BEN*",BENEFICIAIRES!$BA$56:$BA$115,$A$255))</f>
        <v>0</v>
      </c>
      <c r="E255" s="193">
        <f>IF($A$255="","",SUMIFS(tbl_Budget[Budget de reference (FCFA)],tbl_Budget[Domaine],$A$255))</f>
        <v>0</v>
      </c>
      <c r="F255" s="193">
        <f>IF($A$255="","",SUMIFS(DEPENSES!$AG$119:$AG$168,DEPENSES!$G$119:$G$168,$A$255))</f>
        <v>0</v>
      </c>
    </row>
    <row r="256" spans="1:14" ht="15" customHeight="1">
      <c r="A256" s="189" t="str">
        <f>IFERROR(INDEX(tbl_Domaines[Libelle],4),"")</f>
        <v>Culture</v>
      </c>
      <c r="B256" s="198">
        <f>IF($A$256="","",COUNTIFS(PROJETS!$A$56:$A$95,"PROJ*",PROJETS!$J$56:$J$95,$A$256))</f>
        <v>0</v>
      </c>
      <c r="C256" s="198">
        <f>IF($A$256="","",COUNTIFS(ACTIVITES!$A$56:$A$105,"ACT*",ACTIVITES!$E$56:$E$105,$A$256))</f>
        <v>0</v>
      </c>
      <c r="D256" s="198">
        <f>IF($A$256="","",COUNTIFS(BENEFICIAIRES!$A$56:$A$115,"BEN*",BENEFICIAIRES!$BA$56:$BA$115,$A$256))</f>
        <v>0</v>
      </c>
      <c r="E256" s="190">
        <f>IF($A$256="","",SUMIFS(tbl_Budget[Budget de reference (FCFA)],tbl_Budget[Domaine],$A$256))</f>
        <v>0</v>
      </c>
      <c r="F256" s="190">
        <f>IF($A$256="","",SUMIFS(DEPENSES!$AG$119:$AG$168,DEPENSES!$G$119:$G$168,$A$256))</f>
        <v>0</v>
      </c>
    </row>
    <row r="257" spans="1:14" ht="15" customHeight="1">
      <c r="A257" s="192" t="str">
        <f>IFERROR(INDEX(tbl_Domaines[Libelle],5),"")</f>
        <v>Environnement</v>
      </c>
      <c r="B257" s="200">
        <f>IF($A$257="","",COUNTIFS(PROJETS!$A$56:$A$95,"PROJ*",PROJETS!$J$56:$J$95,$A$257))</f>
        <v>0</v>
      </c>
      <c r="C257" s="200">
        <f>IF($A$257="","",COUNTIFS(ACTIVITES!$A$56:$A$105,"ACT*",ACTIVITES!$E$56:$E$105,$A$257))</f>
        <v>0</v>
      </c>
      <c r="D257" s="200">
        <f>IF($A$257="","",COUNTIFS(BENEFICIAIRES!$A$56:$A$115,"BEN*",BENEFICIAIRES!$BA$56:$BA$115,$A$257))</f>
        <v>0</v>
      </c>
      <c r="E257" s="193">
        <f>IF($A$257="","",SUMIFS(tbl_Budget[Budget de reference (FCFA)],tbl_Budget[Domaine],$A$257))</f>
        <v>0</v>
      </c>
      <c r="F257" s="193">
        <f>IF($A$257="","",SUMIFS(DEPENSES!$AG$119:$AG$168,DEPENSES!$G$119:$G$168,$A$257))</f>
        <v>0</v>
      </c>
    </row>
    <row r="258" spans="1:14" ht="15" customHeight="1">
      <c r="A258" s="189" t="str">
        <f>IFERROR(INDEX(tbl_Domaines[Libelle],6),"")</f>
        <v>Sante</v>
      </c>
      <c r="B258" s="198">
        <f>IF($A$258="","",COUNTIFS(PROJETS!$A$56:$A$95,"PROJ*",PROJETS!$J$56:$J$95,$A$258))</f>
        <v>0</v>
      </c>
      <c r="C258" s="198">
        <f>IF($A$258="","",COUNTIFS(ACTIVITES!$A$56:$A$105,"ACT*",ACTIVITES!$E$56:$E$105,$A$258))</f>
        <v>0</v>
      </c>
      <c r="D258" s="198">
        <f>IF($A$258="","",COUNTIFS(BENEFICIAIRES!$A$56:$A$115,"BEN*",BENEFICIAIRES!$BA$56:$BA$115,$A$258))</f>
        <v>0</v>
      </c>
      <c r="E258" s="190">
        <f>IF($A$258="","",SUMIFS(tbl_Budget[Budget de reference (FCFA)],tbl_Budget[Domaine],$A$258))</f>
        <v>0</v>
      </c>
      <c r="F258" s="190">
        <f>IF($A$258="","",SUMIFS(DEPENSES!$AG$119:$AG$168,DEPENSES!$G$119:$G$168,$A$258))</f>
        <v>0</v>
      </c>
    </row>
    <row r="259" spans="1:14" ht="15" customHeight="1">
      <c r="A259" s="192" t="str">
        <f>IFERROR(INDEX(tbl_Domaines[Libelle],7),"")</f>
        <v>Genre</v>
      </c>
      <c r="B259" s="200">
        <f>IF($A$259="","",COUNTIFS(PROJETS!$A$56:$A$95,"PROJ*",PROJETS!$J$56:$J$95,$A$259))</f>
        <v>0</v>
      </c>
      <c r="C259" s="200">
        <f>IF($A$259="","",COUNTIFS(ACTIVITES!$A$56:$A$105,"ACT*",ACTIVITES!$E$56:$E$105,$A$259))</f>
        <v>0</v>
      </c>
      <c r="D259" s="200">
        <f>IF($A$259="","",COUNTIFS(BENEFICIAIRES!$A$56:$A$115,"BEN*",BENEFICIAIRES!$BA$56:$BA$115,$A$259))</f>
        <v>0</v>
      </c>
      <c r="E259" s="193">
        <f>IF($A$259="","",SUMIFS(tbl_Budget[Budget de reference (FCFA)],tbl_Budget[Domaine],$A$259))</f>
        <v>0</v>
      </c>
      <c r="F259" s="193">
        <f>IF($A$259="","",SUMIFS(DEPENSES!$AG$119:$AG$168,DEPENSES!$G$119:$G$168,$A$259))</f>
        <v>0</v>
      </c>
    </row>
    <row r="260" spans="1:14" ht="15" customHeight="1">
      <c r="A260" s="189" t="str">
        <f>IFERROR(INDEX(tbl_Domaines[Libelle],8),"")</f>
        <v>Tourisme</v>
      </c>
      <c r="B260" s="198">
        <f>IF($A$260="","",COUNTIFS(PROJETS!$A$56:$A$95,"PROJ*",PROJETS!$J$56:$J$95,$A$260))</f>
        <v>0</v>
      </c>
      <c r="C260" s="198">
        <f>IF($A$260="","",COUNTIFS(ACTIVITES!$A$56:$A$105,"ACT*",ACTIVITES!$E$56:$E$105,$A$260))</f>
        <v>0</v>
      </c>
      <c r="D260" s="198">
        <f>IF($A$260="","",COUNTIFS(BENEFICIAIRES!$A$56:$A$115,"BEN*",BENEFICIAIRES!$BA$56:$BA$115,$A$260))</f>
        <v>0</v>
      </c>
      <c r="E260" s="190">
        <f>IF($A$260="","",SUMIFS(tbl_Budget[Budget de reference (FCFA)],tbl_Budget[Domaine],$A$260))</f>
        <v>0</v>
      </c>
      <c r="F260" s="190">
        <f>IF($A$260="","",SUMIFS(DEPENSES!$AG$119:$AG$168,DEPENSES!$G$119:$G$168,$A$260))</f>
        <v>0</v>
      </c>
    </row>
    <row r="261" spans="1:14" ht="15" customHeight="1">
      <c r="A261" s="192" t="str">
        <f>IFERROR(INDEX(tbl_Domaines[Libelle],9),"")</f>
        <v>Sport</v>
      </c>
      <c r="B261" s="200">
        <f>IF($A$261="","",COUNTIFS(PROJETS!$A$56:$A$95,"PROJ*",PROJETS!$J$56:$J$95,$A$261))</f>
        <v>0</v>
      </c>
      <c r="C261" s="200">
        <f>IF($A$261="","",COUNTIFS(ACTIVITES!$A$56:$A$105,"ACT*",ACTIVITES!$E$56:$E$105,$A$261))</f>
        <v>0</v>
      </c>
      <c r="D261" s="200">
        <f>IF($A$261="","",COUNTIFS(BENEFICIAIRES!$A$56:$A$115,"BEN*",BENEFICIAIRES!$BA$56:$BA$115,$A$261))</f>
        <v>0</v>
      </c>
      <c r="E261" s="193">
        <f>IF($A$261="","",SUMIFS(tbl_Budget[Budget de reference (FCFA)],tbl_Budget[Domaine],$A$261))</f>
        <v>0</v>
      </c>
      <c r="F261" s="193">
        <f>IF($A$261="","",SUMIFS(DEPENSES!$AG$119:$AG$168,DEPENSES!$G$119:$G$168,$A$261))</f>
        <v>0</v>
      </c>
    </row>
    <row r="262" spans="1:14" ht="15" customHeight="1">
      <c r="A262" s="189" t="str">
        <f>IFERROR(INDEX(tbl_Domaines[Libelle],10),"")</f>
        <v>Agriculture et developpement rural</v>
      </c>
      <c r="B262" s="198">
        <f>IF($A$262="","",COUNTIFS(PROJETS!$A$56:$A$95,"PROJ*",PROJETS!$J$56:$J$95,$A$262))</f>
        <v>0</v>
      </c>
      <c r="C262" s="198">
        <f>IF($A$262="","",COUNTIFS(ACTIVITES!$A$56:$A$105,"ACT*",ACTIVITES!$E$56:$E$105,$A$262))</f>
        <v>0</v>
      </c>
      <c r="D262" s="198">
        <f>IF($A$262="","",COUNTIFS(BENEFICIAIRES!$A$56:$A$115,"BEN*",BENEFICIAIRES!$BA$56:$BA$115,$A$262))</f>
        <v>0</v>
      </c>
      <c r="E262" s="190">
        <f>IF($A$262="","",SUMIFS(tbl_Budget[Budget de reference (FCFA)],tbl_Budget[Domaine],$A$262))</f>
        <v>0</v>
      </c>
      <c r="F262" s="190">
        <f>IF($A$262="","",SUMIFS(DEPENSES!$AG$119:$AG$168,DEPENSES!$G$119:$G$168,$A$262))</f>
        <v>0</v>
      </c>
    </row>
    <row r="263" spans="1:14" ht="15" customHeight="1">
      <c r="A263" s="192" t="str">
        <f>IFERROR(INDEX(tbl_Domaines[Libelle],11),"")</f>
        <v>Elevage</v>
      </c>
      <c r="B263" s="200">
        <f>IF($A$263="","",COUNTIFS(PROJETS!$A$56:$A$95,"PROJ*",PROJETS!$J$56:$J$95,$A$263))</f>
        <v>0</v>
      </c>
      <c r="C263" s="200">
        <f>IF($A$263="","",COUNTIFS(ACTIVITES!$A$56:$A$105,"ACT*",ACTIVITES!$E$56:$E$105,$A$263))</f>
        <v>0</v>
      </c>
      <c r="D263" s="200">
        <f>IF($A$263="","",COUNTIFS(BENEFICIAIRES!$A$56:$A$115,"BEN*",BENEFICIAIRES!$BA$56:$BA$115,$A$263))</f>
        <v>0</v>
      </c>
      <c r="E263" s="193">
        <f>IF($A$263="","",SUMIFS(tbl_Budget[Budget de reference (FCFA)],tbl_Budget[Domaine],$A$263))</f>
        <v>0</v>
      </c>
      <c r="F263" s="193">
        <f>IF($A$263="","",SUMIFS(DEPENSES!$AG$119:$AG$168,DEPENSES!$G$119:$G$168,$A$263))</f>
        <v>0</v>
      </c>
    </row>
    <row r="264" spans="1:14" ht="15" customHeight="1">
      <c r="A264" s="189" t="str">
        <f>IFERROR(INDEX(tbl_Domaines[Libelle],12),"")</f>
        <v>Peche et aquaculture</v>
      </c>
      <c r="B264" s="198">
        <f>IF($A$264="","",COUNTIFS(PROJETS!$A$56:$A$95,"PROJ*",PROJETS!$J$56:$J$95,$A$264))</f>
        <v>0</v>
      </c>
      <c r="C264" s="198">
        <f>IF($A$264="","",COUNTIFS(ACTIVITES!$A$56:$A$105,"ACT*",ACTIVITES!$E$56:$E$105,$A$264))</f>
        <v>0</v>
      </c>
      <c r="D264" s="198">
        <f>IF($A$264="","",COUNTIFS(BENEFICIAIRES!$A$56:$A$115,"BEN*",BENEFICIAIRES!$BA$56:$BA$115,$A$264))</f>
        <v>0</v>
      </c>
      <c r="E264" s="190">
        <f>IF($A$264="","",SUMIFS(tbl_Budget[Budget de reference (FCFA)],tbl_Budget[Domaine],$A$264))</f>
        <v>0</v>
      </c>
      <c r="F264" s="190">
        <f>IF($A$264="","",SUMIFS(DEPENSES!$AG$119:$AG$168,DEPENSES!$G$119:$G$168,$A$264))</f>
        <v>0</v>
      </c>
    </row>
    <row r="265" spans="1:14" ht="15" customHeight="1">
      <c r="A265" s="192" t="str">
        <f>IFERROR(INDEX(tbl_Domaines[Libelle],13),"")</f>
        <v>Securite alimentaire et nutrition</v>
      </c>
      <c r="B265" s="200">
        <f>IF($A$265="","",COUNTIFS(PROJETS!$A$56:$A$95,"PROJ*",PROJETS!$J$56:$J$95,$A$265))</f>
        <v>0</v>
      </c>
      <c r="C265" s="200">
        <f>IF($A$265="","",COUNTIFS(ACTIVITES!$A$56:$A$105,"ACT*",ACTIVITES!$E$56:$E$105,$A$265))</f>
        <v>0</v>
      </c>
      <c r="D265" s="200">
        <f>IF($A$265="","",COUNTIFS(BENEFICIAIRES!$A$56:$A$115,"BEN*",BENEFICIAIRES!$BA$56:$BA$115,$A$265))</f>
        <v>0</v>
      </c>
      <c r="E265" s="193">
        <f>IF($A$265="","",SUMIFS(tbl_Budget[Budget de reference (FCFA)],tbl_Budget[Domaine],$A$265))</f>
        <v>0</v>
      </c>
      <c r="F265" s="193">
        <f>IF($A$265="","",SUMIFS(DEPENSES!$AG$119:$AG$168,DEPENSES!$G$119:$G$168,$A$265))</f>
        <v>0</v>
      </c>
    </row>
    <row r="266" spans="1:14" ht="15" customHeight="1">
      <c r="A266" s="189" t="str">
        <f>IFERROR(INDEX(tbl_Domaines[Libelle],14),"")</f>
        <v>Eau, hygiene et assainissement</v>
      </c>
      <c r="B266" s="198">
        <f>IF($A$266="","",COUNTIFS(PROJETS!$A$56:$A$95,"PROJ*",PROJETS!$J$56:$J$95,$A$266))</f>
        <v>0</v>
      </c>
      <c r="C266" s="198">
        <f>IF($A$266="","",COUNTIFS(ACTIVITES!$A$56:$A$105,"ACT*",ACTIVITES!$E$56:$E$105,$A$266))</f>
        <v>0</v>
      </c>
      <c r="D266" s="198">
        <f>IF($A$266="","",COUNTIFS(BENEFICIAIRES!$A$56:$A$115,"BEN*",BENEFICIAIRES!$BA$56:$BA$115,$A$266))</f>
        <v>0</v>
      </c>
      <c r="E266" s="190">
        <f>IF($A$266="","",SUMIFS(tbl_Budget[Budget de reference (FCFA)],tbl_Budget[Domaine],$A$266))</f>
        <v>0</v>
      </c>
      <c r="F266" s="190">
        <f>IF($A$266="","",SUMIFS(DEPENSES!$AG$119:$AG$168,DEPENSES!$G$119:$G$168,$A$266))</f>
        <v>0</v>
      </c>
    </row>
    <row r="267" spans="1:14" ht="15" customHeight="1">
      <c r="A267" s="192" t="str">
        <f>IFERROR(INDEX(tbl_Domaines[Libelle],15),"")</f>
        <v>Protection sociale</v>
      </c>
      <c r="B267" s="200">
        <f>IF($A$267="","",COUNTIFS(PROJETS!$A$56:$A$95,"PROJ*",PROJETS!$J$56:$J$95,$A$267))</f>
        <v>0</v>
      </c>
      <c r="C267" s="200">
        <f>IF($A$267="","",COUNTIFS(ACTIVITES!$A$56:$A$105,"ACT*",ACTIVITES!$E$56:$E$105,$A$267))</f>
        <v>0</v>
      </c>
      <c r="D267" s="200">
        <f>IF($A$267="","",COUNTIFS(BENEFICIAIRES!$A$56:$A$115,"BEN*",BENEFICIAIRES!$BA$56:$BA$115,$A$267))</f>
        <v>0</v>
      </c>
      <c r="E267" s="193">
        <f>IF($A$267="","",SUMIFS(tbl_Budget[Budget de reference (FCFA)],tbl_Budget[Domaine],$A$267))</f>
        <v>0</v>
      </c>
      <c r="F267" s="193">
        <f>IF($A$267="","",SUMIFS(DEPENSES!$AG$119:$AG$168,DEPENSES!$G$119:$G$168,$A$267))</f>
        <v>0</v>
      </c>
    </row>
    <row r="269" spans="1:14" ht="19.5" customHeight="1">
      <c r="A269" s="314" t="s">
        <v>2553</v>
      </c>
      <c r="B269" s="262"/>
      <c r="C269" s="262"/>
      <c r="D269" s="262"/>
      <c r="E269" s="262"/>
      <c r="F269" s="262"/>
      <c r="G269" s="262"/>
      <c r="H269" s="262"/>
      <c r="I269" s="262"/>
      <c r="J269" s="262"/>
      <c r="K269" s="262"/>
      <c r="L269" s="262"/>
      <c r="M269" s="262"/>
      <c r="N269" s="262"/>
    </row>
    <row r="270" spans="1:14" ht="25.5" customHeight="1">
      <c r="A270" s="318" t="s">
        <v>1716</v>
      </c>
      <c r="B270" s="319"/>
      <c r="C270" s="319"/>
      <c r="D270" s="319"/>
      <c r="E270" s="319"/>
      <c r="F270" s="319"/>
      <c r="G270" s="319"/>
      <c r="H270" s="319"/>
      <c r="I270" s="320"/>
      <c r="J270" s="318" t="s">
        <v>1626</v>
      </c>
      <c r="K270" s="319"/>
      <c r="L270" s="319"/>
      <c r="M270" s="319"/>
      <c r="N270" s="320"/>
    </row>
    <row r="271" spans="1:14" ht="15" customHeight="1">
      <c r="A271" s="316" t="s">
        <v>1808</v>
      </c>
      <c r="B271" s="262"/>
      <c r="C271" s="262"/>
      <c r="D271" s="262"/>
      <c r="E271" s="262"/>
      <c r="F271" s="262"/>
      <c r="G271" s="262"/>
      <c r="H271" s="262"/>
      <c r="I271" s="262"/>
      <c r="J271" s="188">
        <f>IFERROR(DEPENSES!$A$8/BUDGET!$B$8,0)</f>
        <v>0</v>
      </c>
    </row>
    <row r="272" spans="1:14" ht="15" customHeight="1">
      <c r="A272" s="317" t="s">
        <v>2528</v>
      </c>
      <c r="B272" s="262"/>
      <c r="C272" s="262"/>
      <c r="D272" s="262"/>
      <c r="E272" s="262"/>
      <c r="F272" s="262"/>
      <c r="G272" s="262"/>
      <c r="H272" s="262"/>
      <c r="I272" s="262"/>
      <c r="J272" s="187">
        <f>ACTIVITES!$G$8</f>
        <v>0</v>
      </c>
      <c r="K272" s="184" t="s">
        <v>2491</v>
      </c>
      <c r="L272" s="183"/>
      <c r="M272" s="183"/>
      <c r="N272" s="183"/>
    </row>
    <row r="273" spans="1:14" ht="15" customHeight="1">
      <c r="A273" s="316" t="s">
        <v>2554</v>
      </c>
      <c r="B273" s="262"/>
      <c r="C273" s="262"/>
      <c r="D273" s="262"/>
      <c r="E273" s="262"/>
      <c r="F273" s="262"/>
      <c r="G273" s="262"/>
      <c r="H273" s="262"/>
      <c r="I273" s="262"/>
      <c r="J273" s="188">
        <f>'SUIVI-EVALUATION'!$F$8</f>
        <v>0</v>
      </c>
      <c r="K273" s="166" t="s">
        <v>2491</v>
      </c>
    </row>
    <row r="274" spans="1:14" ht="15" customHeight="1">
      <c r="A274" s="317" t="s">
        <v>2555</v>
      </c>
      <c r="B274" s="262"/>
      <c r="C274" s="262"/>
      <c r="D274" s="262"/>
      <c r="E274" s="262"/>
      <c r="F274" s="262"/>
      <c r="G274" s="262"/>
      <c r="H274" s="262"/>
      <c r="I274" s="262"/>
      <c r="J274" s="187">
        <f>'SUIVI-EVALUATION'!$I$8</f>
        <v>0</v>
      </c>
      <c r="K274" s="184" t="s">
        <v>2491</v>
      </c>
      <c r="L274" s="183"/>
      <c r="M274" s="183"/>
      <c r="N274" s="183"/>
    </row>
    <row r="275" spans="1:14" ht="15" customHeight="1">
      <c r="A275" s="316" t="s">
        <v>2556</v>
      </c>
      <c r="B275" s="262"/>
      <c r="C275" s="262"/>
      <c r="D275" s="262"/>
      <c r="E275" s="262"/>
      <c r="F275" s="262"/>
      <c r="G275" s="262"/>
      <c r="H275" s="262"/>
      <c r="I275" s="262"/>
      <c r="J275" s="188">
        <f>DONATEURS!$J$8</f>
        <v>0</v>
      </c>
      <c r="K275" s="166" t="s">
        <v>2491</v>
      </c>
    </row>
    <row r="276" spans="1:14" ht="15" customHeight="1">
      <c r="A276" s="317" t="s">
        <v>2557</v>
      </c>
      <c r="B276" s="262"/>
      <c r="C276" s="262"/>
      <c r="D276" s="262"/>
      <c r="E276" s="262"/>
      <c r="F276" s="262"/>
      <c r="G276" s="262"/>
      <c r="H276" s="262"/>
      <c r="I276" s="262"/>
      <c r="J276" s="187">
        <f>BUDGET!$F$8</f>
        <v>0</v>
      </c>
      <c r="K276" s="184" t="s">
        <v>2491</v>
      </c>
      <c r="L276" s="183"/>
      <c r="M276" s="183"/>
      <c r="N276" s="183"/>
    </row>
    <row r="277" spans="1:14" ht="15" customHeight="1">
      <c r="A277" s="316" t="s">
        <v>2558</v>
      </c>
      <c r="B277" s="262"/>
      <c r="C277" s="262"/>
      <c r="D277" s="262"/>
      <c r="E277" s="262"/>
      <c r="F277" s="262"/>
      <c r="G277" s="262"/>
      <c r="H277" s="262"/>
      <c r="I277" s="262"/>
      <c r="J277" s="188">
        <f>RECETTES!$H$8</f>
        <v>0</v>
      </c>
      <c r="K277" s="166" t="s">
        <v>2491</v>
      </c>
    </row>
    <row r="279" spans="1:14" ht="19.5" customHeight="1">
      <c r="A279" s="314" t="s">
        <v>2559</v>
      </c>
      <c r="B279" s="262"/>
      <c r="C279" s="262"/>
      <c r="D279" s="262"/>
      <c r="E279" s="262"/>
      <c r="F279" s="262"/>
      <c r="G279" s="262"/>
      <c r="H279" s="262"/>
      <c r="I279" s="262"/>
      <c r="J279" s="262"/>
      <c r="K279" s="262"/>
      <c r="L279" s="262"/>
      <c r="M279" s="262"/>
      <c r="N279" s="262"/>
    </row>
    <row r="280" spans="1:14" ht="25.5" customHeight="1">
      <c r="A280" s="318" t="s">
        <v>2230</v>
      </c>
      <c r="B280" s="319"/>
      <c r="C280" s="319"/>
      <c r="D280" s="319"/>
      <c r="E280" s="319"/>
      <c r="F280" s="319"/>
      <c r="G280" s="319"/>
      <c r="H280" s="319"/>
      <c r="I280" s="320"/>
      <c r="J280" s="318" t="s">
        <v>2560</v>
      </c>
      <c r="K280" s="319"/>
      <c r="L280" s="319"/>
      <c r="M280" s="319"/>
      <c r="N280" s="320"/>
    </row>
    <row r="281" spans="1:14" ht="15" customHeight="1">
      <c r="A281" s="316" t="s">
        <v>2561</v>
      </c>
      <c r="B281" s="262"/>
      <c r="C281" s="262"/>
      <c r="D281" s="262"/>
      <c r="E281" s="262"/>
      <c r="F281" s="262"/>
      <c r="G281" s="262"/>
      <c r="H281" s="262"/>
      <c r="I281" s="262"/>
      <c r="J281" s="181">
        <f>COUNTIFS(PROJETS!$A$56:$A$95,"PROJ*",PROJETS!$AG$56:$AG$95,0)</f>
        <v>0</v>
      </c>
    </row>
    <row r="282" spans="1:14" ht="15" customHeight="1">
      <c r="A282" s="317" t="s">
        <v>2562</v>
      </c>
      <c r="B282" s="262"/>
      <c r="C282" s="262"/>
      <c r="D282" s="262"/>
      <c r="E282" s="262"/>
      <c r="F282" s="262"/>
      <c r="G282" s="262"/>
      <c r="H282" s="262"/>
      <c r="I282" s="262"/>
      <c r="J282" s="182">
        <f ca="1">COUNTIFS(PROJETS!$A$56:$A$95,"PROJ*",PROJETS!$BE$56:$BE$95,TRUE())</f>
        <v>0</v>
      </c>
      <c r="K282" s="183"/>
      <c r="L282" s="183"/>
      <c r="M282" s="183"/>
      <c r="N282" s="183"/>
    </row>
    <row r="283" spans="1:14" ht="15" customHeight="1">
      <c r="A283" s="316" t="s">
        <v>2563</v>
      </c>
      <c r="B283" s="262"/>
      <c r="C283" s="262"/>
      <c r="D283" s="262"/>
      <c r="E283" s="262"/>
      <c r="F283" s="262"/>
      <c r="G283" s="262"/>
      <c r="H283" s="262"/>
      <c r="I283" s="262"/>
      <c r="J283" s="181">
        <f>COUNTIFS(PROJETS!$A$56:$A$95,"PROJ*",PROJETS!$BG$56:$BG$95,TRUE())</f>
        <v>0</v>
      </c>
    </row>
    <row r="284" spans="1:14" ht="15" customHeight="1">
      <c r="A284" s="317" t="s">
        <v>2564</v>
      </c>
      <c r="B284" s="262"/>
      <c r="C284" s="262"/>
      <c r="D284" s="262"/>
      <c r="E284" s="262"/>
      <c r="F284" s="262"/>
      <c r="G284" s="262"/>
      <c r="H284" s="262"/>
      <c r="I284" s="262"/>
      <c r="J284" s="182">
        <f>COUNTIFS(PROJETS!$A$56:$A$95,"PROJ*",PROJETS!$BH$56:$BH$95,TRUE())</f>
        <v>0</v>
      </c>
      <c r="K284" s="183"/>
      <c r="L284" s="183"/>
      <c r="M284" s="183"/>
      <c r="N284" s="183"/>
    </row>
    <row r="285" spans="1:14" ht="15" customHeight="1">
      <c r="A285" s="316" t="s">
        <v>2565</v>
      </c>
      <c r="B285" s="262"/>
      <c r="C285" s="262"/>
      <c r="D285" s="262"/>
      <c r="E285" s="262"/>
      <c r="F285" s="262"/>
      <c r="G285" s="262"/>
      <c r="H285" s="262"/>
      <c r="I285" s="262"/>
      <c r="J285" s="181">
        <f ca="1">COUNTIFS(ACTIVITES!$A$56:$A$105,"ACT*",ACTIVITES!$AB$56:$AB$105,TRUE())</f>
        <v>0</v>
      </c>
    </row>
    <row r="286" spans="1:14" ht="15" customHeight="1">
      <c r="A286" s="317" t="s">
        <v>2566</v>
      </c>
      <c r="B286" s="262"/>
      <c r="C286" s="262"/>
      <c r="D286" s="262"/>
      <c r="E286" s="262"/>
      <c r="F286" s="262"/>
      <c r="G286" s="262"/>
      <c r="H286" s="262"/>
      <c r="I286" s="262"/>
      <c r="J286" s="182">
        <f>COUNTIFS(DEPENSES!$A$119:$A$168,"DEP*",DEPENSES!$BD$119:$BD$168,"Non")</f>
        <v>0</v>
      </c>
      <c r="K286" s="183"/>
      <c r="L286" s="183"/>
      <c r="M286" s="183"/>
      <c r="N286" s="183"/>
    </row>
    <row r="287" spans="1:14" ht="15" customHeight="1">
      <c r="A287" s="316" t="s">
        <v>2567</v>
      </c>
      <c r="B287" s="262"/>
      <c r="C287" s="262"/>
      <c r="D287" s="262"/>
      <c r="E287" s="262"/>
      <c r="F287" s="262"/>
      <c r="G287" s="262"/>
      <c r="H287" s="262"/>
      <c r="I287" s="262"/>
      <c r="J287" s="181">
        <f>COUNTIF(tbl_Budget[Statut alerte],"&lt;&gt;")-COUNTIF(tbl_Budget[Statut alerte],"Normal")</f>
        <v>40</v>
      </c>
    </row>
    <row r="288" spans="1:14" ht="15" customHeight="1">
      <c r="A288" s="317" t="s">
        <v>2568</v>
      </c>
      <c r="B288" s="262"/>
      <c r="C288" s="262"/>
      <c r="D288" s="262"/>
      <c r="E288" s="262"/>
      <c r="F288" s="262"/>
      <c r="G288" s="262"/>
      <c r="H288" s="262"/>
      <c r="I288" s="262"/>
      <c r="J288" s="182">
        <f ca="1">PARTENAIRES!$I$8</f>
        <v>0</v>
      </c>
      <c r="K288" s="183"/>
      <c r="L288" s="183"/>
      <c r="M288" s="183"/>
      <c r="N288" s="183"/>
    </row>
    <row r="289" spans="1:14" ht="15" customHeight="1">
      <c r="A289" s="316" t="s">
        <v>2569</v>
      </c>
      <c r="B289" s="262"/>
      <c r="C289" s="262"/>
      <c r="D289" s="262"/>
      <c r="E289" s="262"/>
      <c r="F289" s="262"/>
      <c r="G289" s="262"/>
      <c r="H289" s="262"/>
      <c r="I289" s="262"/>
      <c r="J289" s="181">
        <f ca="1">'RESSOURCES HUMAINES'!$K$8</f>
        <v>0</v>
      </c>
    </row>
    <row r="290" spans="1:14" ht="15" customHeight="1">
      <c r="A290" s="317" t="s">
        <v>2570</v>
      </c>
      <c r="B290" s="262"/>
      <c r="C290" s="262"/>
      <c r="D290" s="262"/>
      <c r="E290" s="262"/>
      <c r="F290" s="262"/>
      <c r="G290" s="262"/>
      <c r="H290" s="262"/>
      <c r="I290" s="262"/>
      <c r="J290" s="182">
        <f ca="1">COUNTIF(DONATEURS!$AV$56:$AV$205,"Oui")</f>
        <v>0</v>
      </c>
      <c r="K290" s="183"/>
      <c r="L290" s="183"/>
      <c r="M290" s="183"/>
      <c r="N290" s="183"/>
    </row>
    <row r="292" spans="1:14" ht="19.5" customHeight="1">
      <c r="A292" s="314" t="s">
        <v>2571</v>
      </c>
      <c r="B292" s="262"/>
      <c r="C292" s="262"/>
      <c r="D292" s="262"/>
      <c r="E292" s="262"/>
      <c r="F292" s="262"/>
      <c r="G292" s="262"/>
      <c r="H292" s="262"/>
      <c r="I292" s="262"/>
      <c r="J292" s="262"/>
      <c r="K292" s="262"/>
      <c r="L292" s="262"/>
      <c r="M292" s="262"/>
      <c r="N292" s="262"/>
    </row>
    <row r="293" spans="1:14" ht="15" customHeight="1">
      <c r="A293" s="305" t="s">
        <v>2572</v>
      </c>
      <c r="B293" s="262"/>
      <c r="C293" s="262"/>
      <c r="D293" s="262"/>
      <c r="E293" s="262"/>
      <c r="F293" s="262"/>
      <c r="G293" s="262"/>
      <c r="H293" s="262"/>
      <c r="I293" s="262"/>
      <c r="J293" s="262"/>
      <c r="K293" s="262"/>
      <c r="L293" s="262"/>
      <c r="M293" s="262"/>
      <c r="N293" s="262"/>
    </row>
    <row r="294" spans="1:14" ht="25.5" customHeight="1">
      <c r="A294" s="180" t="s">
        <v>174</v>
      </c>
      <c r="B294" s="180" t="s">
        <v>2573</v>
      </c>
      <c r="C294" s="180" t="s">
        <v>2268</v>
      </c>
      <c r="D294" s="180" t="s">
        <v>2574</v>
      </c>
      <c r="E294" s="180" t="s">
        <v>1400</v>
      </c>
      <c r="F294" s="180" t="s">
        <v>1646</v>
      </c>
    </row>
    <row r="295" spans="1:14" ht="15" customHeight="1">
      <c r="A295" s="201">
        <v>2024</v>
      </c>
      <c r="B295" s="202">
        <f>SUMIFS(RECETTES!$AB$39:$AB$88,RECETTES!$V$39:$V$88,2024)</f>
        <v>0</v>
      </c>
      <c r="C295" s="202">
        <f>SUMIFS(DEPENSES!$AG$119:$AG$168,DEPENSES!$BM$119:$BM$168,2024)</f>
        <v>0</v>
      </c>
    </row>
    <row r="296" spans="1:14" ht="15" customHeight="1">
      <c r="A296" s="201">
        <v>2025</v>
      </c>
      <c r="B296" s="202">
        <f>SUMIFS(RECETTES!$AB$39:$AB$88,RECETTES!$V$39:$V$88,2025)</f>
        <v>0</v>
      </c>
      <c r="C296" s="202">
        <f>SUMIFS(DEPENSES!$AG$119:$AG$168,DEPENSES!$BM$119:$BM$168,2025)</f>
        <v>0</v>
      </c>
    </row>
    <row r="297" spans="1:14" ht="15" customHeight="1">
      <c r="A297" s="201">
        <v>2026</v>
      </c>
      <c r="B297" s="202">
        <f>SUMIFS(RECETTES!$AB$39:$AB$88,RECETTES!$V$39:$V$88,2026)</f>
        <v>0</v>
      </c>
      <c r="C297" s="202">
        <f>SUMIFS(DEPENSES!$AG$119:$AG$168,DEPENSES!$BM$119:$BM$168,2026)</f>
        <v>0</v>
      </c>
    </row>
    <row r="298" spans="1:14" ht="15" customHeight="1">
      <c r="A298" s="201">
        <v>2027</v>
      </c>
      <c r="B298" s="202">
        <f>SUMIFS(RECETTES!$AB$39:$AB$88,RECETTES!$V$39:$V$88,2027)</f>
        <v>0</v>
      </c>
      <c r="C298" s="202">
        <f>SUMIFS(DEPENSES!$AG$119:$AG$168,DEPENSES!$BM$119:$BM$168,2027)</f>
        <v>0</v>
      </c>
    </row>
    <row r="299" spans="1:14" ht="15" customHeight="1">
      <c r="A299" s="201">
        <v>2028</v>
      </c>
      <c r="B299" s="202">
        <f>SUMIFS(RECETTES!$AB$39:$AB$88,RECETTES!$V$39:$V$88,2028)</f>
        <v>0</v>
      </c>
      <c r="C299" s="202">
        <f>SUMIFS(DEPENSES!$AG$119:$AG$168,DEPENSES!$BM$119:$BM$168,2028)</f>
        <v>0</v>
      </c>
    </row>
    <row r="318" spans="1:14" ht="19.5" customHeight="1">
      <c r="A318" s="314" t="s">
        <v>2575</v>
      </c>
      <c r="B318" s="262"/>
      <c r="C318" s="262"/>
      <c r="D318" s="262"/>
      <c r="E318" s="262"/>
      <c r="F318" s="262"/>
      <c r="G318" s="262"/>
      <c r="H318" s="262"/>
      <c r="I318" s="262"/>
      <c r="J318" s="262"/>
      <c r="K318" s="262"/>
      <c r="L318" s="262"/>
      <c r="M318" s="262"/>
      <c r="N318" s="262"/>
    </row>
    <row r="319" spans="1:14" ht="30" customHeight="1">
      <c r="A319" s="327" t="s">
        <v>2576</v>
      </c>
      <c r="B319" s="262"/>
      <c r="C319" s="262"/>
      <c r="D319" s="325"/>
      <c r="E319" s="319"/>
      <c r="F319" s="319"/>
      <c r="G319" s="319"/>
      <c r="H319" s="319"/>
      <c r="I319" s="319"/>
      <c r="J319" s="319"/>
      <c r="K319" s="319"/>
      <c r="L319" s="319"/>
      <c r="M319" s="319"/>
      <c r="N319" s="319"/>
    </row>
    <row r="320" spans="1:14" ht="30" customHeight="1">
      <c r="A320" s="327" t="s">
        <v>2577</v>
      </c>
      <c r="B320" s="262"/>
      <c r="C320" s="262"/>
      <c r="D320" s="325"/>
      <c r="E320" s="319"/>
      <c r="F320" s="319"/>
      <c r="G320" s="319"/>
      <c r="H320" s="319"/>
      <c r="I320" s="319"/>
      <c r="J320" s="319"/>
      <c r="K320" s="319"/>
      <c r="L320" s="319"/>
      <c r="M320" s="319"/>
      <c r="N320" s="319"/>
    </row>
    <row r="321" spans="1:14" ht="30" customHeight="1">
      <c r="A321" s="327" t="s">
        <v>2578</v>
      </c>
      <c r="B321" s="262"/>
      <c r="C321" s="262"/>
      <c r="D321" s="325"/>
      <c r="E321" s="319"/>
      <c r="F321" s="319"/>
      <c r="G321" s="319"/>
      <c r="H321" s="319"/>
      <c r="I321" s="319"/>
      <c r="J321" s="319"/>
      <c r="K321" s="319"/>
      <c r="L321" s="319"/>
      <c r="M321" s="319"/>
      <c r="N321" s="319"/>
    </row>
    <row r="322" spans="1:14" ht="30" customHeight="1">
      <c r="A322" s="327" t="s">
        <v>2579</v>
      </c>
      <c r="B322" s="262"/>
      <c r="C322" s="262"/>
      <c r="D322" s="325"/>
      <c r="E322" s="319"/>
      <c r="F322" s="319"/>
      <c r="G322" s="319"/>
      <c r="H322" s="319"/>
      <c r="I322" s="319"/>
      <c r="J322" s="319"/>
      <c r="K322" s="319"/>
      <c r="L322" s="319"/>
      <c r="M322" s="319"/>
      <c r="N322" s="319"/>
    </row>
    <row r="323" spans="1:14" ht="30" customHeight="1">
      <c r="A323" s="327" t="s">
        <v>2580</v>
      </c>
      <c r="B323" s="262"/>
      <c r="C323" s="262"/>
      <c r="D323" s="325"/>
      <c r="E323" s="319"/>
      <c r="F323" s="319"/>
      <c r="G323" s="319"/>
      <c r="H323" s="319"/>
      <c r="I323" s="319"/>
      <c r="J323" s="319"/>
      <c r="K323" s="319"/>
      <c r="L323" s="319"/>
      <c r="M323" s="319"/>
      <c r="N323" s="319"/>
    </row>
    <row r="324" spans="1:14" ht="30" customHeight="1">
      <c r="A324" s="327" t="s">
        <v>2581</v>
      </c>
      <c r="B324" s="262"/>
      <c r="C324" s="262"/>
      <c r="D324" s="325"/>
      <c r="E324" s="319"/>
      <c r="F324" s="319"/>
      <c r="G324" s="319"/>
      <c r="H324" s="319"/>
      <c r="I324" s="319"/>
      <c r="J324" s="319"/>
      <c r="K324" s="319"/>
      <c r="L324" s="319"/>
      <c r="M324" s="319"/>
      <c r="N324" s="319"/>
    </row>
    <row r="326" spans="1:14" ht="19.5" customHeight="1">
      <c r="A326" s="314" t="s">
        <v>2582</v>
      </c>
      <c r="B326" s="262"/>
      <c r="C326" s="262"/>
      <c r="D326" s="262"/>
      <c r="E326" s="262"/>
      <c r="F326" s="262"/>
      <c r="G326" s="262"/>
      <c r="H326" s="262"/>
      <c r="I326" s="262"/>
      <c r="J326" s="262"/>
      <c r="K326" s="262"/>
      <c r="L326" s="262"/>
      <c r="M326" s="262"/>
      <c r="N326" s="262"/>
    </row>
    <row r="327" spans="1:14" ht="25.5" customHeight="1">
      <c r="A327" s="318"/>
      <c r="B327" s="320"/>
      <c r="C327" s="318" t="s">
        <v>2583</v>
      </c>
      <c r="D327" s="319"/>
      <c r="E327" s="319"/>
      <c r="F327" s="320"/>
      <c r="G327" s="262"/>
      <c r="H327" s="262"/>
      <c r="I327" s="262"/>
      <c r="J327" s="262"/>
      <c r="K327" s="262"/>
      <c r="L327" s="262"/>
      <c r="M327" s="262"/>
      <c r="N327" s="262"/>
    </row>
    <row r="328" spans="1:14" ht="15" customHeight="1">
      <c r="A328" s="312" t="s">
        <v>2584</v>
      </c>
      <c r="B328" s="262"/>
      <c r="C328" s="322"/>
      <c r="D328" s="319"/>
      <c r="E328" s="319"/>
      <c r="F328" s="319"/>
      <c r="G328" s="322"/>
      <c r="H328" s="319"/>
      <c r="I328" s="319"/>
      <c r="J328" s="319"/>
      <c r="K328" s="322"/>
      <c r="L328" s="319"/>
      <c r="M328" s="319"/>
      <c r="N328" s="319"/>
    </row>
    <row r="329" spans="1:14" ht="15" customHeight="1">
      <c r="A329" s="312" t="s">
        <v>2585</v>
      </c>
      <c r="B329" s="262"/>
      <c r="C329" s="322"/>
      <c r="D329" s="319"/>
      <c r="E329" s="319"/>
      <c r="F329" s="319"/>
      <c r="G329" s="322"/>
      <c r="H329" s="319"/>
      <c r="I329" s="319"/>
      <c r="J329" s="319"/>
      <c r="K329" s="322"/>
      <c r="L329" s="319"/>
      <c r="M329" s="319"/>
      <c r="N329" s="319"/>
    </row>
    <row r="330" spans="1:14" ht="15" customHeight="1">
      <c r="A330" s="312" t="s">
        <v>2586</v>
      </c>
      <c r="B330" s="262"/>
      <c r="C330" s="322"/>
      <c r="D330" s="319"/>
      <c r="E330" s="319"/>
      <c r="F330" s="319"/>
      <c r="G330" s="322"/>
      <c r="H330" s="319"/>
      <c r="I330" s="319"/>
      <c r="J330" s="319"/>
      <c r="K330" s="322"/>
      <c r="L330" s="319"/>
      <c r="M330" s="319"/>
      <c r="N330" s="319"/>
    </row>
    <row r="331" spans="1:14" ht="30" customHeight="1">
      <c r="A331" s="312" t="s">
        <v>2587</v>
      </c>
      <c r="B331" s="262"/>
      <c r="C331" s="322"/>
      <c r="D331" s="319"/>
      <c r="E331" s="319"/>
      <c r="F331" s="319"/>
      <c r="G331" s="322"/>
      <c r="H331" s="319"/>
      <c r="I331" s="319"/>
      <c r="J331" s="319"/>
      <c r="K331" s="322"/>
      <c r="L331" s="319"/>
      <c r="M331" s="319"/>
      <c r="N331" s="319"/>
    </row>
    <row r="334" spans="1:14" ht="15" customHeight="1">
      <c r="A334" s="326" t="s">
        <v>2588</v>
      </c>
      <c r="B334" s="262"/>
      <c r="C334" s="262"/>
      <c r="D334" s="262"/>
      <c r="E334" s="262"/>
      <c r="F334" s="262"/>
      <c r="G334" s="262"/>
      <c r="H334" s="262"/>
      <c r="I334" s="262"/>
      <c r="J334" s="262"/>
      <c r="K334" s="262"/>
      <c r="L334" s="262"/>
      <c r="M334" s="262"/>
      <c r="N334" s="262"/>
    </row>
  </sheetData>
  <mergeCells count="252">
    <mergeCell ref="A331:B331"/>
    <mergeCell ref="A249:I249"/>
    <mergeCell ref="F179:N179"/>
    <mergeCell ref="A251:N251"/>
    <mergeCell ref="E29:N29"/>
    <mergeCell ref="A289:I289"/>
    <mergeCell ref="A58:I58"/>
    <mergeCell ref="G327:J327"/>
    <mergeCell ref="A269:N269"/>
    <mergeCell ref="A319:C319"/>
    <mergeCell ref="A186:I186"/>
    <mergeCell ref="A109:E109"/>
    <mergeCell ref="F172:N172"/>
    <mergeCell ref="A180:E180"/>
    <mergeCell ref="A191:I191"/>
    <mergeCell ref="A226:I226"/>
    <mergeCell ref="E31:N31"/>
    <mergeCell ref="F174:N174"/>
    <mergeCell ref="A60:I60"/>
    <mergeCell ref="A62:N62"/>
    <mergeCell ref="F168:N168"/>
    <mergeCell ref="A241:I241"/>
    <mergeCell ref="E37:N37"/>
    <mergeCell ref="F165:N165"/>
    <mergeCell ref="A34:D34"/>
    <mergeCell ref="A237:N237"/>
    <mergeCell ref="A247:I247"/>
    <mergeCell ref="K328:N328"/>
    <mergeCell ref="A111:E111"/>
    <mergeCell ref="A228:I228"/>
    <mergeCell ref="A322:C322"/>
    <mergeCell ref="J270:N270"/>
    <mergeCell ref="A47:I47"/>
    <mergeCell ref="A177:E177"/>
    <mergeCell ref="A164:E164"/>
    <mergeCell ref="A215:I215"/>
    <mergeCell ref="A324:C324"/>
    <mergeCell ref="A292:N292"/>
    <mergeCell ref="A216:I216"/>
    <mergeCell ref="A165:E165"/>
    <mergeCell ref="A287:I287"/>
    <mergeCell ref="A243:I243"/>
    <mergeCell ref="A277:I277"/>
    <mergeCell ref="A279:N279"/>
    <mergeCell ref="A288:I288"/>
    <mergeCell ref="E36:N36"/>
    <mergeCell ref="C329:F329"/>
    <mergeCell ref="D319:N319"/>
    <mergeCell ref="A112:E112"/>
    <mergeCell ref="A318:N318"/>
    <mergeCell ref="G329:J329"/>
    <mergeCell ref="A197:I197"/>
    <mergeCell ref="F113:N113"/>
    <mergeCell ref="A43:I43"/>
    <mergeCell ref="A57:I57"/>
    <mergeCell ref="A235:I235"/>
    <mergeCell ref="A213:I213"/>
    <mergeCell ref="A329:B329"/>
    <mergeCell ref="A54:I54"/>
    <mergeCell ref="A219:I219"/>
    <mergeCell ref="A290:I290"/>
    <mergeCell ref="C327:F327"/>
    <mergeCell ref="F109:N109"/>
    <mergeCell ref="A210:I210"/>
    <mergeCell ref="A231:I231"/>
    <mergeCell ref="A271:I271"/>
    <mergeCell ref="A328:B328"/>
    <mergeCell ref="F114:N114"/>
    <mergeCell ref="A246:I246"/>
    <mergeCell ref="D324:N324"/>
    <mergeCell ref="K331:N331"/>
    <mergeCell ref="J238:N238"/>
    <mergeCell ref="A167:E167"/>
    <mergeCell ref="C331:F331"/>
    <mergeCell ref="A176:E176"/>
    <mergeCell ref="A187:I187"/>
    <mergeCell ref="A114:E114"/>
    <mergeCell ref="F177:N177"/>
    <mergeCell ref="A196:I196"/>
    <mergeCell ref="A221:I221"/>
    <mergeCell ref="F164:N164"/>
    <mergeCell ref="A169:E169"/>
    <mergeCell ref="A178:E178"/>
    <mergeCell ref="A189:I189"/>
    <mergeCell ref="A198:I198"/>
    <mergeCell ref="A238:I238"/>
    <mergeCell ref="A162:E162"/>
    <mergeCell ref="A280:I280"/>
    <mergeCell ref="A274:I274"/>
    <mergeCell ref="A223:N223"/>
    <mergeCell ref="F166:N166"/>
    <mergeCell ref="G328:J328"/>
    <mergeCell ref="K327:N327"/>
    <mergeCell ref="A248:I248"/>
    <mergeCell ref="A2:N2"/>
    <mergeCell ref="A202:I202"/>
    <mergeCell ref="A40:I40"/>
    <mergeCell ref="A211:I211"/>
    <mergeCell ref="A320:C320"/>
    <mergeCell ref="A220:I220"/>
    <mergeCell ref="A160:N160"/>
    <mergeCell ref="A201:I201"/>
    <mergeCell ref="A37:D37"/>
    <mergeCell ref="A275:I275"/>
    <mergeCell ref="F112:N112"/>
    <mergeCell ref="A284:I284"/>
    <mergeCell ref="A32:D32"/>
    <mergeCell ref="A16:I16"/>
    <mergeCell ref="E27:N27"/>
    <mergeCell ref="J10:N10"/>
    <mergeCell ref="A18:I18"/>
    <mergeCell ref="A51:N51"/>
    <mergeCell ref="F181:N181"/>
    <mergeCell ref="A55:I55"/>
    <mergeCell ref="A12:I12"/>
    <mergeCell ref="A239:I239"/>
    <mergeCell ref="A110:E110"/>
    <mergeCell ref="A21:I21"/>
    <mergeCell ref="A3:N3"/>
    <mergeCell ref="A326:N326"/>
    <mergeCell ref="A218:I218"/>
    <mergeCell ref="A227:I227"/>
    <mergeCell ref="A35:D35"/>
    <mergeCell ref="A46:I46"/>
    <mergeCell ref="A217:I217"/>
    <mergeCell ref="A282:I282"/>
    <mergeCell ref="E26:N26"/>
    <mergeCell ref="A29:D29"/>
    <mergeCell ref="A225:N225"/>
    <mergeCell ref="D320:N320"/>
    <mergeCell ref="F171:N171"/>
    <mergeCell ref="A232:I232"/>
    <mergeCell ref="A59:I59"/>
    <mergeCell ref="A27:D27"/>
    <mergeCell ref="A171:E171"/>
    <mergeCell ref="A20:I20"/>
    <mergeCell ref="A199:I199"/>
    <mergeCell ref="A163:E163"/>
    <mergeCell ref="J280:N280"/>
    <mergeCell ref="A44:I44"/>
    <mergeCell ref="A192:I192"/>
    <mergeCell ref="J184:N184"/>
    <mergeCell ref="G331:J331"/>
    <mergeCell ref="A10:I10"/>
    <mergeCell ref="A175:E175"/>
    <mergeCell ref="A229:I229"/>
    <mergeCell ref="E35:N35"/>
    <mergeCell ref="A5:N5"/>
    <mergeCell ref="A276:I276"/>
    <mergeCell ref="K330:N330"/>
    <mergeCell ref="A270:I270"/>
    <mergeCell ref="C330:F330"/>
    <mergeCell ref="F178:N178"/>
    <mergeCell ref="A327:B327"/>
    <mergeCell ref="D323:N323"/>
    <mergeCell ref="A49:I49"/>
    <mergeCell ref="E34:N34"/>
    <mergeCell ref="A26:D26"/>
    <mergeCell ref="A161:E161"/>
    <mergeCell ref="A209:N209"/>
    <mergeCell ref="A45:I45"/>
    <mergeCell ref="A170:E170"/>
    <mergeCell ref="A281:I281"/>
    <mergeCell ref="D322:N322"/>
    <mergeCell ref="A293:N293"/>
    <mergeCell ref="A173:E173"/>
    <mergeCell ref="A1:N1"/>
    <mergeCell ref="A334:N334"/>
    <mergeCell ref="A272:I272"/>
    <mergeCell ref="J40:N40"/>
    <mergeCell ref="J210:N210"/>
    <mergeCell ref="A242:I242"/>
    <mergeCell ref="A321:C321"/>
    <mergeCell ref="A30:D30"/>
    <mergeCell ref="J195:N195"/>
    <mergeCell ref="A183:N183"/>
    <mergeCell ref="F111:N111"/>
    <mergeCell ref="A203:I203"/>
    <mergeCell ref="J226:N226"/>
    <mergeCell ref="A234:I234"/>
    <mergeCell ref="K329:N329"/>
    <mergeCell ref="A330:B330"/>
    <mergeCell ref="A184:I184"/>
    <mergeCell ref="A244:I244"/>
    <mergeCell ref="F167:N167"/>
    <mergeCell ref="A323:C323"/>
    <mergeCell ref="A80:N80"/>
    <mergeCell ref="E33:N33"/>
    <mergeCell ref="A52:I52"/>
    <mergeCell ref="F161:N161"/>
    <mergeCell ref="A233:I233"/>
    <mergeCell ref="F163:N163"/>
    <mergeCell ref="A273:I273"/>
    <mergeCell ref="A283:I283"/>
    <mergeCell ref="F169:N169"/>
    <mergeCell ref="A286:I286"/>
    <mergeCell ref="C328:F328"/>
    <mergeCell ref="A56:I56"/>
    <mergeCell ref="A214:I214"/>
    <mergeCell ref="A168:E168"/>
    <mergeCell ref="A285:I285"/>
    <mergeCell ref="A117:N117"/>
    <mergeCell ref="A172:E172"/>
    <mergeCell ref="F180:N180"/>
    <mergeCell ref="G330:J330"/>
    <mergeCell ref="A195:I195"/>
    <mergeCell ref="A31:D31"/>
    <mergeCell ref="A42:I42"/>
    <mergeCell ref="A17:I17"/>
    <mergeCell ref="A188:I188"/>
    <mergeCell ref="A22:I22"/>
    <mergeCell ref="A53:I53"/>
    <mergeCell ref="F176:N176"/>
    <mergeCell ref="A240:I240"/>
    <mergeCell ref="F170:N170"/>
    <mergeCell ref="D321:N321"/>
    <mergeCell ref="A19:I19"/>
    <mergeCell ref="A190:I190"/>
    <mergeCell ref="A113:E113"/>
    <mergeCell ref="A230:I230"/>
    <mergeCell ref="A179:E179"/>
    <mergeCell ref="A245:I245"/>
    <mergeCell ref="F175:N175"/>
    <mergeCell ref="A194:N194"/>
    <mergeCell ref="F162:N162"/>
    <mergeCell ref="A48:I48"/>
    <mergeCell ref="A181:E181"/>
    <mergeCell ref="E28:N28"/>
    <mergeCell ref="E30:N30"/>
    <mergeCell ref="A115:E115"/>
    <mergeCell ref="A33:D33"/>
    <mergeCell ref="A9:N9"/>
    <mergeCell ref="F173:N173"/>
    <mergeCell ref="A41:I41"/>
    <mergeCell ref="A166:E166"/>
    <mergeCell ref="A39:N39"/>
    <mergeCell ref="A212:I212"/>
    <mergeCell ref="A11:I11"/>
    <mergeCell ref="J52:N52"/>
    <mergeCell ref="A28:D28"/>
    <mergeCell ref="E32:N32"/>
    <mergeCell ref="F110:N110"/>
    <mergeCell ref="A108:N108"/>
    <mergeCell ref="A200:I200"/>
    <mergeCell ref="A36:D36"/>
    <mergeCell ref="A13:I13"/>
    <mergeCell ref="A15:I15"/>
    <mergeCell ref="A14:I14"/>
    <mergeCell ref="F115:N115"/>
    <mergeCell ref="A174:E174"/>
    <mergeCell ref="A185:I185"/>
    <mergeCell ref="A25:N25"/>
  </mergeCells>
  <dataValidations count="3">
    <dataValidation type="list" allowBlank="1" sqref="C6">
      <formula1>"2024,2025,2026,2027,2028,2029,2030,2031,2032,2033,Total"</formula1>
      <formula2>0</formula2>
    </dataValidation>
    <dataValidation type="list" allowBlank="1" sqref="G6">
      <formula1>Liste_ActivitesIDProjets</formula1>
      <formula2>0</formula2>
    </dataValidation>
    <dataValidation type="list" allowBlank="1" sqref="L6">
      <formula1>Liste_DonateursID</formula1>
      <formula2>0</formula2>
    </dataValidation>
  </dataValidations>
  <pageMargins left="0.75" right="0.75" top="1" bottom="1" header="0.5" footer="0.5"/>
  <pageSetup paperSize="9" fitToHeight="0" orientation="landscape" horizontalDpi="300" verticalDpi="300"/>
  <headerFooter>
    <oddHeader>&amp;CO.N.G BK — Rapports Analyses</oddHeader>
    <oddFooter>&amp;LGenere le &amp;D&amp;RPage &amp;P / &amp;N</oddFooter>
  </headerFooter>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749"/>
  <sheetViews>
    <sheetView showGridLines="0" zoomScaleNormal="100" workbookViewId="0">
      <pane ySplit="2" topLeftCell="A655" activePane="bottomLeft" state="frozen"/>
      <selection pane="bottomLeft" activeCell="A662" sqref="A662"/>
    </sheetView>
  </sheetViews>
  <sheetFormatPr baseColWidth="10" defaultColWidth="8.7109375" defaultRowHeight="15" customHeight="1"/>
  <cols>
    <col min="1" max="1" width="20.7109375" customWidth="1"/>
    <col min="2" max="2" width="32" customWidth="1"/>
    <col min="3" max="3" width="46" customWidth="1"/>
    <col min="4" max="4" width="22" customWidth="1"/>
    <col min="5" max="5" width="14" customWidth="1"/>
    <col min="6" max="6" width="15.7109375" customWidth="1"/>
    <col min="7" max="7" width="14" customWidth="1"/>
    <col min="8" max="8" width="18" customWidth="1"/>
    <col min="9" max="9" width="14" customWidth="1"/>
    <col min="10" max="10" width="22" customWidth="1"/>
    <col min="11" max="11" width="20" customWidth="1"/>
    <col min="12" max="12" width="14" customWidth="1"/>
  </cols>
  <sheetData>
    <row r="1" spans="1:12" ht="31.5" customHeight="1">
      <c r="A1" s="332" t="s">
        <v>121</v>
      </c>
      <c r="B1" s="262"/>
      <c r="C1" s="262"/>
      <c r="D1" s="262"/>
      <c r="E1" s="262"/>
      <c r="F1" s="262"/>
      <c r="G1" s="262"/>
      <c r="H1" s="262"/>
      <c r="I1" s="262"/>
      <c r="J1" s="262"/>
      <c r="K1" s="262"/>
      <c r="L1" s="262"/>
    </row>
    <row r="2" spans="1:12" ht="18" customHeight="1">
      <c r="A2" s="281" t="s">
        <v>122</v>
      </c>
      <c r="B2" s="262"/>
      <c r="C2" s="262"/>
      <c r="D2" s="262"/>
      <c r="E2" s="262"/>
      <c r="F2" s="262"/>
      <c r="G2" s="262"/>
      <c r="H2" s="262"/>
      <c r="I2" s="262"/>
      <c r="J2" s="262"/>
      <c r="K2" s="262"/>
      <c r="L2" s="262"/>
    </row>
    <row r="4" spans="1:12" ht="27.75" customHeight="1">
      <c r="A4" s="282" t="s">
        <v>123</v>
      </c>
      <c r="B4" s="262"/>
      <c r="C4" s="262"/>
      <c r="D4" s="262"/>
      <c r="E4" s="262"/>
      <c r="F4" s="262"/>
      <c r="G4" s="262"/>
      <c r="H4" s="262"/>
      <c r="I4" s="262"/>
      <c r="J4" s="262"/>
      <c r="K4" s="262"/>
      <c r="L4" s="262"/>
    </row>
    <row r="6" spans="1:12" ht="19.5" customHeight="1">
      <c r="A6" s="266" t="s">
        <v>124</v>
      </c>
      <c r="B6" s="262"/>
      <c r="C6" s="262"/>
      <c r="D6" s="262"/>
      <c r="E6" s="262"/>
      <c r="F6" s="262"/>
      <c r="G6" s="262"/>
      <c r="H6" s="262"/>
      <c r="I6" s="262"/>
      <c r="J6" s="262"/>
      <c r="K6" s="262"/>
      <c r="L6" s="262"/>
    </row>
    <row r="7" spans="1:12" ht="15" customHeight="1">
      <c r="A7" s="269" t="s">
        <v>125</v>
      </c>
      <c r="B7" s="262"/>
      <c r="C7" s="262"/>
      <c r="D7" s="262"/>
      <c r="E7" s="262"/>
      <c r="F7" s="262"/>
      <c r="G7" s="262"/>
      <c r="H7" s="262"/>
      <c r="I7" s="270" t="s">
        <v>126</v>
      </c>
      <c r="J7" s="262"/>
      <c r="K7" s="262"/>
      <c r="L7" s="262"/>
    </row>
    <row r="8" spans="1:12" ht="15" customHeight="1">
      <c r="A8" s="271" t="s">
        <v>127</v>
      </c>
      <c r="B8" s="262"/>
      <c r="C8" s="262"/>
      <c r="D8" s="262"/>
      <c r="E8" s="262"/>
      <c r="F8" s="262"/>
      <c r="G8" s="262"/>
      <c r="H8" s="262"/>
      <c r="I8" s="268" t="s">
        <v>128</v>
      </c>
      <c r="J8" s="262"/>
      <c r="K8" s="262"/>
      <c r="L8" s="262"/>
    </row>
    <row r="9" spans="1:12" ht="15" customHeight="1">
      <c r="A9" s="269" t="s">
        <v>129</v>
      </c>
      <c r="B9" s="262"/>
      <c r="C9" s="262"/>
      <c r="D9" s="262"/>
      <c r="E9" s="262"/>
      <c r="F9" s="262"/>
      <c r="G9" s="262"/>
      <c r="H9" s="262"/>
      <c r="I9" s="270" t="s">
        <v>130</v>
      </c>
      <c r="J9" s="262"/>
      <c r="K9" s="262"/>
      <c r="L9" s="262"/>
    </row>
    <row r="10" spans="1:12" ht="15" customHeight="1">
      <c r="A10" s="271" t="s">
        <v>131</v>
      </c>
      <c r="B10" s="262"/>
      <c r="C10" s="262"/>
      <c r="D10" s="262"/>
      <c r="E10" s="262"/>
      <c r="F10" s="262"/>
      <c r="G10" s="262"/>
      <c r="H10" s="262"/>
      <c r="I10" s="268" t="s">
        <v>132</v>
      </c>
      <c r="J10" s="262"/>
      <c r="K10" s="262"/>
      <c r="L10" s="262"/>
    </row>
    <row r="11" spans="1:12" ht="15" customHeight="1">
      <c r="A11" s="269" t="s">
        <v>133</v>
      </c>
      <c r="B11" s="262"/>
      <c r="C11" s="262"/>
      <c r="D11" s="262"/>
      <c r="E11" s="262"/>
      <c r="F11" s="262"/>
      <c r="G11" s="262"/>
      <c r="H11" s="262"/>
      <c r="I11" s="270" t="s">
        <v>134</v>
      </c>
      <c r="J11" s="262"/>
      <c r="K11" s="262"/>
      <c r="L11" s="262"/>
    </row>
    <row r="12" spans="1:12" ht="15" customHeight="1">
      <c r="A12" s="271" t="s">
        <v>135</v>
      </c>
      <c r="B12" s="262"/>
      <c r="C12" s="262"/>
      <c r="D12" s="262"/>
      <c r="E12" s="262"/>
      <c r="F12" s="262"/>
      <c r="G12" s="262"/>
      <c r="H12" s="262"/>
      <c r="I12" s="268" t="s">
        <v>136</v>
      </c>
      <c r="J12" s="262"/>
      <c r="K12" s="262"/>
      <c r="L12" s="262"/>
    </row>
    <row r="13" spans="1:12" ht="15" customHeight="1">
      <c r="A13" s="269" t="s">
        <v>137</v>
      </c>
      <c r="B13" s="262"/>
      <c r="C13" s="262"/>
      <c r="D13" s="262"/>
      <c r="E13" s="262"/>
      <c r="F13" s="262"/>
      <c r="G13" s="262"/>
      <c r="H13" s="262"/>
      <c r="I13" s="270" t="s">
        <v>138</v>
      </c>
      <c r="J13" s="262"/>
      <c r="K13" s="262"/>
      <c r="L13" s="262"/>
    </row>
    <row r="14" spans="1:12" ht="15" customHeight="1">
      <c r="A14" s="271" t="s">
        <v>139</v>
      </c>
      <c r="B14" s="262"/>
      <c r="C14" s="262"/>
      <c r="D14" s="262"/>
      <c r="E14" s="262"/>
      <c r="F14" s="262"/>
      <c r="G14" s="262"/>
      <c r="H14" s="262"/>
      <c r="I14" s="268" t="s">
        <v>140</v>
      </c>
      <c r="J14" s="262"/>
      <c r="K14" s="262"/>
      <c r="L14" s="262"/>
    </row>
    <row r="15" spans="1:12" ht="15" customHeight="1">
      <c r="A15" s="269" t="s">
        <v>141</v>
      </c>
      <c r="B15" s="262"/>
      <c r="C15" s="262"/>
      <c r="D15" s="262"/>
      <c r="E15" s="262"/>
      <c r="F15" s="262"/>
      <c r="G15" s="262"/>
      <c r="H15" s="262"/>
      <c r="I15" s="270" t="s">
        <v>142</v>
      </c>
      <c r="J15" s="262"/>
      <c r="K15" s="262"/>
      <c r="L15" s="262"/>
    </row>
    <row r="16" spans="1:12" ht="15" customHeight="1">
      <c r="A16" s="271" t="s">
        <v>143</v>
      </c>
      <c r="B16" s="262"/>
      <c r="C16" s="262"/>
      <c r="D16" s="262"/>
      <c r="E16" s="262"/>
      <c r="F16" s="262"/>
      <c r="G16" s="262"/>
      <c r="H16" s="262"/>
      <c r="I16" s="268" t="s">
        <v>144</v>
      </c>
      <c r="J16" s="262"/>
      <c r="K16" s="262"/>
      <c r="L16" s="262"/>
    </row>
    <row r="17" spans="1:12" ht="15" customHeight="1">
      <c r="A17" s="269" t="s">
        <v>145</v>
      </c>
      <c r="B17" s="262"/>
      <c r="C17" s="262"/>
      <c r="D17" s="262"/>
      <c r="E17" s="262"/>
      <c r="F17" s="262"/>
      <c r="G17" s="262"/>
      <c r="H17" s="262"/>
      <c r="I17" s="270" t="s">
        <v>126</v>
      </c>
      <c r="J17" s="262"/>
      <c r="K17" s="262"/>
      <c r="L17" s="262"/>
    </row>
    <row r="18" spans="1:12" ht="15" customHeight="1">
      <c r="A18" s="271" t="s">
        <v>146</v>
      </c>
      <c r="B18" s="262"/>
      <c r="C18" s="262"/>
      <c r="D18" s="262"/>
      <c r="E18" s="262"/>
      <c r="F18" s="262"/>
      <c r="G18" s="262"/>
      <c r="H18" s="262"/>
      <c r="I18" s="268" t="s">
        <v>147</v>
      </c>
      <c r="J18" s="262"/>
      <c r="K18" s="262"/>
      <c r="L18" s="262"/>
    </row>
    <row r="19" spans="1:12" ht="15" customHeight="1">
      <c r="A19" s="269" t="s">
        <v>148</v>
      </c>
      <c r="B19" s="262"/>
      <c r="C19" s="262"/>
      <c r="D19" s="262"/>
      <c r="E19" s="262"/>
      <c r="F19" s="262"/>
      <c r="G19" s="262"/>
      <c r="H19" s="262"/>
      <c r="I19" s="270" t="s">
        <v>149</v>
      </c>
      <c r="J19" s="262"/>
      <c r="K19" s="262"/>
      <c r="L19" s="262"/>
    </row>
    <row r="20" spans="1:12" ht="15" customHeight="1">
      <c r="A20" s="271" t="s">
        <v>150</v>
      </c>
      <c r="B20" s="262"/>
      <c r="C20" s="262"/>
      <c r="D20" s="262"/>
      <c r="E20" s="262"/>
      <c r="F20" s="262"/>
      <c r="G20" s="262"/>
      <c r="H20" s="262"/>
      <c r="I20" s="268" t="s">
        <v>151</v>
      </c>
      <c r="J20" s="262"/>
      <c r="K20" s="262"/>
      <c r="L20" s="262"/>
    </row>
    <row r="21" spans="1:12" ht="15" customHeight="1">
      <c r="A21" s="269" t="s">
        <v>152</v>
      </c>
      <c r="B21" s="262"/>
      <c r="C21" s="262"/>
      <c r="D21" s="262"/>
      <c r="E21" s="262"/>
      <c r="F21" s="262"/>
      <c r="G21" s="262"/>
      <c r="H21" s="262"/>
      <c r="I21" s="270" t="s">
        <v>134</v>
      </c>
      <c r="J21" s="262"/>
      <c r="K21" s="262"/>
      <c r="L21" s="262"/>
    </row>
    <row r="22" spans="1:12" ht="15" customHeight="1">
      <c r="A22" s="271" t="s">
        <v>153</v>
      </c>
      <c r="B22" s="262"/>
      <c r="C22" s="262"/>
      <c r="D22" s="262"/>
      <c r="E22" s="262"/>
      <c r="F22" s="262"/>
      <c r="G22" s="262"/>
      <c r="H22" s="262"/>
      <c r="I22" s="268" t="s">
        <v>140</v>
      </c>
      <c r="J22" s="262"/>
      <c r="K22" s="262"/>
      <c r="L22" s="262"/>
    </row>
    <row r="23" spans="1:12" ht="15" customHeight="1">
      <c r="A23" s="269" t="s">
        <v>154</v>
      </c>
      <c r="B23" s="262"/>
      <c r="C23" s="262"/>
      <c r="D23" s="262"/>
      <c r="E23" s="262"/>
      <c r="F23" s="262"/>
      <c r="G23" s="262"/>
      <c r="H23" s="262"/>
      <c r="I23" s="270" t="s">
        <v>155</v>
      </c>
      <c r="J23" s="262"/>
      <c r="K23" s="262"/>
      <c r="L23" s="262"/>
    </row>
    <row r="24" spans="1:12" ht="15" customHeight="1">
      <c r="A24" s="271" t="s">
        <v>156</v>
      </c>
      <c r="B24" s="262"/>
      <c r="C24" s="262"/>
      <c r="D24" s="262"/>
      <c r="E24" s="262"/>
      <c r="F24" s="262"/>
      <c r="G24" s="262"/>
      <c r="H24" s="262"/>
      <c r="I24" s="268" t="s">
        <v>157</v>
      </c>
      <c r="J24" s="262"/>
      <c r="K24" s="262"/>
      <c r="L24" s="262"/>
    </row>
    <row r="25" spans="1:12" ht="15" customHeight="1">
      <c r="A25" s="269" t="s">
        <v>158</v>
      </c>
      <c r="B25" s="262"/>
      <c r="C25" s="262"/>
      <c r="D25" s="262"/>
      <c r="E25" s="262"/>
      <c r="F25" s="262"/>
      <c r="G25" s="262"/>
      <c r="H25" s="262"/>
      <c r="I25" s="270" t="s">
        <v>157</v>
      </c>
      <c r="J25" s="262"/>
      <c r="K25" s="262"/>
      <c r="L25" s="262"/>
    </row>
    <row r="26" spans="1:12" ht="15" customHeight="1">
      <c r="A26" s="271" t="s">
        <v>159</v>
      </c>
      <c r="B26" s="262"/>
      <c r="C26" s="262"/>
      <c r="D26" s="262"/>
      <c r="E26" s="262"/>
      <c r="F26" s="262"/>
      <c r="G26" s="262"/>
      <c r="H26" s="262"/>
      <c r="I26" s="268" t="s">
        <v>142</v>
      </c>
      <c r="J26" s="262"/>
      <c r="K26" s="262"/>
      <c r="L26" s="262"/>
    </row>
    <row r="27" spans="1:12" ht="15" customHeight="1">
      <c r="A27" s="269" t="s">
        <v>160</v>
      </c>
      <c r="B27" s="262"/>
      <c r="C27" s="262"/>
      <c r="D27" s="262"/>
      <c r="E27" s="262"/>
      <c r="F27" s="262"/>
      <c r="G27" s="262"/>
      <c r="H27" s="262"/>
      <c r="I27" s="270" t="s">
        <v>130</v>
      </c>
      <c r="J27" s="262"/>
      <c r="K27" s="262"/>
      <c r="L27" s="262"/>
    </row>
    <row r="28" spans="1:12" ht="15" customHeight="1">
      <c r="A28" s="271" t="s">
        <v>161</v>
      </c>
      <c r="B28" s="262"/>
      <c r="C28" s="262"/>
      <c r="D28" s="262"/>
      <c r="E28" s="262"/>
      <c r="F28" s="262"/>
      <c r="G28" s="262"/>
      <c r="H28" s="262"/>
      <c r="I28" s="268" t="s">
        <v>162</v>
      </c>
      <c r="J28" s="262"/>
      <c r="K28" s="262"/>
      <c r="L28" s="262"/>
    </row>
    <row r="29" spans="1:12" ht="15" customHeight="1">
      <c r="A29" s="269" t="s">
        <v>163</v>
      </c>
      <c r="B29" s="262"/>
      <c r="C29" s="262"/>
      <c r="D29" s="262"/>
      <c r="E29" s="262"/>
      <c r="F29" s="262"/>
      <c r="G29" s="262"/>
      <c r="H29" s="262"/>
      <c r="I29" s="270" t="s">
        <v>155</v>
      </c>
      <c r="J29" s="262"/>
      <c r="K29" s="262"/>
      <c r="L29" s="262"/>
    </row>
    <row r="30" spans="1:12" ht="15" customHeight="1">
      <c r="A30" s="271" t="s">
        <v>164</v>
      </c>
      <c r="B30" s="262"/>
      <c r="C30" s="262"/>
      <c r="D30" s="262"/>
      <c r="E30" s="262"/>
      <c r="F30" s="262"/>
      <c r="G30" s="262"/>
      <c r="H30" s="262"/>
      <c r="I30" s="268" t="s">
        <v>165</v>
      </c>
      <c r="J30" s="262"/>
      <c r="K30" s="262"/>
      <c r="L30" s="262"/>
    </row>
    <row r="31" spans="1:12" ht="15" customHeight="1">
      <c r="A31" s="269" t="s">
        <v>166</v>
      </c>
      <c r="B31" s="262"/>
      <c r="C31" s="262"/>
      <c r="D31" s="262"/>
      <c r="E31" s="262"/>
      <c r="F31" s="262"/>
      <c r="G31" s="262"/>
      <c r="H31" s="262"/>
      <c r="I31" s="270" t="s">
        <v>147</v>
      </c>
      <c r="J31" s="262"/>
      <c r="K31" s="262"/>
      <c r="L31" s="262"/>
    </row>
    <row r="32" spans="1:12" ht="15" customHeight="1">
      <c r="A32" s="271" t="s">
        <v>167</v>
      </c>
      <c r="B32" s="262"/>
      <c r="C32" s="262"/>
      <c r="D32" s="262"/>
      <c r="E32" s="262"/>
      <c r="F32" s="262"/>
      <c r="G32" s="262"/>
      <c r="H32" s="262"/>
      <c r="I32" s="268" t="s">
        <v>168</v>
      </c>
      <c r="J32" s="262"/>
      <c r="K32" s="262"/>
      <c r="L32" s="262"/>
    </row>
    <row r="33" spans="1:12" ht="15" customHeight="1">
      <c r="A33" s="269" t="s">
        <v>169</v>
      </c>
      <c r="B33" s="262"/>
      <c r="C33" s="262"/>
      <c r="D33" s="262"/>
      <c r="E33" s="262"/>
      <c r="F33" s="262"/>
      <c r="G33" s="262"/>
      <c r="H33" s="262"/>
      <c r="I33" s="270" t="s">
        <v>157</v>
      </c>
      <c r="J33" s="262"/>
      <c r="K33" s="262"/>
      <c r="L33" s="262"/>
    </row>
    <row r="34" spans="1:12" ht="15" customHeight="1">
      <c r="A34" s="271" t="s">
        <v>170</v>
      </c>
      <c r="B34" s="262"/>
      <c r="C34" s="262"/>
      <c r="D34" s="262"/>
      <c r="E34" s="262"/>
      <c r="F34" s="262"/>
      <c r="G34" s="262"/>
      <c r="H34" s="262"/>
      <c r="I34" s="268" t="s">
        <v>144</v>
      </c>
      <c r="J34" s="262"/>
      <c r="K34" s="262"/>
      <c r="L34" s="262"/>
    </row>
    <row r="35" spans="1:12" ht="15" customHeight="1">
      <c r="A35" s="269" t="s">
        <v>171</v>
      </c>
      <c r="B35" s="262"/>
      <c r="C35" s="262"/>
      <c r="D35" s="262"/>
      <c r="E35" s="262"/>
      <c r="F35" s="262"/>
      <c r="G35" s="262"/>
      <c r="H35" s="262"/>
      <c r="I35" s="270" t="s">
        <v>130</v>
      </c>
      <c r="J35" s="262"/>
      <c r="K35" s="262"/>
      <c r="L35" s="262"/>
    </row>
    <row r="36" spans="1:12" ht="108.75" customHeight="1">
      <c r="A36" s="2" t="s">
        <v>172</v>
      </c>
    </row>
    <row r="37" spans="1:12" ht="19.5" customHeight="1">
      <c r="A37" s="266" t="s">
        <v>125</v>
      </c>
      <c r="B37" s="262"/>
      <c r="C37" s="262"/>
    </row>
    <row r="38" spans="1:12" ht="25.5" customHeight="1">
      <c r="A38" s="3" t="s">
        <v>173</v>
      </c>
      <c r="B38" s="3" t="s">
        <v>174</v>
      </c>
      <c r="C38" s="3" t="s">
        <v>175</v>
      </c>
    </row>
    <row r="39" spans="1:12" ht="15" customHeight="1">
      <c r="A39" s="4" t="s">
        <v>176</v>
      </c>
      <c r="B39" s="5">
        <v>2024</v>
      </c>
      <c r="C39" s="6" t="s">
        <v>177</v>
      </c>
    </row>
    <row r="40" spans="1:12" ht="15" customHeight="1">
      <c r="A40" s="4" t="s">
        <v>178</v>
      </c>
      <c r="B40" s="5">
        <v>2025</v>
      </c>
      <c r="C40" s="6" t="s">
        <v>177</v>
      </c>
    </row>
    <row r="41" spans="1:12" ht="15" customHeight="1">
      <c r="A41" s="4" t="s">
        <v>179</v>
      </c>
      <c r="B41" s="5">
        <v>2026</v>
      </c>
      <c r="C41" s="6" t="s">
        <v>177</v>
      </c>
    </row>
    <row r="42" spans="1:12" ht="15" customHeight="1">
      <c r="A42" s="4" t="s">
        <v>180</v>
      </c>
      <c r="B42" s="5">
        <v>2027</v>
      </c>
      <c r="C42" s="6" t="s">
        <v>177</v>
      </c>
    </row>
    <row r="43" spans="1:12" ht="15" customHeight="1">
      <c r="A43" s="4" t="s">
        <v>181</v>
      </c>
      <c r="B43" s="5">
        <v>2028</v>
      </c>
      <c r="C43" s="6" t="s">
        <v>177</v>
      </c>
    </row>
    <row r="44" spans="1:12" ht="15" customHeight="1">
      <c r="A44" s="4" t="s">
        <v>182</v>
      </c>
      <c r="B44" s="5">
        <v>2029</v>
      </c>
      <c r="C44" s="6" t="s">
        <v>177</v>
      </c>
    </row>
    <row r="45" spans="1:12" ht="15" customHeight="1">
      <c r="A45" s="4" t="s">
        <v>183</v>
      </c>
      <c r="B45" s="5">
        <v>2030</v>
      </c>
      <c r="C45" s="6" t="s">
        <v>177</v>
      </c>
    </row>
    <row r="46" spans="1:12" ht="15" customHeight="1">
      <c r="A46" s="4" t="s">
        <v>184</v>
      </c>
      <c r="B46" s="5">
        <v>2031</v>
      </c>
      <c r="C46" s="6" t="s">
        <v>177</v>
      </c>
    </row>
    <row r="47" spans="1:12" ht="15" customHeight="1">
      <c r="A47" s="4" t="s">
        <v>185</v>
      </c>
      <c r="B47" s="5">
        <v>2032</v>
      </c>
      <c r="C47" s="6" t="s">
        <v>177</v>
      </c>
    </row>
    <row r="48" spans="1:12" ht="15" customHeight="1">
      <c r="A48" s="4" t="s">
        <v>186</v>
      </c>
      <c r="B48" s="5">
        <v>2033</v>
      </c>
      <c r="C48" s="6" t="s">
        <v>177</v>
      </c>
    </row>
    <row r="49" spans="1:3" ht="15" customHeight="1">
      <c r="A49" s="4"/>
      <c r="B49" s="5"/>
      <c r="C49" s="6"/>
    </row>
    <row r="50" spans="1:3" ht="15" customHeight="1">
      <c r="A50" s="7"/>
    </row>
    <row r="51" spans="1:3" ht="19.5" customHeight="1">
      <c r="A51" s="266" t="s">
        <v>127</v>
      </c>
      <c r="B51" s="262"/>
      <c r="C51" s="262"/>
    </row>
    <row r="52" spans="1:3" ht="25.5" customHeight="1">
      <c r="A52" s="3" t="s">
        <v>187</v>
      </c>
      <c r="B52" s="3" t="s">
        <v>8</v>
      </c>
      <c r="C52" s="3" t="s">
        <v>188</v>
      </c>
    </row>
    <row r="53" spans="1:3" ht="15" customHeight="1">
      <c r="A53" s="8">
        <v>1</v>
      </c>
      <c r="B53" s="6" t="s">
        <v>3</v>
      </c>
      <c r="C53" s="6" t="s">
        <v>189</v>
      </c>
    </row>
    <row r="54" spans="1:3" ht="15" customHeight="1">
      <c r="A54" s="8">
        <v>2</v>
      </c>
      <c r="B54" s="6" t="s">
        <v>190</v>
      </c>
      <c r="C54" s="6" t="s">
        <v>189</v>
      </c>
    </row>
    <row r="55" spans="1:3" ht="15" customHeight="1">
      <c r="A55" s="8">
        <v>3</v>
      </c>
      <c r="B55" s="6" t="s">
        <v>16</v>
      </c>
      <c r="C55" s="6" t="s">
        <v>189</v>
      </c>
    </row>
    <row r="56" spans="1:3" ht="15" customHeight="1">
      <c r="A56" s="8">
        <v>4</v>
      </c>
      <c r="B56" s="6" t="s">
        <v>20</v>
      </c>
      <c r="C56" s="6" t="s">
        <v>191</v>
      </c>
    </row>
    <row r="57" spans="1:3" ht="15" customHeight="1">
      <c r="A57" s="8">
        <v>5</v>
      </c>
      <c r="B57" s="6" t="s">
        <v>25</v>
      </c>
      <c r="C57" s="6" t="s">
        <v>191</v>
      </c>
    </row>
    <row r="58" spans="1:3" ht="15" customHeight="1">
      <c r="A58" s="8">
        <v>6</v>
      </c>
      <c r="B58" s="6" t="s">
        <v>33</v>
      </c>
      <c r="C58" s="6" t="s">
        <v>191</v>
      </c>
    </row>
    <row r="59" spans="1:3" ht="15" customHeight="1">
      <c r="A59" s="8">
        <v>7</v>
      </c>
      <c r="B59" s="6" t="s">
        <v>35</v>
      </c>
      <c r="C59" s="6" t="s">
        <v>192</v>
      </c>
    </row>
    <row r="60" spans="1:3" ht="15" customHeight="1">
      <c r="A60" s="8">
        <v>8</v>
      </c>
      <c r="B60" s="6" t="s">
        <v>193</v>
      </c>
      <c r="C60" s="6" t="s">
        <v>192</v>
      </c>
    </row>
    <row r="61" spans="1:3" ht="15" customHeight="1">
      <c r="A61" s="8">
        <v>9</v>
      </c>
      <c r="B61" s="6" t="s">
        <v>39</v>
      </c>
      <c r="C61" s="6" t="s">
        <v>192</v>
      </c>
    </row>
    <row r="62" spans="1:3" ht="15" customHeight="1">
      <c r="A62" s="8">
        <v>10</v>
      </c>
      <c r="B62" s="6" t="s">
        <v>47</v>
      </c>
      <c r="C62" s="6" t="s">
        <v>194</v>
      </c>
    </row>
    <row r="63" spans="1:3" ht="15" customHeight="1">
      <c r="A63" s="8">
        <v>11</v>
      </c>
      <c r="B63" s="6" t="s">
        <v>49</v>
      </c>
      <c r="C63" s="6" t="s">
        <v>194</v>
      </c>
    </row>
    <row r="64" spans="1:3" ht="15" customHeight="1">
      <c r="A64" s="8">
        <v>12</v>
      </c>
      <c r="B64" s="6" t="s">
        <v>195</v>
      </c>
      <c r="C64" s="6" t="s">
        <v>194</v>
      </c>
    </row>
    <row r="65" spans="1:4" ht="15" customHeight="1">
      <c r="A65" s="7" t="s">
        <v>196</v>
      </c>
    </row>
    <row r="66" spans="1:4" ht="19.5" customHeight="1">
      <c r="A66" s="266" t="s">
        <v>129</v>
      </c>
      <c r="B66" s="262"/>
      <c r="C66" s="262"/>
      <c r="D66" s="262"/>
    </row>
    <row r="67" spans="1:4" ht="25.5" customHeight="1">
      <c r="A67" s="3" t="s">
        <v>173</v>
      </c>
      <c r="B67" s="3" t="s">
        <v>188</v>
      </c>
      <c r="C67" s="3" t="s">
        <v>197</v>
      </c>
      <c r="D67" s="3" t="s">
        <v>198</v>
      </c>
    </row>
    <row r="68" spans="1:4" ht="15" customHeight="1">
      <c r="A68" s="4" t="s">
        <v>189</v>
      </c>
      <c r="B68" s="6" t="s">
        <v>199</v>
      </c>
      <c r="C68" s="6" t="s">
        <v>200</v>
      </c>
      <c r="D68" s="5">
        <v>1</v>
      </c>
    </row>
    <row r="69" spans="1:4" ht="15" customHeight="1">
      <c r="A69" s="4" t="s">
        <v>191</v>
      </c>
      <c r="B69" s="6" t="s">
        <v>201</v>
      </c>
      <c r="C69" s="6" t="s">
        <v>202</v>
      </c>
      <c r="D69" s="5">
        <v>2</v>
      </c>
    </row>
    <row r="70" spans="1:4" ht="15" customHeight="1">
      <c r="A70" s="4" t="s">
        <v>192</v>
      </c>
      <c r="B70" s="6" t="s">
        <v>203</v>
      </c>
      <c r="C70" s="6" t="s">
        <v>204</v>
      </c>
      <c r="D70" s="5">
        <v>3</v>
      </c>
    </row>
    <row r="71" spans="1:4" ht="15" customHeight="1">
      <c r="A71" s="4" t="s">
        <v>194</v>
      </c>
      <c r="B71" s="6" t="s">
        <v>205</v>
      </c>
      <c r="C71" s="6" t="s">
        <v>206</v>
      </c>
      <c r="D71" s="5">
        <v>4</v>
      </c>
    </row>
    <row r="72" spans="1:4" ht="15" customHeight="1">
      <c r="A72" s="7" t="s">
        <v>196</v>
      </c>
    </row>
    <row r="73" spans="1:4" ht="19.5" customHeight="1">
      <c r="A73" s="266" t="s">
        <v>131</v>
      </c>
      <c r="B73" s="262"/>
      <c r="C73" s="262"/>
      <c r="D73" s="262"/>
    </row>
    <row r="74" spans="1:4" ht="25.5" customHeight="1">
      <c r="A74" s="3" t="s">
        <v>173</v>
      </c>
      <c r="B74" s="3" t="s">
        <v>207</v>
      </c>
      <c r="C74" s="3" t="s">
        <v>175</v>
      </c>
      <c r="D74" s="3" t="s">
        <v>198</v>
      </c>
    </row>
    <row r="75" spans="1:4" ht="15" customHeight="1">
      <c r="A75" s="4" t="s">
        <v>208</v>
      </c>
      <c r="B75" s="6" t="s">
        <v>209</v>
      </c>
      <c r="C75" s="6" t="s">
        <v>177</v>
      </c>
      <c r="D75" s="5">
        <v>1</v>
      </c>
    </row>
    <row r="76" spans="1:4" ht="15" customHeight="1">
      <c r="A76" s="4" t="s">
        <v>210</v>
      </c>
      <c r="B76" s="6" t="s">
        <v>211</v>
      </c>
      <c r="C76" s="6" t="s">
        <v>177</v>
      </c>
      <c r="D76" s="5">
        <v>2</v>
      </c>
    </row>
    <row r="77" spans="1:4" ht="15" customHeight="1">
      <c r="A77" s="4" t="s">
        <v>212</v>
      </c>
      <c r="B77" s="6" t="s">
        <v>213</v>
      </c>
      <c r="C77" s="6" t="s">
        <v>177</v>
      </c>
      <c r="D77" s="5">
        <v>3</v>
      </c>
    </row>
    <row r="78" spans="1:4" ht="15" customHeight="1">
      <c r="A78" s="4" t="s">
        <v>214</v>
      </c>
      <c r="B78" s="6" t="s">
        <v>215</v>
      </c>
      <c r="C78" s="6" t="s">
        <v>177</v>
      </c>
      <c r="D78" s="5">
        <v>4</v>
      </c>
    </row>
    <row r="79" spans="1:4" ht="15" customHeight="1">
      <c r="A79" s="4" t="s">
        <v>216</v>
      </c>
      <c r="B79" s="6" t="s">
        <v>217</v>
      </c>
      <c r="C79" s="6" t="s">
        <v>177</v>
      </c>
      <c r="D79" s="5">
        <v>5</v>
      </c>
    </row>
    <row r="80" spans="1:4" ht="15" customHeight="1">
      <c r="A80" s="4" t="s">
        <v>218</v>
      </c>
      <c r="B80" s="6" t="s">
        <v>219</v>
      </c>
      <c r="C80" s="6" t="s">
        <v>177</v>
      </c>
      <c r="D80" s="5">
        <v>6</v>
      </c>
    </row>
    <row r="81" spans="1:4" ht="15" customHeight="1">
      <c r="A81" s="4" t="s">
        <v>220</v>
      </c>
      <c r="B81" s="6" t="s">
        <v>221</v>
      </c>
      <c r="C81" s="6" t="s">
        <v>177</v>
      </c>
      <c r="D81" s="5">
        <v>7</v>
      </c>
    </row>
    <row r="82" spans="1:4" ht="15" customHeight="1">
      <c r="A82" s="4" t="s">
        <v>222</v>
      </c>
      <c r="B82" s="6" t="s">
        <v>223</v>
      </c>
      <c r="C82" s="6" t="s">
        <v>177</v>
      </c>
      <c r="D82" s="5">
        <v>8</v>
      </c>
    </row>
    <row r="83" spans="1:4" ht="15" customHeight="1">
      <c r="A83" s="4" t="s">
        <v>224</v>
      </c>
      <c r="B83" s="6" t="s">
        <v>13</v>
      </c>
      <c r="C83" s="6" t="s">
        <v>177</v>
      </c>
      <c r="D83" s="5">
        <v>9</v>
      </c>
    </row>
    <row r="84" spans="1:4" ht="15" customHeight="1">
      <c r="A84" s="4" t="s">
        <v>225</v>
      </c>
      <c r="B84" s="6" t="s">
        <v>21</v>
      </c>
      <c r="C84" s="6" t="s">
        <v>177</v>
      </c>
      <c r="D84" s="5">
        <v>10</v>
      </c>
    </row>
    <row r="85" spans="1:4" ht="15" customHeight="1">
      <c r="A85" s="4" t="s">
        <v>226</v>
      </c>
      <c r="B85" s="6" t="s">
        <v>227</v>
      </c>
      <c r="C85" s="6" t="s">
        <v>177</v>
      </c>
      <c r="D85" s="5">
        <v>11</v>
      </c>
    </row>
    <row r="86" spans="1:4" ht="15" customHeight="1">
      <c r="A86" s="4" t="s">
        <v>228</v>
      </c>
      <c r="B86" s="6" t="s">
        <v>229</v>
      </c>
      <c r="C86" s="6" t="s">
        <v>177</v>
      </c>
      <c r="D86" s="5">
        <v>12</v>
      </c>
    </row>
    <row r="87" spans="1:4" ht="15" customHeight="1">
      <c r="A87" s="4" t="s">
        <v>230</v>
      </c>
      <c r="B87" s="6" t="s">
        <v>231</v>
      </c>
      <c r="C87" s="6" t="s">
        <v>177</v>
      </c>
      <c r="D87" s="5">
        <v>13</v>
      </c>
    </row>
    <row r="88" spans="1:4" ht="15" customHeight="1">
      <c r="A88" s="4" t="s">
        <v>232</v>
      </c>
      <c r="B88" s="6" t="s">
        <v>233</v>
      </c>
      <c r="C88" s="6" t="s">
        <v>177</v>
      </c>
      <c r="D88" s="5">
        <v>14</v>
      </c>
    </row>
    <row r="89" spans="1:4" ht="15" customHeight="1">
      <c r="A89" s="4" t="s">
        <v>234</v>
      </c>
      <c r="B89" s="6" t="s">
        <v>235</v>
      </c>
      <c r="C89" s="6" t="s">
        <v>177</v>
      </c>
      <c r="D89" s="5">
        <v>15</v>
      </c>
    </row>
    <row r="90" spans="1:4" ht="15" customHeight="1">
      <c r="A90" s="7" t="s">
        <v>196</v>
      </c>
    </row>
    <row r="91" spans="1:4" ht="19.5" customHeight="1">
      <c r="A91" s="266" t="s">
        <v>133</v>
      </c>
      <c r="B91" s="262"/>
      <c r="C91" s="262"/>
      <c r="D91" s="262"/>
    </row>
    <row r="92" spans="1:4" ht="25.5" customHeight="1">
      <c r="A92" s="3" t="s">
        <v>173</v>
      </c>
      <c r="B92" s="3" t="s">
        <v>207</v>
      </c>
      <c r="C92" s="3" t="s">
        <v>175</v>
      </c>
      <c r="D92" s="3" t="s">
        <v>198</v>
      </c>
    </row>
    <row r="93" spans="1:4" ht="15" customHeight="1">
      <c r="A93" s="4" t="s">
        <v>236</v>
      </c>
      <c r="B93" s="6" t="s">
        <v>237</v>
      </c>
      <c r="C93" s="6" t="s">
        <v>177</v>
      </c>
      <c r="D93" s="5">
        <v>1</v>
      </c>
    </row>
    <row r="94" spans="1:4" ht="15" customHeight="1">
      <c r="A94" s="4" t="s">
        <v>238</v>
      </c>
      <c r="B94" s="6" t="s">
        <v>211</v>
      </c>
      <c r="C94" s="6" t="s">
        <v>177</v>
      </c>
      <c r="D94" s="5">
        <v>2</v>
      </c>
    </row>
    <row r="95" spans="1:4" ht="15" customHeight="1">
      <c r="A95" s="4" t="s">
        <v>239</v>
      </c>
      <c r="B95" s="6" t="s">
        <v>240</v>
      </c>
      <c r="C95" s="6" t="s">
        <v>177</v>
      </c>
      <c r="D95" s="5">
        <v>3</v>
      </c>
    </row>
    <row r="96" spans="1:4" ht="15" customHeight="1">
      <c r="A96" s="4" t="s">
        <v>241</v>
      </c>
      <c r="B96" s="6" t="s">
        <v>13</v>
      </c>
      <c r="C96" s="6" t="s">
        <v>177</v>
      </c>
      <c r="D96" s="5">
        <v>4</v>
      </c>
    </row>
    <row r="97" spans="1:6" ht="15" customHeight="1">
      <c r="A97" s="4" t="s">
        <v>242</v>
      </c>
      <c r="B97" s="6" t="s">
        <v>243</v>
      </c>
      <c r="C97" s="6" t="s">
        <v>177</v>
      </c>
      <c r="D97" s="5">
        <v>5</v>
      </c>
    </row>
    <row r="98" spans="1:6" ht="15" customHeight="1">
      <c r="A98" s="4" t="s">
        <v>244</v>
      </c>
      <c r="B98" s="6" t="s">
        <v>245</v>
      </c>
      <c r="C98" s="6" t="s">
        <v>177</v>
      </c>
      <c r="D98" s="5">
        <v>6</v>
      </c>
    </row>
    <row r="99" spans="1:6" ht="15" customHeight="1">
      <c r="A99" s="4" t="s">
        <v>246</v>
      </c>
      <c r="B99" s="6" t="s">
        <v>247</v>
      </c>
      <c r="C99" s="6" t="s">
        <v>177</v>
      </c>
      <c r="D99" s="5">
        <v>7</v>
      </c>
    </row>
    <row r="100" spans="1:6" ht="15" customHeight="1">
      <c r="A100" s="4" t="s">
        <v>248</v>
      </c>
      <c r="B100" s="6" t="s">
        <v>249</v>
      </c>
      <c r="C100" s="6" t="s">
        <v>177</v>
      </c>
      <c r="D100" s="5">
        <v>8</v>
      </c>
    </row>
    <row r="101" spans="1:6" ht="15" customHeight="1">
      <c r="A101" s="4" t="s">
        <v>250</v>
      </c>
      <c r="B101" s="6" t="s">
        <v>251</v>
      </c>
      <c r="C101" s="6" t="s">
        <v>177</v>
      </c>
      <c r="D101" s="5">
        <v>9</v>
      </c>
    </row>
    <row r="102" spans="1:6" ht="15" customHeight="1">
      <c r="A102" s="7" t="s">
        <v>196</v>
      </c>
    </row>
    <row r="103" spans="1:6" ht="19.5" customHeight="1">
      <c r="A103" s="266" t="s">
        <v>135</v>
      </c>
      <c r="B103" s="262"/>
      <c r="C103" s="262"/>
      <c r="D103" s="262"/>
      <c r="E103" s="262"/>
      <c r="F103" s="262"/>
    </row>
    <row r="104" spans="1:6" ht="25.5" customHeight="1">
      <c r="A104" s="3" t="s">
        <v>173</v>
      </c>
      <c r="B104" s="3" t="s">
        <v>207</v>
      </c>
      <c r="C104" s="3" t="s">
        <v>252</v>
      </c>
      <c r="D104" s="3" t="s">
        <v>253</v>
      </c>
      <c r="E104" s="3" t="s">
        <v>175</v>
      </c>
      <c r="F104" s="3" t="s">
        <v>198</v>
      </c>
    </row>
    <row r="105" spans="1:6" ht="15" customHeight="1">
      <c r="A105" s="4" t="s">
        <v>254</v>
      </c>
      <c r="B105" s="6" t="s">
        <v>11</v>
      </c>
      <c r="C105" s="6" t="s">
        <v>255</v>
      </c>
      <c r="D105" s="6" t="s">
        <v>256</v>
      </c>
      <c r="E105" s="6" t="s">
        <v>177</v>
      </c>
      <c r="F105" s="5">
        <v>1</v>
      </c>
    </row>
    <row r="106" spans="1:6" ht="15" customHeight="1">
      <c r="A106" s="4" t="s">
        <v>257</v>
      </c>
      <c r="B106" s="6" t="s">
        <v>15</v>
      </c>
      <c r="C106" s="6" t="s">
        <v>258</v>
      </c>
      <c r="D106" s="6" t="s">
        <v>256</v>
      </c>
      <c r="E106" s="6" t="s">
        <v>177</v>
      </c>
      <c r="F106" s="5">
        <v>2</v>
      </c>
    </row>
    <row r="107" spans="1:6" ht="15" customHeight="1">
      <c r="A107" s="4" t="s">
        <v>259</v>
      </c>
      <c r="B107" s="6" t="s">
        <v>19</v>
      </c>
      <c r="C107" s="6" t="s">
        <v>260</v>
      </c>
      <c r="D107" s="6" t="s">
        <v>256</v>
      </c>
      <c r="E107" s="6" t="s">
        <v>177</v>
      </c>
      <c r="F107" s="5">
        <v>3</v>
      </c>
    </row>
    <row r="108" spans="1:6" ht="15" customHeight="1">
      <c r="A108" s="4" t="s">
        <v>261</v>
      </c>
      <c r="B108" s="6" t="s">
        <v>24</v>
      </c>
      <c r="C108" s="6" t="s">
        <v>262</v>
      </c>
      <c r="D108" s="6" t="s">
        <v>256</v>
      </c>
      <c r="E108" s="6" t="s">
        <v>177</v>
      </c>
      <c r="F108" s="5">
        <v>4</v>
      </c>
    </row>
    <row r="109" spans="1:6" ht="15" customHeight="1">
      <c r="A109" s="4" t="s">
        <v>263</v>
      </c>
      <c r="B109" s="6" t="s">
        <v>32</v>
      </c>
      <c r="C109" s="6" t="s">
        <v>264</v>
      </c>
      <c r="D109" s="6" t="s">
        <v>256</v>
      </c>
      <c r="E109" s="6" t="s">
        <v>177</v>
      </c>
      <c r="F109" s="5">
        <v>5</v>
      </c>
    </row>
    <row r="110" spans="1:6" ht="15" customHeight="1">
      <c r="A110" s="4" t="s">
        <v>265</v>
      </c>
      <c r="B110" s="6" t="s">
        <v>34</v>
      </c>
      <c r="C110" s="6" t="s">
        <v>266</v>
      </c>
      <c r="D110" s="6" t="s">
        <v>256</v>
      </c>
      <c r="E110" s="6" t="s">
        <v>177</v>
      </c>
      <c r="F110" s="5">
        <v>6</v>
      </c>
    </row>
    <row r="111" spans="1:6" ht="15" customHeight="1">
      <c r="A111" s="4" t="s">
        <v>267</v>
      </c>
      <c r="B111" s="6" t="s">
        <v>36</v>
      </c>
      <c r="C111" s="6" t="s">
        <v>268</v>
      </c>
      <c r="D111" s="6" t="s">
        <v>256</v>
      </c>
      <c r="E111" s="6" t="s">
        <v>177</v>
      </c>
      <c r="F111" s="5">
        <v>7</v>
      </c>
    </row>
    <row r="112" spans="1:6" ht="15" customHeight="1">
      <c r="A112" s="4" t="s">
        <v>269</v>
      </c>
      <c r="B112" s="6" t="s">
        <v>38</v>
      </c>
      <c r="C112" s="6" t="s">
        <v>270</v>
      </c>
      <c r="D112" s="6" t="s">
        <v>256</v>
      </c>
      <c r="E112" s="6" t="s">
        <v>177</v>
      </c>
      <c r="F112" s="5">
        <v>8</v>
      </c>
    </row>
    <row r="113" spans="1:6" ht="15" customHeight="1">
      <c r="A113" s="4" t="s">
        <v>271</v>
      </c>
      <c r="B113" s="6" t="s">
        <v>46</v>
      </c>
      <c r="C113" s="6" t="s">
        <v>272</v>
      </c>
      <c r="D113" s="6" t="s">
        <v>256</v>
      </c>
      <c r="E113" s="6" t="s">
        <v>177</v>
      </c>
      <c r="F113" s="5">
        <v>9</v>
      </c>
    </row>
    <row r="114" spans="1:6" ht="15" customHeight="1">
      <c r="A114" s="4" t="s">
        <v>273</v>
      </c>
      <c r="B114" s="6" t="s">
        <v>48</v>
      </c>
      <c r="C114" s="6" t="s">
        <v>274</v>
      </c>
      <c r="D114" s="6" t="s">
        <v>275</v>
      </c>
      <c r="E114" s="6" t="s">
        <v>177</v>
      </c>
      <c r="F114" s="5">
        <v>10</v>
      </c>
    </row>
    <row r="115" spans="1:6" ht="15" customHeight="1">
      <c r="A115" s="4" t="s">
        <v>276</v>
      </c>
      <c r="B115" s="6" t="s">
        <v>50</v>
      </c>
      <c r="C115" s="6" t="s">
        <v>277</v>
      </c>
      <c r="D115" s="6" t="s">
        <v>275</v>
      </c>
      <c r="E115" s="6" t="s">
        <v>177</v>
      </c>
      <c r="F115" s="5">
        <v>11</v>
      </c>
    </row>
    <row r="116" spans="1:6" ht="15" customHeight="1">
      <c r="A116" s="4" t="s">
        <v>278</v>
      </c>
      <c r="B116" s="6" t="s">
        <v>52</v>
      </c>
      <c r="C116" s="6" t="s">
        <v>279</v>
      </c>
      <c r="D116" s="6" t="s">
        <v>275</v>
      </c>
      <c r="E116" s="6" t="s">
        <v>177</v>
      </c>
      <c r="F116" s="5">
        <v>12</v>
      </c>
    </row>
    <row r="117" spans="1:6" ht="15" customHeight="1">
      <c r="A117" s="4" t="s">
        <v>280</v>
      </c>
      <c r="B117" s="6" t="s">
        <v>53</v>
      </c>
      <c r="C117" s="6" t="s">
        <v>281</v>
      </c>
      <c r="D117" s="6" t="s">
        <v>275</v>
      </c>
      <c r="E117" s="6" t="s">
        <v>177</v>
      </c>
      <c r="F117" s="5">
        <v>13</v>
      </c>
    </row>
    <row r="118" spans="1:6" ht="15" customHeight="1">
      <c r="A118" s="4" t="s">
        <v>282</v>
      </c>
      <c r="B118" s="6" t="s">
        <v>60</v>
      </c>
      <c r="C118" s="6" t="s">
        <v>283</v>
      </c>
      <c r="D118" s="6" t="s">
        <v>275</v>
      </c>
      <c r="E118" s="6" t="s">
        <v>177</v>
      </c>
      <c r="F118" s="5">
        <v>14</v>
      </c>
    </row>
    <row r="119" spans="1:6" ht="15" customHeight="1">
      <c r="A119" s="4" t="s">
        <v>284</v>
      </c>
      <c r="B119" s="6" t="s">
        <v>61</v>
      </c>
      <c r="C119" s="6" t="s">
        <v>285</v>
      </c>
      <c r="D119" s="6" t="s">
        <v>275</v>
      </c>
      <c r="E119" s="6" t="s">
        <v>177</v>
      </c>
      <c r="F119" s="5">
        <v>15</v>
      </c>
    </row>
    <row r="120" spans="1:6" ht="15" customHeight="1">
      <c r="A120" s="4" t="s">
        <v>286</v>
      </c>
      <c r="B120" s="6" t="s">
        <v>62</v>
      </c>
      <c r="C120" s="6" t="s">
        <v>287</v>
      </c>
      <c r="D120" s="6" t="s">
        <v>275</v>
      </c>
      <c r="E120" s="6" t="s">
        <v>177</v>
      </c>
      <c r="F120" s="5">
        <v>16</v>
      </c>
    </row>
    <row r="121" spans="1:6" ht="15" customHeight="1">
      <c r="A121" s="4" t="s">
        <v>288</v>
      </c>
      <c r="B121" s="6" t="s">
        <v>63</v>
      </c>
      <c r="C121" s="6" t="s">
        <v>289</v>
      </c>
      <c r="D121" s="6" t="s">
        <v>275</v>
      </c>
      <c r="E121" s="6" t="s">
        <v>177</v>
      </c>
      <c r="F121" s="5">
        <v>17</v>
      </c>
    </row>
    <row r="122" spans="1:6" ht="15" customHeight="1">
      <c r="A122" s="4" t="s">
        <v>290</v>
      </c>
      <c r="B122" s="6" t="s">
        <v>64</v>
      </c>
      <c r="C122" s="6" t="s">
        <v>291</v>
      </c>
      <c r="D122" s="6" t="s">
        <v>275</v>
      </c>
      <c r="E122" s="6" t="s">
        <v>177</v>
      </c>
      <c r="F122" s="5">
        <v>18</v>
      </c>
    </row>
    <row r="123" spans="1:6" ht="15" customHeight="1">
      <c r="A123" s="4" t="s">
        <v>292</v>
      </c>
      <c r="B123" s="6" t="s">
        <v>67</v>
      </c>
      <c r="C123" s="6" t="s">
        <v>293</v>
      </c>
      <c r="D123" s="6" t="s">
        <v>275</v>
      </c>
      <c r="E123" s="6" t="s">
        <v>177</v>
      </c>
      <c r="F123" s="5">
        <v>19</v>
      </c>
    </row>
    <row r="124" spans="1:6" ht="15" customHeight="1">
      <c r="A124" s="4" t="s">
        <v>294</v>
      </c>
      <c r="B124" s="6" t="s">
        <v>68</v>
      </c>
      <c r="C124" s="6" t="s">
        <v>295</v>
      </c>
      <c r="D124" s="6" t="s">
        <v>275</v>
      </c>
      <c r="E124" s="6" t="s">
        <v>177</v>
      </c>
      <c r="F124" s="5">
        <v>20</v>
      </c>
    </row>
    <row r="125" spans="1:6" ht="15" customHeight="1">
      <c r="A125" s="4" t="s">
        <v>296</v>
      </c>
      <c r="B125" s="6" t="s">
        <v>69</v>
      </c>
      <c r="C125" s="6" t="s">
        <v>297</v>
      </c>
      <c r="D125" s="6" t="s">
        <v>275</v>
      </c>
      <c r="E125" s="6" t="s">
        <v>177</v>
      </c>
      <c r="F125" s="5">
        <v>21</v>
      </c>
    </row>
    <row r="126" spans="1:6" ht="15" customHeight="1">
      <c r="A126" s="4" t="s">
        <v>298</v>
      </c>
      <c r="B126" s="6" t="s">
        <v>70</v>
      </c>
      <c r="C126" s="6" t="s">
        <v>299</v>
      </c>
      <c r="D126" s="6" t="s">
        <v>275</v>
      </c>
      <c r="E126" s="6" t="s">
        <v>177</v>
      </c>
      <c r="F126" s="5">
        <v>22</v>
      </c>
    </row>
    <row r="127" spans="1:6" ht="15" customHeight="1">
      <c r="A127" s="4" t="s">
        <v>300</v>
      </c>
      <c r="B127" s="6" t="s">
        <v>71</v>
      </c>
      <c r="C127" s="6" t="s">
        <v>301</v>
      </c>
      <c r="D127" s="6" t="s">
        <v>275</v>
      </c>
      <c r="E127" s="6" t="s">
        <v>177</v>
      </c>
      <c r="F127" s="5">
        <v>23</v>
      </c>
    </row>
    <row r="128" spans="1:6" ht="15" customHeight="1">
      <c r="A128" s="4" t="s">
        <v>302</v>
      </c>
      <c r="B128" s="6" t="s">
        <v>72</v>
      </c>
      <c r="C128" s="6" t="s">
        <v>303</v>
      </c>
      <c r="D128" s="6" t="s">
        <v>275</v>
      </c>
      <c r="E128" s="6" t="s">
        <v>177</v>
      </c>
      <c r="F128" s="5">
        <v>24</v>
      </c>
    </row>
    <row r="129" spans="1:6" ht="15" customHeight="1">
      <c r="A129" s="4" t="s">
        <v>304</v>
      </c>
      <c r="B129" s="6" t="s">
        <v>73</v>
      </c>
      <c r="C129" s="6" t="s">
        <v>305</v>
      </c>
      <c r="D129" s="6" t="s">
        <v>275</v>
      </c>
      <c r="E129" s="6" t="s">
        <v>177</v>
      </c>
      <c r="F129" s="5">
        <v>25</v>
      </c>
    </row>
    <row r="130" spans="1:6" ht="15" customHeight="1">
      <c r="A130" s="4" t="s">
        <v>306</v>
      </c>
      <c r="B130" s="6" t="s">
        <v>74</v>
      </c>
      <c r="C130" s="6" t="s">
        <v>307</v>
      </c>
      <c r="D130" s="6" t="s">
        <v>275</v>
      </c>
      <c r="E130" s="6" t="s">
        <v>177</v>
      </c>
      <c r="F130" s="5">
        <v>26</v>
      </c>
    </row>
    <row r="131" spans="1:6" ht="15" customHeight="1">
      <c r="A131" s="4" t="s">
        <v>308</v>
      </c>
      <c r="B131" s="6" t="s">
        <v>75</v>
      </c>
      <c r="C131" s="6" t="s">
        <v>309</v>
      </c>
      <c r="D131" s="6" t="s">
        <v>275</v>
      </c>
      <c r="E131" s="6" t="s">
        <v>177</v>
      </c>
      <c r="F131" s="5">
        <v>27</v>
      </c>
    </row>
    <row r="132" spans="1:6" ht="15" customHeight="1">
      <c r="A132" s="4" t="s">
        <v>310</v>
      </c>
      <c r="B132" s="6" t="s">
        <v>76</v>
      </c>
      <c r="C132" s="6" t="s">
        <v>311</v>
      </c>
      <c r="D132" s="6" t="s">
        <v>275</v>
      </c>
      <c r="E132" s="6" t="s">
        <v>177</v>
      </c>
      <c r="F132" s="5">
        <v>28</v>
      </c>
    </row>
    <row r="133" spans="1:6" ht="15" customHeight="1">
      <c r="A133" s="4" t="s">
        <v>312</v>
      </c>
      <c r="B133" s="6" t="s">
        <v>77</v>
      </c>
      <c r="C133" s="6" t="s">
        <v>313</v>
      </c>
      <c r="D133" s="6" t="s">
        <v>275</v>
      </c>
      <c r="E133" s="6" t="s">
        <v>177</v>
      </c>
      <c r="F133" s="5">
        <v>29</v>
      </c>
    </row>
    <row r="134" spans="1:6" ht="15" customHeight="1">
      <c r="A134" s="4" t="s">
        <v>314</v>
      </c>
      <c r="B134" s="6" t="s">
        <v>78</v>
      </c>
      <c r="C134" s="6" t="s">
        <v>315</v>
      </c>
      <c r="D134" s="6" t="s">
        <v>275</v>
      </c>
      <c r="E134" s="6" t="s">
        <v>177</v>
      </c>
      <c r="F134" s="5">
        <v>30</v>
      </c>
    </row>
    <row r="135" spans="1:6" ht="15" customHeight="1">
      <c r="A135" s="4" t="s">
        <v>316</v>
      </c>
      <c r="B135" s="6" t="s">
        <v>79</v>
      </c>
      <c r="C135" s="6" t="s">
        <v>317</v>
      </c>
      <c r="D135" s="6" t="s">
        <v>275</v>
      </c>
      <c r="E135" s="6" t="s">
        <v>177</v>
      </c>
      <c r="F135" s="5">
        <v>31</v>
      </c>
    </row>
    <row r="136" spans="1:6" ht="15" customHeight="1">
      <c r="A136" s="4" t="s">
        <v>318</v>
      </c>
      <c r="B136" s="6" t="s">
        <v>80</v>
      </c>
      <c r="C136" s="6" t="s">
        <v>319</v>
      </c>
      <c r="D136" s="6" t="s">
        <v>275</v>
      </c>
      <c r="E136" s="6" t="s">
        <v>177</v>
      </c>
      <c r="F136" s="5">
        <v>32</v>
      </c>
    </row>
    <row r="137" spans="1:6" ht="15" customHeight="1">
      <c r="A137" s="4" t="s">
        <v>320</v>
      </c>
      <c r="B137" s="6" t="s">
        <v>81</v>
      </c>
      <c r="C137" s="6" t="s">
        <v>321</v>
      </c>
      <c r="D137" s="6" t="s">
        <v>275</v>
      </c>
      <c r="E137" s="6" t="s">
        <v>177</v>
      </c>
      <c r="F137" s="5">
        <v>33</v>
      </c>
    </row>
    <row r="138" spans="1:6" ht="15" customHeight="1">
      <c r="A138" s="4" t="s">
        <v>322</v>
      </c>
      <c r="B138" s="6" t="s">
        <v>83</v>
      </c>
      <c r="C138" s="6" t="s">
        <v>323</v>
      </c>
      <c r="D138" s="6" t="s">
        <v>275</v>
      </c>
      <c r="E138" s="6" t="s">
        <v>177</v>
      </c>
      <c r="F138" s="5">
        <v>34</v>
      </c>
    </row>
    <row r="139" spans="1:6" ht="15" customHeight="1">
      <c r="A139" s="4" t="s">
        <v>324</v>
      </c>
      <c r="B139" s="6" t="s">
        <v>88</v>
      </c>
      <c r="C139" s="6" t="s">
        <v>325</v>
      </c>
      <c r="D139" s="6" t="s">
        <v>275</v>
      </c>
      <c r="E139" s="6" t="s">
        <v>177</v>
      </c>
      <c r="F139" s="5">
        <v>35</v>
      </c>
    </row>
    <row r="140" spans="1:6" ht="15" customHeight="1">
      <c r="A140" s="4" t="s">
        <v>326</v>
      </c>
      <c r="B140" s="6" t="s">
        <v>91</v>
      </c>
      <c r="C140" s="6" t="s">
        <v>327</v>
      </c>
      <c r="D140" s="6" t="s">
        <v>275</v>
      </c>
      <c r="E140" s="6" t="s">
        <v>177</v>
      </c>
      <c r="F140" s="5">
        <v>36</v>
      </c>
    </row>
    <row r="141" spans="1:6" ht="15" customHeight="1">
      <c r="A141" s="4" t="s">
        <v>328</v>
      </c>
      <c r="B141" s="6" t="s">
        <v>94</v>
      </c>
      <c r="C141" s="6" t="s">
        <v>329</v>
      </c>
      <c r="D141" s="6" t="s">
        <v>275</v>
      </c>
      <c r="E141" s="6" t="s">
        <v>177</v>
      </c>
      <c r="F141" s="5">
        <v>37</v>
      </c>
    </row>
    <row r="142" spans="1:6" ht="15" customHeight="1">
      <c r="A142" s="4" t="s">
        <v>330</v>
      </c>
      <c r="B142" s="6" t="s">
        <v>96</v>
      </c>
      <c r="C142" s="6" t="s">
        <v>331</v>
      </c>
      <c r="D142" s="6" t="s">
        <v>275</v>
      </c>
      <c r="E142" s="6" t="s">
        <v>177</v>
      </c>
      <c r="F142" s="5">
        <v>38</v>
      </c>
    </row>
    <row r="143" spans="1:6" ht="15" customHeight="1">
      <c r="A143" s="4" t="s">
        <v>332</v>
      </c>
      <c r="B143" s="6" t="s">
        <v>98</v>
      </c>
      <c r="C143" s="6" t="s">
        <v>333</v>
      </c>
      <c r="D143" s="6" t="s">
        <v>275</v>
      </c>
      <c r="E143" s="6" t="s">
        <v>177</v>
      </c>
      <c r="F143" s="5">
        <v>39</v>
      </c>
    </row>
    <row r="144" spans="1:6" ht="15" customHeight="1">
      <c r="A144" s="4" t="s">
        <v>334</v>
      </c>
      <c r="B144" s="6" t="s">
        <v>100</v>
      </c>
      <c r="C144" s="6" t="s">
        <v>335</v>
      </c>
      <c r="D144" s="6" t="s">
        <v>275</v>
      </c>
      <c r="E144" s="6" t="s">
        <v>177</v>
      </c>
      <c r="F144" s="5">
        <v>40</v>
      </c>
    </row>
    <row r="145" spans="1:4" ht="15" customHeight="1">
      <c r="A145" s="7" t="s">
        <v>196</v>
      </c>
    </row>
    <row r="146" spans="1:4" ht="19.5" customHeight="1">
      <c r="A146" s="266" t="s">
        <v>137</v>
      </c>
      <c r="B146" s="262"/>
      <c r="C146" s="262"/>
      <c r="D146" s="262"/>
    </row>
    <row r="147" spans="1:4" ht="25.5" customHeight="1">
      <c r="A147" s="3" t="s">
        <v>173</v>
      </c>
      <c r="B147" s="3" t="s">
        <v>207</v>
      </c>
      <c r="C147" s="3" t="s">
        <v>175</v>
      </c>
      <c r="D147" s="3" t="s">
        <v>198</v>
      </c>
    </row>
    <row r="148" spans="1:4" ht="15" customHeight="1">
      <c r="A148" s="4" t="s">
        <v>336</v>
      </c>
      <c r="B148" s="6" t="s">
        <v>337</v>
      </c>
      <c r="C148" s="6" t="s">
        <v>177</v>
      </c>
      <c r="D148" s="5">
        <v>1</v>
      </c>
    </row>
    <row r="149" spans="1:4" ht="15" customHeight="1">
      <c r="A149" s="4" t="s">
        <v>338</v>
      </c>
      <c r="B149" s="6" t="s">
        <v>339</v>
      </c>
      <c r="C149" s="6" t="s">
        <v>177</v>
      </c>
      <c r="D149" s="5">
        <v>2</v>
      </c>
    </row>
    <row r="150" spans="1:4" ht="15" customHeight="1">
      <c r="A150" s="4" t="s">
        <v>340</v>
      </c>
      <c r="B150" s="6" t="s">
        <v>341</v>
      </c>
      <c r="C150" s="6" t="s">
        <v>177</v>
      </c>
      <c r="D150" s="5">
        <v>3</v>
      </c>
    </row>
    <row r="151" spans="1:4" ht="15" customHeight="1">
      <c r="A151" s="4" t="s">
        <v>342</v>
      </c>
      <c r="B151" s="6" t="s">
        <v>343</v>
      </c>
      <c r="C151" s="6" t="s">
        <v>177</v>
      </c>
      <c r="D151" s="5">
        <v>4</v>
      </c>
    </row>
    <row r="152" spans="1:4" ht="15" customHeight="1">
      <c r="A152" s="4" t="s">
        <v>344</v>
      </c>
      <c r="B152" s="6" t="s">
        <v>345</v>
      </c>
      <c r="C152" s="6" t="s">
        <v>177</v>
      </c>
      <c r="D152" s="5">
        <v>5</v>
      </c>
    </row>
    <row r="153" spans="1:4" ht="15" customHeight="1">
      <c r="A153" s="4" t="s">
        <v>346</v>
      </c>
      <c r="B153" s="6" t="s">
        <v>347</v>
      </c>
      <c r="C153" s="6" t="s">
        <v>177</v>
      </c>
      <c r="D153" s="5">
        <v>6</v>
      </c>
    </row>
    <row r="154" spans="1:4" ht="15" customHeight="1">
      <c r="A154" s="4" t="s">
        <v>348</v>
      </c>
      <c r="B154" s="6" t="s">
        <v>349</v>
      </c>
      <c r="C154" s="6" t="s">
        <v>177</v>
      </c>
      <c r="D154" s="5">
        <v>7</v>
      </c>
    </row>
    <row r="155" spans="1:4" ht="15" customHeight="1">
      <c r="A155" s="4" t="s">
        <v>350</v>
      </c>
      <c r="B155" s="6" t="s">
        <v>351</v>
      </c>
      <c r="C155" s="6" t="s">
        <v>177</v>
      </c>
      <c r="D155" s="5">
        <v>8</v>
      </c>
    </row>
    <row r="156" spans="1:4" ht="15" customHeight="1">
      <c r="A156" s="4" t="s">
        <v>352</v>
      </c>
      <c r="B156" s="6" t="s">
        <v>353</v>
      </c>
      <c r="C156" s="6" t="s">
        <v>177</v>
      </c>
      <c r="D156" s="5">
        <v>9</v>
      </c>
    </row>
    <row r="157" spans="1:4" ht="15" customHeight="1">
      <c r="A157" s="4" t="s">
        <v>354</v>
      </c>
      <c r="B157" s="6" t="s">
        <v>355</v>
      </c>
      <c r="C157" s="6" t="s">
        <v>177</v>
      </c>
      <c r="D157" s="5">
        <v>10</v>
      </c>
    </row>
    <row r="158" spans="1:4" ht="15" customHeight="1">
      <c r="A158" s="4" t="s">
        <v>356</v>
      </c>
      <c r="B158" s="6" t="s">
        <v>357</v>
      </c>
      <c r="C158" s="6" t="s">
        <v>177</v>
      </c>
      <c r="D158" s="5">
        <v>11</v>
      </c>
    </row>
    <row r="159" spans="1:4" ht="15" customHeight="1">
      <c r="A159" s="4" t="s">
        <v>358</v>
      </c>
      <c r="B159" s="6" t="s">
        <v>359</v>
      </c>
      <c r="C159" s="6" t="s">
        <v>177</v>
      </c>
      <c r="D159" s="5">
        <v>12</v>
      </c>
    </row>
    <row r="160" spans="1:4" ht="15" customHeight="1">
      <c r="A160" s="4" t="s">
        <v>360</v>
      </c>
      <c r="B160" s="6" t="s">
        <v>361</v>
      </c>
      <c r="C160" s="6" t="s">
        <v>177</v>
      </c>
      <c r="D160" s="5">
        <v>13</v>
      </c>
    </row>
    <row r="161" spans="1:4" ht="15" customHeight="1">
      <c r="A161" s="4" t="s">
        <v>362</v>
      </c>
      <c r="B161" s="6" t="s">
        <v>363</v>
      </c>
      <c r="C161" s="6" t="s">
        <v>177</v>
      </c>
      <c r="D161" s="5">
        <v>14</v>
      </c>
    </row>
    <row r="162" spans="1:4" ht="15" customHeight="1">
      <c r="A162" s="4" t="s">
        <v>364</v>
      </c>
      <c r="B162" s="6" t="s">
        <v>365</v>
      </c>
      <c r="C162" s="6" t="s">
        <v>177</v>
      </c>
      <c r="D162" s="5">
        <v>15</v>
      </c>
    </row>
    <row r="163" spans="1:4" ht="15" customHeight="1">
      <c r="A163" s="4" t="s">
        <v>366</v>
      </c>
      <c r="B163" s="6" t="s">
        <v>367</v>
      </c>
      <c r="C163" s="6" t="s">
        <v>177</v>
      </c>
      <c r="D163" s="5">
        <v>16</v>
      </c>
    </row>
    <row r="164" spans="1:4" ht="15" customHeight="1">
      <c r="A164" s="4" t="s">
        <v>368</v>
      </c>
      <c r="B164" s="6" t="s">
        <v>369</v>
      </c>
      <c r="C164" s="6" t="s">
        <v>177</v>
      </c>
      <c r="D164" s="5">
        <v>17</v>
      </c>
    </row>
    <row r="165" spans="1:4" ht="15" customHeight="1">
      <c r="A165" s="4" t="s">
        <v>370</v>
      </c>
      <c r="B165" s="6" t="s">
        <v>371</v>
      </c>
      <c r="C165" s="6" t="s">
        <v>177</v>
      </c>
      <c r="D165" s="5">
        <v>18</v>
      </c>
    </row>
    <row r="166" spans="1:4" ht="15" customHeight="1">
      <c r="A166" s="4" t="s">
        <v>372</v>
      </c>
      <c r="B166" s="6" t="s">
        <v>373</v>
      </c>
      <c r="C166" s="6" t="s">
        <v>177</v>
      </c>
      <c r="D166" s="5">
        <v>19</v>
      </c>
    </row>
    <row r="167" spans="1:4" ht="15" customHeight="1">
      <c r="A167" s="4" t="s">
        <v>374</v>
      </c>
      <c r="B167" s="6" t="s">
        <v>375</v>
      </c>
      <c r="C167" s="6" t="s">
        <v>177</v>
      </c>
      <c r="D167" s="5">
        <v>20</v>
      </c>
    </row>
    <row r="168" spans="1:4" ht="15" customHeight="1">
      <c r="A168" s="4" t="s">
        <v>376</v>
      </c>
      <c r="B168" s="6" t="s">
        <v>377</v>
      </c>
      <c r="C168" s="6" t="s">
        <v>177</v>
      </c>
      <c r="D168" s="5">
        <v>21</v>
      </c>
    </row>
    <row r="169" spans="1:4" ht="15" customHeight="1">
      <c r="A169" s="4" t="s">
        <v>378</v>
      </c>
      <c r="B169" s="6" t="s">
        <v>379</v>
      </c>
      <c r="C169" s="6" t="s">
        <v>177</v>
      </c>
      <c r="D169" s="5">
        <v>22</v>
      </c>
    </row>
    <row r="170" spans="1:4" ht="15" customHeight="1">
      <c r="A170" s="4" t="s">
        <v>380</v>
      </c>
      <c r="B170" s="6" t="s">
        <v>381</v>
      </c>
      <c r="C170" s="6" t="s">
        <v>177</v>
      </c>
      <c r="D170" s="5">
        <v>23</v>
      </c>
    </row>
    <row r="171" spans="1:4" ht="15" customHeight="1">
      <c r="A171" s="4" t="s">
        <v>382</v>
      </c>
      <c r="B171" s="6" t="s">
        <v>383</v>
      </c>
      <c r="C171" s="6" t="s">
        <v>177</v>
      </c>
      <c r="D171" s="5">
        <v>24</v>
      </c>
    </row>
    <row r="172" spans="1:4" ht="15" customHeight="1">
      <c r="A172" s="7" t="s">
        <v>196</v>
      </c>
    </row>
    <row r="173" spans="1:4" ht="19.5" customHeight="1">
      <c r="A173" s="266" t="s">
        <v>139</v>
      </c>
      <c r="B173" s="262"/>
      <c r="C173" s="262"/>
      <c r="D173" s="262"/>
    </row>
    <row r="174" spans="1:4" ht="25.5" customHeight="1">
      <c r="A174" s="3" t="s">
        <v>173</v>
      </c>
      <c r="B174" s="3" t="s">
        <v>207</v>
      </c>
      <c r="C174" s="3" t="s">
        <v>175</v>
      </c>
      <c r="D174" s="3" t="s">
        <v>198</v>
      </c>
    </row>
    <row r="175" spans="1:4" ht="15" customHeight="1">
      <c r="A175" s="4" t="s">
        <v>384</v>
      </c>
      <c r="B175" s="6" t="s">
        <v>385</v>
      </c>
      <c r="C175" s="6" t="s">
        <v>177</v>
      </c>
      <c r="D175" s="5">
        <v>1</v>
      </c>
    </row>
    <row r="176" spans="1:4" ht="15" customHeight="1">
      <c r="A176" s="4" t="s">
        <v>386</v>
      </c>
      <c r="B176" s="6" t="s">
        <v>387</v>
      </c>
      <c r="C176" s="6" t="s">
        <v>177</v>
      </c>
      <c r="D176" s="5">
        <v>2</v>
      </c>
    </row>
    <row r="177" spans="1:4" ht="15" customHeight="1">
      <c r="A177" s="4" t="s">
        <v>388</v>
      </c>
      <c r="B177" s="6" t="s">
        <v>389</v>
      </c>
      <c r="C177" s="6" t="s">
        <v>177</v>
      </c>
      <c r="D177" s="5">
        <v>3</v>
      </c>
    </row>
    <row r="178" spans="1:4" ht="15" customHeight="1">
      <c r="A178" s="4" t="s">
        <v>390</v>
      </c>
      <c r="B178" s="6" t="s">
        <v>391</v>
      </c>
      <c r="C178" s="6" t="s">
        <v>177</v>
      </c>
      <c r="D178" s="5">
        <v>4</v>
      </c>
    </row>
    <row r="179" spans="1:4" ht="15" customHeight="1">
      <c r="A179" s="4" t="s">
        <v>392</v>
      </c>
      <c r="B179" s="6" t="s">
        <v>393</v>
      </c>
      <c r="C179" s="6" t="s">
        <v>177</v>
      </c>
      <c r="D179" s="5">
        <v>5</v>
      </c>
    </row>
    <row r="180" spans="1:4" ht="15" customHeight="1">
      <c r="A180" s="4" t="s">
        <v>394</v>
      </c>
      <c r="B180" s="6" t="s">
        <v>395</v>
      </c>
      <c r="C180" s="6" t="s">
        <v>177</v>
      </c>
      <c r="D180" s="5">
        <v>6</v>
      </c>
    </row>
    <row r="181" spans="1:4" ht="15" customHeight="1">
      <c r="A181" s="4" t="s">
        <v>396</v>
      </c>
      <c r="B181" s="6" t="s">
        <v>397</v>
      </c>
      <c r="C181" s="6" t="s">
        <v>177</v>
      </c>
      <c r="D181" s="5">
        <v>7</v>
      </c>
    </row>
    <row r="182" spans="1:4" ht="15" customHeight="1">
      <c r="A182" s="4" t="s">
        <v>398</v>
      </c>
      <c r="B182" s="6" t="s">
        <v>399</v>
      </c>
      <c r="C182" s="6" t="s">
        <v>177</v>
      </c>
      <c r="D182" s="5">
        <v>8</v>
      </c>
    </row>
    <row r="183" spans="1:4" ht="15" customHeight="1">
      <c r="A183" s="4" t="s">
        <v>400</v>
      </c>
      <c r="B183" s="6" t="s">
        <v>401</v>
      </c>
      <c r="C183" s="6" t="s">
        <v>177</v>
      </c>
      <c r="D183" s="5">
        <v>9</v>
      </c>
    </row>
    <row r="184" spans="1:4" ht="15" customHeight="1">
      <c r="A184" s="4" t="s">
        <v>402</v>
      </c>
      <c r="B184" s="6" t="s">
        <v>403</v>
      </c>
      <c r="C184" s="6" t="s">
        <v>177</v>
      </c>
      <c r="D184" s="5">
        <v>10</v>
      </c>
    </row>
    <row r="185" spans="1:4" ht="15" customHeight="1">
      <c r="A185" s="4" t="s">
        <v>404</v>
      </c>
      <c r="B185" s="6" t="s">
        <v>405</v>
      </c>
      <c r="C185" s="6" t="s">
        <v>177</v>
      </c>
      <c r="D185" s="5">
        <v>11</v>
      </c>
    </row>
    <row r="186" spans="1:4" ht="15" customHeight="1">
      <c r="A186" s="4" t="s">
        <v>406</v>
      </c>
      <c r="B186" s="6" t="s">
        <v>407</v>
      </c>
      <c r="C186" s="6" t="s">
        <v>177</v>
      </c>
      <c r="D186" s="5">
        <v>12</v>
      </c>
    </row>
    <row r="187" spans="1:4" ht="15" customHeight="1">
      <c r="A187" s="4" t="s">
        <v>408</v>
      </c>
      <c r="B187" s="6" t="s">
        <v>409</v>
      </c>
      <c r="C187" s="6" t="s">
        <v>177</v>
      </c>
      <c r="D187" s="5">
        <v>13</v>
      </c>
    </row>
    <row r="188" spans="1:4" ht="15" customHeight="1">
      <c r="A188" s="4" t="s">
        <v>410</v>
      </c>
      <c r="B188" s="6" t="s">
        <v>411</v>
      </c>
      <c r="C188" s="6" t="s">
        <v>177</v>
      </c>
      <c r="D188" s="5">
        <v>14</v>
      </c>
    </row>
    <row r="189" spans="1:4" ht="15" customHeight="1">
      <c r="A189" s="4" t="s">
        <v>412</v>
      </c>
      <c r="B189" s="6" t="s">
        <v>413</v>
      </c>
      <c r="C189" s="6" t="s">
        <v>177</v>
      </c>
      <c r="D189" s="5">
        <v>15</v>
      </c>
    </row>
    <row r="190" spans="1:4" ht="15" customHeight="1">
      <c r="A190" s="4" t="s">
        <v>414</v>
      </c>
      <c r="B190" s="6" t="s">
        <v>415</v>
      </c>
      <c r="C190" s="6" t="s">
        <v>177</v>
      </c>
      <c r="D190" s="5">
        <v>16</v>
      </c>
    </row>
    <row r="191" spans="1:4" ht="15" customHeight="1">
      <c r="A191" s="4" t="s">
        <v>416</v>
      </c>
      <c r="B191" s="6" t="s">
        <v>417</v>
      </c>
      <c r="C191" s="6" t="s">
        <v>177</v>
      </c>
      <c r="D191" s="5">
        <v>17</v>
      </c>
    </row>
    <row r="192" spans="1:4" ht="15" customHeight="1">
      <c r="A192" s="4" t="s">
        <v>418</v>
      </c>
      <c r="B192" s="6" t="s">
        <v>419</v>
      </c>
      <c r="C192" s="6" t="s">
        <v>177</v>
      </c>
      <c r="D192" s="5">
        <v>18</v>
      </c>
    </row>
    <row r="193" spans="1:4" ht="15" customHeight="1">
      <c r="A193" s="4" t="s">
        <v>420</v>
      </c>
      <c r="B193" s="6" t="s">
        <v>421</v>
      </c>
      <c r="C193" s="6" t="s">
        <v>177</v>
      </c>
      <c r="D193" s="5">
        <v>19</v>
      </c>
    </row>
    <row r="194" spans="1:4" ht="15" customHeight="1">
      <c r="A194" s="4" t="s">
        <v>422</v>
      </c>
      <c r="B194" s="6" t="s">
        <v>423</v>
      </c>
      <c r="C194" s="6" t="s">
        <v>177</v>
      </c>
      <c r="D194" s="5">
        <v>20</v>
      </c>
    </row>
    <row r="195" spans="1:4" ht="15" customHeight="1">
      <c r="A195" s="4" t="s">
        <v>424</v>
      </c>
      <c r="B195" s="6" t="s">
        <v>425</v>
      </c>
      <c r="C195" s="6" t="s">
        <v>177</v>
      </c>
      <c r="D195" s="5">
        <v>21</v>
      </c>
    </row>
    <row r="196" spans="1:4" ht="15" customHeight="1">
      <c r="A196" s="4" t="s">
        <v>426</v>
      </c>
      <c r="B196" s="6" t="s">
        <v>427</v>
      </c>
      <c r="C196" s="6" t="s">
        <v>177</v>
      </c>
      <c r="D196" s="5">
        <v>22</v>
      </c>
    </row>
    <row r="197" spans="1:4" ht="15" customHeight="1">
      <c r="A197" s="4" t="s">
        <v>428</v>
      </c>
      <c r="B197" s="6" t="s">
        <v>429</v>
      </c>
      <c r="C197" s="6" t="s">
        <v>177</v>
      </c>
      <c r="D197" s="5">
        <v>23</v>
      </c>
    </row>
    <row r="198" spans="1:4" ht="15" customHeight="1">
      <c r="A198" s="4" t="s">
        <v>430</v>
      </c>
      <c r="B198" s="6" t="s">
        <v>431</v>
      </c>
      <c r="C198" s="6" t="s">
        <v>177</v>
      </c>
      <c r="D198" s="5">
        <v>24</v>
      </c>
    </row>
    <row r="199" spans="1:4" ht="15" customHeight="1">
      <c r="A199" s="4" t="s">
        <v>432</v>
      </c>
      <c r="B199" s="6" t="s">
        <v>433</v>
      </c>
      <c r="C199" s="6" t="s">
        <v>177</v>
      </c>
      <c r="D199" s="5">
        <v>25</v>
      </c>
    </row>
    <row r="200" spans="1:4" ht="15" customHeight="1">
      <c r="A200" s="4" t="s">
        <v>434</v>
      </c>
      <c r="B200" s="6" t="s">
        <v>435</v>
      </c>
      <c r="C200" s="6" t="s">
        <v>177</v>
      </c>
      <c r="D200" s="5">
        <v>26</v>
      </c>
    </row>
    <row r="201" spans="1:4" ht="15" customHeight="1">
      <c r="A201" s="4" t="s">
        <v>436</v>
      </c>
      <c r="B201" s="6" t="s">
        <v>437</v>
      </c>
      <c r="C201" s="6" t="s">
        <v>177</v>
      </c>
      <c r="D201" s="5">
        <v>27</v>
      </c>
    </row>
    <row r="202" spans="1:4" ht="15" customHeight="1">
      <c r="A202" s="4" t="s">
        <v>438</v>
      </c>
      <c r="B202" s="6" t="s">
        <v>439</v>
      </c>
      <c r="C202" s="6" t="s">
        <v>177</v>
      </c>
      <c r="D202" s="5">
        <v>28</v>
      </c>
    </row>
    <row r="203" spans="1:4" ht="15" customHeight="1">
      <c r="A203" s="4" t="s">
        <v>440</v>
      </c>
      <c r="B203" s="6" t="s">
        <v>441</v>
      </c>
      <c r="C203" s="6" t="s">
        <v>177</v>
      </c>
      <c r="D203" s="5">
        <v>29</v>
      </c>
    </row>
    <row r="204" spans="1:4" ht="15" customHeight="1">
      <c r="A204" s="4" t="s">
        <v>442</v>
      </c>
      <c r="B204" s="6" t="s">
        <v>383</v>
      </c>
      <c r="C204" s="6" t="s">
        <v>177</v>
      </c>
      <c r="D204" s="5">
        <v>30</v>
      </c>
    </row>
    <row r="205" spans="1:4" ht="15" customHeight="1">
      <c r="A205" s="7" t="s">
        <v>196</v>
      </c>
    </row>
    <row r="206" spans="1:4" ht="19.5" customHeight="1">
      <c r="A206" s="266" t="s">
        <v>141</v>
      </c>
      <c r="B206" s="262"/>
      <c r="C206" s="262"/>
      <c r="D206" s="262"/>
    </row>
    <row r="207" spans="1:4" ht="25.5" customHeight="1">
      <c r="A207" s="3" t="s">
        <v>173</v>
      </c>
      <c r="B207" s="3" t="s">
        <v>207</v>
      </c>
      <c r="C207" s="3" t="s">
        <v>175</v>
      </c>
      <c r="D207" s="3" t="s">
        <v>198</v>
      </c>
    </row>
    <row r="208" spans="1:4" ht="15" customHeight="1">
      <c r="A208" s="4" t="s">
        <v>443</v>
      </c>
      <c r="B208" s="6" t="s">
        <v>444</v>
      </c>
      <c r="C208" s="6" t="s">
        <v>177</v>
      </c>
      <c r="D208" s="5">
        <v>1</v>
      </c>
    </row>
    <row r="209" spans="1:4" ht="15" customHeight="1">
      <c r="A209" s="4" t="s">
        <v>445</v>
      </c>
      <c r="B209" s="6" t="s">
        <v>446</v>
      </c>
      <c r="C209" s="6" t="s">
        <v>177</v>
      </c>
      <c r="D209" s="5">
        <v>2</v>
      </c>
    </row>
    <row r="210" spans="1:4" ht="15" customHeight="1">
      <c r="A210" s="4" t="s">
        <v>447</v>
      </c>
      <c r="B210" s="6" t="s">
        <v>448</v>
      </c>
      <c r="C210" s="6" t="s">
        <v>177</v>
      </c>
      <c r="D210" s="5">
        <v>3</v>
      </c>
    </row>
    <row r="211" spans="1:4" ht="15" customHeight="1">
      <c r="A211" s="4" t="s">
        <v>449</v>
      </c>
      <c r="B211" s="6" t="s">
        <v>450</v>
      </c>
      <c r="C211" s="6" t="s">
        <v>177</v>
      </c>
      <c r="D211" s="5">
        <v>4</v>
      </c>
    </row>
    <row r="212" spans="1:4" ht="15" customHeight="1">
      <c r="A212" s="4" t="s">
        <v>451</v>
      </c>
      <c r="B212" s="6" t="s">
        <v>452</v>
      </c>
      <c r="C212" s="6" t="s">
        <v>177</v>
      </c>
      <c r="D212" s="5">
        <v>5</v>
      </c>
    </row>
    <row r="213" spans="1:4" ht="15" customHeight="1">
      <c r="A213" s="4" t="s">
        <v>453</v>
      </c>
      <c r="B213" s="6" t="s">
        <v>454</v>
      </c>
      <c r="C213" s="6" t="s">
        <v>177</v>
      </c>
      <c r="D213" s="5">
        <v>6</v>
      </c>
    </row>
    <row r="214" spans="1:4" ht="15" customHeight="1">
      <c r="A214" s="4" t="s">
        <v>455</v>
      </c>
      <c r="B214" s="6" t="s">
        <v>456</v>
      </c>
      <c r="C214" s="6" t="s">
        <v>177</v>
      </c>
      <c r="D214" s="5">
        <v>7</v>
      </c>
    </row>
    <row r="215" spans="1:4" ht="15" customHeight="1">
      <c r="A215" s="4" t="s">
        <v>457</v>
      </c>
      <c r="B215" s="6" t="s">
        <v>458</v>
      </c>
      <c r="C215" s="6" t="s">
        <v>177</v>
      </c>
      <c r="D215" s="5">
        <v>8</v>
      </c>
    </row>
    <row r="216" spans="1:4" ht="15" customHeight="1">
      <c r="A216" s="4" t="s">
        <v>459</v>
      </c>
      <c r="B216" s="6" t="s">
        <v>460</v>
      </c>
      <c r="C216" s="6" t="s">
        <v>177</v>
      </c>
      <c r="D216" s="5">
        <v>9</v>
      </c>
    </row>
    <row r="217" spans="1:4" ht="15" customHeight="1">
      <c r="A217" s="4" t="s">
        <v>461</v>
      </c>
      <c r="B217" s="6" t="s">
        <v>462</v>
      </c>
      <c r="C217" s="6" t="s">
        <v>177</v>
      </c>
      <c r="D217" s="5">
        <v>10</v>
      </c>
    </row>
    <row r="218" spans="1:4" ht="15" customHeight="1">
      <c r="A218" s="4" t="s">
        <v>463</v>
      </c>
      <c r="B218" s="6" t="s">
        <v>464</v>
      </c>
      <c r="C218" s="6" t="s">
        <v>177</v>
      </c>
      <c r="D218" s="5">
        <v>11</v>
      </c>
    </row>
    <row r="219" spans="1:4" ht="15" customHeight="1">
      <c r="A219" s="4" t="s">
        <v>465</v>
      </c>
      <c r="B219" s="6" t="s">
        <v>466</v>
      </c>
      <c r="C219" s="6" t="s">
        <v>177</v>
      </c>
      <c r="D219" s="5">
        <v>12</v>
      </c>
    </row>
    <row r="220" spans="1:4" ht="15" customHeight="1">
      <c r="A220" s="4" t="s">
        <v>467</v>
      </c>
      <c r="B220" s="6" t="s">
        <v>468</v>
      </c>
      <c r="C220" s="6" t="s">
        <v>177</v>
      </c>
      <c r="D220" s="5">
        <v>13</v>
      </c>
    </row>
    <row r="221" spans="1:4" ht="15" customHeight="1">
      <c r="A221" s="4" t="s">
        <v>469</v>
      </c>
      <c r="B221" s="6" t="s">
        <v>470</v>
      </c>
      <c r="C221" s="6" t="s">
        <v>177</v>
      </c>
      <c r="D221" s="5">
        <v>14</v>
      </c>
    </row>
    <row r="222" spans="1:4" ht="15" customHeight="1">
      <c r="A222" s="4" t="s">
        <v>471</v>
      </c>
      <c r="B222" s="6" t="s">
        <v>472</v>
      </c>
      <c r="C222" s="6" t="s">
        <v>177</v>
      </c>
      <c r="D222" s="5">
        <v>15</v>
      </c>
    </row>
    <row r="223" spans="1:4" ht="15" customHeight="1">
      <c r="A223" s="4" t="s">
        <v>473</v>
      </c>
      <c r="B223" s="6" t="s">
        <v>474</v>
      </c>
      <c r="C223" s="6" t="s">
        <v>177</v>
      </c>
      <c r="D223" s="5">
        <v>16</v>
      </c>
    </row>
    <row r="224" spans="1:4" ht="15" customHeight="1">
      <c r="A224" s="4" t="s">
        <v>475</v>
      </c>
      <c r="B224" s="6" t="s">
        <v>476</v>
      </c>
      <c r="C224" s="6" t="s">
        <v>177</v>
      </c>
      <c r="D224" s="5">
        <v>17</v>
      </c>
    </row>
    <row r="225" spans="1:4" ht="15" customHeight="1">
      <c r="A225" s="4" t="s">
        <v>477</v>
      </c>
      <c r="B225" s="6" t="s">
        <v>478</v>
      </c>
      <c r="C225" s="6" t="s">
        <v>177</v>
      </c>
      <c r="D225" s="5">
        <v>18</v>
      </c>
    </row>
    <row r="226" spans="1:4" ht="15" customHeight="1">
      <c r="A226" s="4" t="s">
        <v>479</v>
      </c>
      <c r="B226" s="6" t="s">
        <v>480</v>
      </c>
      <c r="C226" s="6" t="s">
        <v>177</v>
      </c>
      <c r="D226" s="5">
        <v>19</v>
      </c>
    </row>
    <row r="227" spans="1:4" ht="15" customHeight="1">
      <c r="A227" s="4" t="s">
        <v>481</v>
      </c>
      <c r="B227" s="6" t="s">
        <v>482</v>
      </c>
      <c r="C227" s="6" t="s">
        <v>177</v>
      </c>
      <c r="D227" s="5">
        <v>20</v>
      </c>
    </row>
    <row r="228" spans="1:4" ht="15" customHeight="1">
      <c r="A228" s="4" t="s">
        <v>483</v>
      </c>
      <c r="B228" s="6" t="s">
        <v>484</v>
      </c>
      <c r="C228" s="6" t="s">
        <v>177</v>
      </c>
      <c r="D228" s="5">
        <v>21</v>
      </c>
    </row>
    <row r="229" spans="1:4" ht="15" customHeight="1">
      <c r="A229" s="4" t="s">
        <v>485</v>
      </c>
      <c r="B229" s="6" t="s">
        <v>486</v>
      </c>
      <c r="C229" s="6" t="s">
        <v>177</v>
      </c>
      <c r="D229" s="5">
        <v>22</v>
      </c>
    </row>
    <row r="230" spans="1:4" ht="15" customHeight="1">
      <c r="A230" s="4" t="s">
        <v>487</v>
      </c>
      <c r="B230" s="6" t="s">
        <v>488</v>
      </c>
      <c r="C230" s="6" t="s">
        <v>177</v>
      </c>
      <c r="D230" s="5">
        <v>23</v>
      </c>
    </row>
    <row r="231" spans="1:4" ht="15" customHeight="1">
      <c r="A231" s="4" t="s">
        <v>489</v>
      </c>
      <c r="B231" s="6" t="s">
        <v>490</v>
      </c>
      <c r="C231" s="6" t="s">
        <v>177</v>
      </c>
      <c r="D231" s="5">
        <v>24</v>
      </c>
    </row>
    <row r="232" spans="1:4" ht="15" customHeight="1">
      <c r="A232" s="4" t="s">
        <v>491</v>
      </c>
      <c r="B232" s="6" t="s">
        <v>492</v>
      </c>
      <c r="C232" s="6" t="s">
        <v>177</v>
      </c>
      <c r="D232" s="5">
        <v>25</v>
      </c>
    </row>
    <row r="233" spans="1:4" ht="15" customHeight="1">
      <c r="A233" s="4" t="s">
        <v>493</v>
      </c>
      <c r="B233" s="6" t="s">
        <v>494</v>
      </c>
      <c r="C233" s="6" t="s">
        <v>177</v>
      </c>
      <c r="D233" s="5">
        <v>26</v>
      </c>
    </row>
    <row r="234" spans="1:4" ht="15" customHeight="1">
      <c r="A234" s="4" t="s">
        <v>495</v>
      </c>
      <c r="B234" s="6" t="s">
        <v>496</v>
      </c>
      <c r="C234" s="6" t="s">
        <v>177</v>
      </c>
      <c r="D234" s="5">
        <v>27</v>
      </c>
    </row>
    <row r="235" spans="1:4" ht="15" customHeight="1">
      <c r="A235" s="4" t="s">
        <v>497</v>
      </c>
      <c r="B235" s="6" t="s">
        <v>498</v>
      </c>
      <c r="C235" s="6" t="s">
        <v>177</v>
      </c>
      <c r="D235" s="5">
        <v>28</v>
      </c>
    </row>
    <row r="236" spans="1:4" ht="15" customHeight="1">
      <c r="A236" s="4" t="s">
        <v>499</v>
      </c>
      <c r="B236" s="6" t="s">
        <v>383</v>
      </c>
      <c r="C236" s="6" t="s">
        <v>177</v>
      </c>
      <c r="D236" s="5">
        <v>29</v>
      </c>
    </row>
    <row r="237" spans="1:4" ht="15" customHeight="1">
      <c r="A237" s="7" t="s">
        <v>196</v>
      </c>
    </row>
    <row r="238" spans="1:4" ht="19.5" customHeight="1">
      <c r="A238" s="266" t="s">
        <v>143</v>
      </c>
      <c r="B238" s="262"/>
      <c r="C238" s="262"/>
      <c r="D238" s="262"/>
    </row>
    <row r="239" spans="1:4" ht="25.5" customHeight="1">
      <c r="A239" s="3" t="s">
        <v>173</v>
      </c>
      <c r="B239" s="3" t="s">
        <v>207</v>
      </c>
      <c r="C239" s="3" t="s">
        <v>175</v>
      </c>
      <c r="D239" s="3" t="s">
        <v>198</v>
      </c>
    </row>
    <row r="240" spans="1:4" ht="15" customHeight="1">
      <c r="A240" s="4" t="s">
        <v>500</v>
      </c>
      <c r="B240" s="6" t="s">
        <v>4</v>
      </c>
      <c r="C240" s="6" t="s">
        <v>177</v>
      </c>
      <c r="D240" s="5">
        <v>1</v>
      </c>
    </row>
    <row r="241" spans="1:4" ht="15" customHeight="1">
      <c r="A241" s="4" t="s">
        <v>501</v>
      </c>
      <c r="B241" s="6" t="s">
        <v>14</v>
      </c>
      <c r="C241" s="6" t="s">
        <v>177</v>
      </c>
      <c r="D241" s="5">
        <v>2</v>
      </c>
    </row>
    <row r="242" spans="1:4" ht="15" customHeight="1">
      <c r="A242" s="4" t="s">
        <v>502</v>
      </c>
      <c r="B242" s="6" t="s">
        <v>503</v>
      </c>
      <c r="C242" s="6" t="s">
        <v>177</v>
      </c>
      <c r="D242" s="5">
        <v>3</v>
      </c>
    </row>
    <row r="243" spans="1:4" ht="15" customHeight="1">
      <c r="A243" s="7" t="s">
        <v>196</v>
      </c>
    </row>
    <row r="244" spans="1:4" ht="19.5" customHeight="1">
      <c r="A244" s="266" t="s">
        <v>145</v>
      </c>
      <c r="B244" s="262"/>
      <c r="C244" s="262"/>
      <c r="D244" s="262"/>
    </row>
    <row r="245" spans="1:4" ht="25.5" customHeight="1">
      <c r="A245" s="3" t="s">
        <v>173</v>
      </c>
      <c r="B245" s="3" t="s">
        <v>207</v>
      </c>
      <c r="C245" s="3" t="s">
        <v>175</v>
      </c>
      <c r="D245" s="3" t="s">
        <v>198</v>
      </c>
    </row>
    <row r="246" spans="1:4" ht="15" customHeight="1">
      <c r="A246" s="4" t="s">
        <v>504</v>
      </c>
      <c r="B246" s="6" t="s">
        <v>505</v>
      </c>
      <c r="C246" s="6" t="s">
        <v>177</v>
      </c>
      <c r="D246" s="5">
        <v>1</v>
      </c>
    </row>
    <row r="247" spans="1:4" ht="15" customHeight="1">
      <c r="A247" s="4" t="s">
        <v>506</v>
      </c>
      <c r="B247" s="6" t="s">
        <v>507</v>
      </c>
      <c r="C247" s="6" t="s">
        <v>177</v>
      </c>
      <c r="D247" s="5">
        <v>2</v>
      </c>
    </row>
    <row r="248" spans="1:4" ht="15" customHeight="1">
      <c r="A248" s="4" t="s">
        <v>508</v>
      </c>
      <c r="B248" s="6" t="s">
        <v>509</v>
      </c>
      <c r="C248" s="6" t="s">
        <v>177</v>
      </c>
      <c r="D248" s="5">
        <v>3</v>
      </c>
    </row>
    <row r="249" spans="1:4" ht="15" customHeight="1">
      <c r="A249" s="4" t="s">
        <v>510</v>
      </c>
      <c r="B249" s="6" t="s">
        <v>511</v>
      </c>
      <c r="C249" s="6" t="s">
        <v>177</v>
      </c>
      <c r="D249" s="5">
        <v>4</v>
      </c>
    </row>
    <row r="250" spans="1:4" ht="15" customHeight="1">
      <c r="A250" s="4" t="s">
        <v>512</v>
      </c>
      <c r="B250" s="6" t="s">
        <v>513</v>
      </c>
      <c r="C250" s="6" t="s">
        <v>177</v>
      </c>
      <c r="D250" s="5">
        <v>5</v>
      </c>
    </row>
    <row r="251" spans="1:4" ht="15" customHeight="1">
      <c r="A251" s="4" t="s">
        <v>514</v>
      </c>
      <c r="B251" s="6" t="s">
        <v>515</v>
      </c>
      <c r="C251" s="6" t="s">
        <v>177</v>
      </c>
      <c r="D251" s="5">
        <v>6</v>
      </c>
    </row>
    <row r="252" spans="1:4" ht="15" customHeight="1">
      <c r="A252" s="4" t="s">
        <v>516</v>
      </c>
      <c r="B252" s="6" t="s">
        <v>517</v>
      </c>
      <c r="C252" s="6" t="s">
        <v>177</v>
      </c>
      <c r="D252" s="5">
        <v>7</v>
      </c>
    </row>
    <row r="253" spans="1:4" ht="15" customHeight="1">
      <c r="A253" s="4" t="s">
        <v>518</v>
      </c>
      <c r="B253" s="6" t="s">
        <v>519</v>
      </c>
      <c r="C253" s="6" t="s">
        <v>177</v>
      </c>
      <c r="D253" s="5">
        <v>8</v>
      </c>
    </row>
    <row r="254" spans="1:4" ht="15" customHeight="1">
      <c r="A254" s="4" t="s">
        <v>520</v>
      </c>
      <c r="B254" s="6" t="s">
        <v>521</v>
      </c>
      <c r="C254" s="6" t="s">
        <v>177</v>
      </c>
      <c r="D254" s="5">
        <v>9</v>
      </c>
    </row>
    <row r="255" spans="1:4" ht="15" customHeight="1">
      <c r="A255" s="4" t="s">
        <v>522</v>
      </c>
      <c r="B255" s="6" t="s">
        <v>523</v>
      </c>
      <c r="C255" s="6" t="s">
        <v>177</v>
      </c>
      <c r="D255" s="5">
        <v>10</v>
      </c>
    </row>
    <row r="256" spans="1:4" ht="15" customHeight="1">
      <c r="A256" s="4" t="s">
        <v>524</v>
      </c>
      <c r="B256" s="6" t="s">
        <v>503</v>
      </c>
      <c r="C256" s="6" t="s">
        <v>177</v>
      </c>
      <c r="D256" s="5">
        <v>11</v>
      </c>
    </row>
    <row r="257" spans="1:4" ht="15" customHeight="1">
      <c r="A257" s="7" t="s">
        <v>196</v>
      </c>
    </row>
    <row r="258" spans="1:4" ht="19.5" customHeight="1">
      <c r="A258" s="266" t="s">
        <v>146</v>
      </c>
      <c r="B258" s="262"/>
      <c r="C258" s="262"/>
      <c r="D258" s="262"/>
    </row>
    <row r="259" spans="1:4" ht="25.5" customHeight="1">
      <c r="A259" s="3" t="s">
        <v>173</v>
      </c>
      <c r="B259" s="3" t="s">
        <v>207</v>
      </c>
      <c r="C259" s="3" t="s">
        <v>175</v>
      </c>
      <c r="D259" s="3" t="s">
        <v>198</v>
      </c>
    </row>
    <row r="260" spans="1:4" ht="15" customHeight="1">
      <c r="A260" s="4" t="s">
        <v>525</v>
      </c>
      <c r="B260" s="6" t="s">
        <v>526</v>
      </c>
      <c r="C260" s="6" t="s">
        <v>177</v>
      </c>
      <c r="D260" s="5">
        <v>1</v>
      </c>
    </row>
    <row r="261" spans="1:4" ht="15" customHeight="1">
      <c r="A261" s="4" t="s">
        <v>527</v>
      </c>
      <c r="B261" s="6" t="s">
        <v>528</v>
      </c>
      <c r="C261" s="6" t="s">
        <v>177</v>
      </c>
      <c r="D261" s="5">
        <v>2</v>
      </c>
    </row>
    <row r="262" spans="1:4" ht="15" customHeight="1">
      <c r="A262" s="4" t="s">
        <v>529</v>
      </c>
      <c r="B262" s="6" t="s">
        <v>530</v>
      </c>
      <c r="C262" s="6" t="s">
        <v>177</v>
      </c>
      <c r="D262" s="5">
        <v>3</v>
      </c>
    </row>
    <row r="263" spans="1:4" ht="15" customHeight="1">
      <c r="A263" s="4" t="s">
        <v>531</v>
      </c>
      <c r="B263" s="6" t="s">
        <v>532</v>
      </c>
      <c r="C263" s="6" t="s">
        <v>177</v>
      </c>
      <c r="D263" s="5">
        <v>4</v>
      </c>
    </row>
    <row r="264" spans="1:4" ht="15" customHeight="1">
      <c r="A264" s="4" t="s">
        <v>533</v>
      </c>
      <c r="B264" s="6" t="s">
        <v>534</v>
      </c>
      <c r="C264" s="6" t="s">
        <v>177</v>
      </c>
      <c r="D264" s="5">
        <v>5</v>
      </c>
    </row>
    <row r="265" spans="1:4" ht="15" customHeight="1">
      <c r="A265" s="4" t="s">
        <v>535</v>
      </c>
      <c r="B265" s="6" t="s">
        <v>536</v>
      </c>
      <c r="C265" s="6" t="s">
        <v>177</v>
      </c>
      <c r="D265" s="5">
        <v>6</v>
      </c>
    </row>
    <row r="266" spans="1:4" ht="15" customHeight="1">
      <c r="A266" s="4" t="s">
        <v>537</v>
      </c>
      <c r="B266" s="6" t="s">
        <v>538</v>
      </c>
      <c r="C266" s="6" t="s">
        <v>177</v>
      </c>
      <c r="D266" s="5">
        <v>7</v>
      </c>
    </row>
    <row r="267" spans="1:4" ht="15" customHeight="1">
      <c r="A267" s="4" t="s">
        <v>539</v>
      </c>
      <c r="B267" s="6" t="s">
        <v>540</v>
      </c>
      <c r="C267" s="6" t="s">
        <v>177</v>
      </c>
      <c r="D267" s="5">
        <v>8</v>
      </c>
    </row>
    <row r="268" spans="1:4" ht="15" customHeight="1">
      <c r="A268" s="4" t="s">
        <v>541</v>
      </c>
      <c r="B268" s="6" t="s">
        <v>488</v>
      </c>
      <c r="C268" s="6" t="s">
        <v>177</v>
      </c>
      <c r="D268" s="5">
        <v>9</v>
      </c>
    </row>
    <row r="269" spans="1:4" ht="15" customHeight="1">
      <c r="A269" s="4" t="s">
        <v>542</v>
      </c>
      <c r="B269" s="6" t="s">
        <v>543</v>
      </c>
      <c r="C269" s="6" t="s">
        <v>177</v>
      </c>
      <c r="D269" s="5">
        <v>10</v>
      </c>
    </row>
    <row r="270" spans="1:4" ht="15" customHeight="1">
      <c r="A270" s="4" t="s">
        <v>544</v>
      </c>
      <c r="B270" s="6" t="s">
        <v>545</v>
      </c>
      <c r="C270" s="6" t="s">
        <v>177</v>
      </c>
      <c r="D270" s="5">
        <v>11</v>
      </c>
    </row>
    <row r="271" spans="1:4" ht="15" customHeight="1">
      <c r="A271" s="4" t="s">
        <v>546</v>
      </c>
      <c r="B271" s="6" t="s">
        <v>547</v>
      </c>
      <c r="C271" s="6" t="s">
        <v>177</v>
      </c>
      <c r="D271" s="5">
        <v>12</v>
      </c>
    </row>
    <row r="272" spans="1:4" ht="15" customHeight="1">
      <c r="A272" s="4" t="s">
        <v>548</v>
      </c>
      <c r="B272" s="6" t="s">
        <v>549</v>
      </c>
      <c r="C272" s="6" t="s">
        <v>177</v>
      </c>
      <c r="D272" s="5">
        <v>13</v>
      </c>
    </row>
    <row r="273" spans="1:4" ht="15" customHeight="1">
      <c r="A273" s="4" t="s">
        <v>550</v>
      </c>
      <c r="B273" s="6" t="s">
        <v>551</v>
      </c>
      <c r="C273" s="6" t="s">
        <v>177</v>
      </c>
      <c r="D273" s="5">
        <v>14</v>
      </c>
    </row>
    <row r="274" spans="1:4" ht="15" customHeight="1">
      <c r="A274" s="4" t="s">
        <v>552</v>
      </c>
      <c r="B274" s="6" t="s">
        <v>490</v>
      </c>
      <c r="C274" s="6" t="s">
        <v>177</v>
      </c>
      <c r="D274" s="5">
        <v>15</v>
      </c>
    </row>
    <row r="275" spans="1:4" ht="15" customHeight="1">
      <c r="A275" s="4" t="s">
        <v>553</v>
      </c>
      <c r="B275" s="6" t="s">
        <v>554</v>
      </c>
      <c r="C275" s="6" t="s">
        <v>177</v>
      </c>
      <c r="D275" s="5">
        <v>16</v>
      </c>
    </row>
    <row r="276" spans="1:4" ht="15" customHeight="1">
      <c r="A276" s="4" t="s">
        <v>555</v>
      </c>
      <c r="B276" s="6" t="s">
        <v>556</v>
      </c>
      <c r="C276" s="6" t="s">
        <v>177</v>
      </c>
      <c r="D276" s="5">
        <v>17</v>
      </c>
    </row>
    <row r="277" spans="1:4" ht="15" customHeight="1">
      <c r="A277" s="4" t="s">
        <v>557</v>
      </c>
      <c r="B277" s="6" t="s">
        <v>558</v>
      </c>
      <c r="C277" s="6" t="s">
        <v>177</v>
      </c>
      <c r="D277" s="5">
        <v>18</v>
      </c>
    </row>
    <row r="278" spans="1:4" ht="15" customHeight="1">
      <c r="A278" s="4" t="s">
        <v>559</v>
      </c>
      <c r="B278" s="6" t="s">
        <v>383</v>
      </c>
      <c r="C278" s="6" t="s">
        <v>177</v>
      </c>
      <c r="D278" s="5">
        <v>19</v>
      </c>
    </row>
    <row r="279" spans="1:4" ht="15" customHeight="1">
      <c r="A279" s="7" t="s">
        <v>196</v>
      </c>
    </row>
    <row r="280" spans="1:4" ht="19.5" customHeight="1">
      <c r="A280" s="266" t="s">
        <v>148</v>
      </c>
      <c r="B280" s="262"/>
      <c r="C280" s="262"/>
      <c r="D280" s="262"/>
    </row>
    <row r="281" spans="1:4" ht="25.5" customHeight="1">
      <c r="A281" s="3" t="s">
        <v>173</v>
      </c>
      <c r="B281" s="3" t="s">
        <v>207</v>
      </c>
      <c r="C281" s="3" t="s">
        <v>175</v>
      </c>
      <c r="D281" s="3" t="s">
        <v>198</v>
      </c>
    </row>
    <row r="282" spans="1:4" ht="15" customHeight="1">
      <c r="A282" s="4" t="s">
        <v>560</v>
      </c>
      <c r="B282" s="6" t="s">
        <v>561</v>
      </c>
      <c r="C282" s="6" t="s">
        <v>177</v>
      </c>
      <c r="D282" s="5">
        <v>1</v>
      </c>
    </row>
    <row r="283" spans="1:4" ht="15" customHeight="1">
      <c r="A283" s="4" t="s">
        <v>562</v>
      </c>
      <c r="B283" s="6" t="s">
        <v>563</v>
      </c>
      <c r="C283" s="6" t="s">
        <v>177</v>
      </c>
      <c r="D283" s="5">
        <v>2</v>
      </c>
    </row>
    <row r="284" spans="1:4" ht="15" customHeight="1">
      <c r="A284" s="4" t="s">
        <v>564</v>
      </c>
      <c r="B284" s="6" t="s">
        <v>565</v>
      </c>
      <c r="C284" s="6" t="s">
        <v>177</v>
      </c>
      <c r="D284" s="5">
        <v>3</v>
      </c>
    </row>
    <row r="285" spans="1:4" ht="15" customHeight="1">
      <c r="A285" s="4" t="s">
        <v>566</v>
      </c>
      <c r="B285" s="6" t="s">
        <v>567</v>
      </c>
      <c r="C285" s="6" t="s">
        <v>177</v>
      </c>
      <c r="D285" s="5">
        <v>4</v>
      </c>
    </row>
    <row r="286" spans="1:4" ht="15" customHeight="1">
      <c r="A286" s="4" t="s">
        <v>568</v>
      </c>
      <c r="B286" s="6" t="s">
        <v>536</v>
      </c>
      <c r="C286" s="6" t="s">
        <v>177</v>
      </c>
      <c r="D286" s="5">
        <v>5</v>
      </c>
    </row>
    <row r="287" spans="1:4" ht="15" customHeight="1">
      <c r="A287" s="4" t="s">
        <v>569</v>
      </c>
      <c r="B287" s="6" t="s">
        <v>545</v>
      </c>
      <c r="C287" s="6" t="s">
        <v>177</v>
      </c>
      <c r="D287" s="5">
        <v>6</v>
      </c>
    </row>
    <row r="288" spans="1:4" ht="15" customHeight="1">
      <c r="A288" s="4" t="s">
        <v>570</v>
      </c>
      <c r="B288" s="6" t="s">
        <v>571</v>
      </c>
      <c r="C288" s="6" t="s">
        <v>177</v>
      </c>
      <c r="D288" s="5">
        <v>7</v>
      </c>
    </row>
    <row r="289" spans="1:4" ht="15" customHeight="1">
      <c r="A289" s="4" t="s">
        <v>572</v>
      </c>
      <c r="B289" s="6" t="s">
        <v>573</v>
      </c>
      <c r="C289" s="6" t="s">
        <v>177</v>
      </c>
      <c r="D289" s="5">
        <v>8</v>
      </c>
    </row>
    <row r="290" spans="1:4" ht="15" customHeight="1">
      <c r="A290" s="4" t="s">
        <v>574</v>
      </c>
      <c r="B290" s="6" t="s">
        <v>558</v>
      </c>
      <c r="C290" s="6" t="s">
        <v>177</v>
      </c>
      <c r="D290" s="5">
        <v>9</v>
      </c>
    </row>
    <row r="291" spans="1:4" ht="15" customHeight="1">
      <c r="A291" s="4" t="s">
        <v>575</v>
      </c>
      <c r="B291" s="6" t="s">
        <v>576</v>
      </c>
      <c r="C291" s="6" t="s">
        <v>177</v>
      </c>
      <c r="D291" s="5">
        <v>10</v>
      </c>
    </row>
    <row r="292" spans="1:4" ht="15" customHeight="1">
      <c r="A292" s="4" t="s">
        <v>577</v>
      </c>
      <c r="B292" s="6" t="s">
        <v>578</v>
      </c>
      <c r="C292" s="6" t="s">
        <v>177</v>
      </c>
      <c r="D292" s="5">
        <v>11</v>
      </c>
    </row>
    <row r="293" spans="1:4" ht="15" customHeight="1">
      <c r="A293" s="4" t="s">
        <v>579</v>
      </c>
      <c r="B293" s="6" t="s">
        <v>580</v>
      </c>
      <c r="C293" s="6" t="s">
        <v>177</v>
      </c>
      <c r="D293" s="5">
        <v>12</v>
      </c>
    </row>
    <row r="294" spans="1:4" ht="15" customHeight="1">
      <c r="A294" s="4" t="s">
        <v>581</v>
      </c>
      <c r="B294" s="6" t="s">
        <v>383</v>
      </c>
      <c r="C294" s="6" t="s">
        <v>177</v>
      </c>
      <c r="D294" s="5">
        <v>13</v>
      </c>
    </row>
    <row r="295" spans="1:4" ht="15" customHeight="1">
      <c r="A295" s="7" t="s">
        <v>196</v>
      </c>
    </row>
    <row r="296" spans="1:4" ht="19.5" customHeight="1">
      <c r="A296" s="266" t="s">
        <v>150</v>
      </c>
      <c r="B296" s="262"/>
      <c r="C296" s="262"/>
      <c r="D296" s="262"/>
    </row>
    <row r="297" spans="1:4" ht="25.5" customHeight="1">
      <c r="A297" s="3" t="s">
        <v>173</v>
      </c>
      <c r="B297" s="3" t="s">
        <v>207</v>
      </c>
      <c r="C297" s="3" t="s">
        <v>175</v>
      </c>
      <c r="D297" s="3" t="s">
        <v>198</v>
      </c>
    </row>
    <row r="298" spans="1:4" ht="15" customHeight="1">
      <c r="A298" s="4" t="s">
        <v>582</v>
      </c>
      <c r="B298" s="6" t="s">
        <v>583</v>
      </c>
      <c r="C298" s="6" t="s">
        <v>177</v>
      </c>
      <c r="D298" s="5">
        <v>1</v>
      </c>
    </row>
    <row r="299" spans="1:4" ht="15" customHeight="1">
      <c r="A299" s="4" t="s">
        <v>584</v>
      </c>
      <c r="B299" s="6" t="s">
        <v>585</v>
      </c>
      <c r="C299" s="6" t="s">
        <v>177</v>
      </c>
      <c r="D299" s="5">
        <v>2</v>
      </c>
    </row>
    <row r="300" spans="1:4" ht="15" customHeight="1">
      <c r="A300" s="4" t="s">
        <v>586</v>
      </c>
      <c r="B300" s="6" t="s">
        <v>587</v>
      </c>
      <c r="C300" s="6" t="s">
        <v>177</v>
      </c>
      <c r="D300" s="5">
        <v>3</v>
      </c>
    </row>
    <row r="301" spans="1:4" ht="15" customHeight="1">
      <c r="A301" s="4" t="s">
        <v>588</v>
      </c>
      <c r="B301" s="6" t="s">
        <v>589</v>
      </c>
      <c r="C301" s="6" t="s">
        <v>177</v>
      </c>
      <c r="D301" s="5">
        <v>4</v>
      </c>
    </row>
    <row r="302" spans="1:4" ht="15" customHeight="1">
      <c r="A302" s="4" t="s">
        <v>590</v>
      </c>
      <c r="B302" s="6" t="s">
        <v>591</v>
      </c>
      <c r="C302" s="6" t="s">
        <v>177</v>
      </c>
      <c r="D302" s="5">
        <v>5</v>
      </c>
    </row>
    <row r="303" spans="1:4" ht="15" customHeight="1">
      <c r="A303" s="4" t="s">
        <v>592</v>
      </c>
      <c r="B303" s="6" t="s">
        <v>593</v>
      </c>
      <c r="C303" s="6" t="s">
        <v>177</v>
      </c>
      <c r="D303" s="5">
        <v>6</v>
      </c>
    </row>
    <row r="304" spans="1:4" ht="15" customHeight="1">
      <c r="A304" s="4" t="s">
        <v>594</v>
      </c>
      <c r="B304" s="6" t="s">
        <v>595</v>
      </c>
      <c r="C304" s="6" t="s">
        <v>177</v>
      </c>
      <c r="D304" s="5">
        <v>7</v>
      </c>
    </row>
    <row r="305" spans="1:4" ht="15" customHeight="1">
      <c r="A305" s="4" t="s">
        <v>596</v>
      </c>
      <c r="B305" s="6" t="s">
        <v>597</v>
      </c>
      <c r="C305" s="6" t="s">
        <v>177</v>
      </c>
      <c r="D305" s="5">
        <v>8</v>
      </c>
    </row>
    <row r="306" spans="1:4" ht="15" customHeight="1">
      <c r="A306" s="4" t="s">
        <v>598</v>
      </c>
      <c r="B306" s="6" t="s">
        <v>599</v>
      </c>
      <c r="C306" s="6" t="s">
        <v>177</v>
      </c>
      <c r="D306" s="5">
        <v>9</v>
      </c>
    </row>
    <row r="307" spans="1:4" ht="15" customHeight="1">
      <c r="A307" s="4" t="s">
        <v>600</v>
      </c>
      <c r="B307" s="6" t="s">
        <v>601</v>
      </c>
      <c r="C307" s="6" t="s">
        <v>177</v>
      </c>
      <c r="D307" s="5">
        <v>10</v>
      </c>
    </row>
    <row r="308" spans="1:4" ht="15" customHeight="1">
      <c r="A308" s="4" t="s">
        <v>602</v>
      </c>
      <c r="B308" s="6" t="s">
        <v>603</v>
      </c>
      <c r="C308" s="6" t="s">
        <v>177</v>
      </c>
      <c r="D308" s="5">
        <v>11</v>
      </c>
    </row>
    <row r="309" spans="1:4" ht="15" customHeight="1">
      <c r="A309" s="4" t="s">
        <v>604</v>
      </c>
      <c r="B309" s="6" t="s">
        <v>605</v>
      </c>
      <c r="C309" s="6" t="s">
        <v>177</v>
      </c>
      <c r="D309" s="5">
        <v>12</v>
      </c>
    </row>
    <row r="310" spans="1:4" ht="15" customHeight="1">
      <c r="A310" s="4" t="s">
        <v>606</v>
      </c>
      <c r="B310" s="6" t="s">
        <v>607</v>
      </c>
      <c r="C310" s="6" t="s">
        <v>177</v>
      </c>
      <c r="D310" s="5">
        <v>13</v>
      </c>
    </row>
    <row r="311" spans="1:4" ht="15" customHeight="1">
      <c r="A311" s="4" t="s">
        <v>608</v>
      </c>
      <c r="B311" s="6" t="s">
        <v>383</v>
      </c>
      <c r="C311" s="6" t="s">
        <v>177</v>
      </c>
      <c r="D311" s="5">
        <v>14</v>
      </c>
    </row>
    <row r="312" spans="1:4" ht="15" customHeight="1">
      <c r="A312" s="7" t="s">
        <v>196</v>
      </c>
    </row>
    <row r="313" spans="1:4" ht="19.5" customHeight="1">
      <c r="A313" s="266" t="s">
        <v>152</v>
      </c>
      <c r="B313" s="262"/>
      <c r="C313" s="262"/>
      <c r="D313" s="262"/>
    </row>
    <row r="314" spans="1:4" ht="25.5" customHeight="1">
      <c r="A314" s="3" t="s">
        <v>173</v>
      </c>
      <c r="B314" s="3" t="s">
        <v>207</v>
      </c>
      <c r="C314" s="3" t="s">
        <v>175</v>
      </c>
      <c r="D314" s="3" t="s">
        <v>198</v>
      </c>
    </row>
    <row r="315" spans="1:4" ht="15" customHeight="1">
      <c r="A315" s="4" t="s">
        <v>609</v>
      </c>
      <c r="B315" s="6" t="s">
        <v>583</v>
      </c>
      <c r="C315" s="6" t="s">
        <v>177</v>
      </c>
      <c r="D315" s="5">
        <v>1</v>
      </c>
    </row>
    <row r="316" spans="1:4" ht="15" customHeight="1">
      <c r="A316" s="4" t="s">
        <v>610</v>
      </c>
      <c r="B316" s="6" t="s">
        <v>585</v>
      </c>
      <c r="C316" s="6" t="s">
        <v>177</v>
      </c>
      <c r="D316" s="5">
        <v>2</v>
      </c>
    </row>
    <row r="317" spans="1:4" ht="15" customHeight="1">
      <c r="A317" s="4" t="s">
        <v>611</v>
      </c>
      <c r="B317" s="6" t="s">
        <v>612</v>
      </c>
      <c r="C317" s="6" t="s">
        <v>177</v>
      </c>
      <c r="D317" s="5">
        <v>3</v>
      </c>
    </row>
    <row r="318" spans="1:4" ht="15" customHeight="1">
      <c r="A318" s="4" t="s">
        <v>613</v>
      </c>
      <c r="B318" s="6" t="s">
        <v>614</v>
      </c>
      <c r="C318" s="6" t="s">
        <v>177</v>
      </c>
      <c r="D318" s="5">
        <v>4</v>
      </c>
    </row>
    <row r="319" spans="1:4" ht="15" customHeight="1">
      <c r="A319" s="4" t="s">
        <v>615</v>
      </c>
      <c r="B319" s="6" t="s">
        <v>616</v>
      </c>
      <c r="C319" s="6" t="s">
        <v>177</v>
      </c>
      <c r="D319" s="5">
        <v>5</v>
      </c>
    </row>
    <row r="320" spans="1:4" ht="15" customHeight="1">
      <c r="A320" s="4" t="s">
        <v>617</v>
      </c>
      <c r="B320" s="6" t="s">
        <v>618</v>
      </c>
      <c r="C320" s="6" t="s">
        <v>177</v>
      </c>
      <c r="D320" s="5">
        <v>6</v>
      </c>
    </row>
    <row r="321" spans="1:4" ht="15" customHeight="1">
      <c r="A321" s="4" t="s">
        <v>619</v>
      </c>
      <c r="B321" s="6" t="s">
        <v>620</v>
      </c>
      <c r="C321" s="6" t="s">
        <v>177</v>
      </c>
      <c r="D321" s="5">
        <v>7</v>
      </c>
    </row>
    <row r="322" spans="1:4" ht="15" customHeight="1">
      <c r="A322" s="4" t="s">
        <v>621</v>
      </c>
      <c r="B322" s="6" t="s">
        <v>622</v>
      </c>
      <c r="C322" s="6" t="s">
        <v>177</v>
      </c>
      <c r="D322" s="5">
        <v>8</v>
      </c>
    </row>
    <row r="323" spans="1:4" ht="15" customHeight="1">
      <c r="A323" s="4" t="s">
        <v>623</v>
      </c>
      <c r="B323" s="6" t="s">
        <v>383</v>
      </c>
      <c r="C323" s="6" t="s">
        <v>177</v>
      </c>
      <c r="D323" s="5">
        <v>9</v>
      </c>
    </row>
    <row r="324" spans="1:4" ht="15" customHeight="1">
      <c r="A324" s="7" t="s">
        <v>196</v>
      </c>
    </row>
    <row r="325" spans="1:4" ht="19.5" customHeight="1">
      <c r="A325" s="266" t="s">
        <v>153</v>
      </c>
      <c r="B325" s="262"/>
      <c r="C325" s="262"/>
      <c r="D325" s="262"/>
    </row>
    <row r="326" spans="1:4" ht="25.5" customHeight="1">
      <c r="A326" s="3" t="s">
        <v>173</v>
      </c>
      <c r="B326" s="3" t="s">
        <v>207</v>
      </c>
      <c r="C326" s="3" t="s">
        <v>175</v>
      </c>
      <c r="D326" s="3" t="s">
        <v>198</v>
      </c>
    </row>
    <row r="327" spans="1:4" ht="15" customHeight="1">
      <c r="A327" s="4" t="s">
        <v>624</v>
      </c>
      <c r="B327" s="6" t="s">
        <v>625</v>
      </c>
      <c r="C327" s="6" t="s">
        <v>177</v>
      </c>
      <c r="D327" s="5">
        <v>1</v>
      </c>
    </row>
    <row r="328" spans="1:4" ht="15" customHeight="1">
      <c r="A328" s="4" t="s">
        <v>626</v>
      </c>
      <c r="B328" s="6" t="s">
        <v>627</v>
      </c>
      <c r="C328" s="6" t="s">
        <v>177</v>
      </c>
      <c r="D328" s="5">
        <v>2</v>
      </c>
    </row>
    <row r="329" spans="1:4" ht="15" customHeight="1">
      <c r="A329" s="4" t="s">
        <v>628</v>
      </c>
      <c r="B329" s="6" t="s">
        <v>629</v>
      </c>
      <c r="C329" s="6" t="s">
        <v>177</v>
      </c>
      <c r="D329" s="5">
        <v>3</v>
      </c>
    </row>
    <row r="330" spans="1:4" ht="15" customHeight="1">
      <c r="A330" s="4" t="s">
        <v>630</v>
      </c>
      <c r="B330" s="6" t="s">
        <v>631</v>
      </c>
      <c r="C330" s="6" t="s">
        <v>177</v>
      </c>
      <c r="D330" s="5">
        <v>4</v>
      </c>
    </row>
    <row r="331" spans="1:4" ht="15" customHeight="1">
      <c r="A331" s="4" t="s">
        <v>632</v>
      </c>
      <c r="B331" s="6" t="s">
        <v>633</v>
      </c>
      <c r="C331" s="6" t="s">
        <v>177</v>
      </c>
      <c r="D331" s="5">
        <v>5</v>
      </c>
    </row>
    <row r="332" spans="1:4" ht="15" customHeight="1">
      <c r="A332" s="4" t="s">
        <v>634</v>
      </c>
      <c r="B332" s="6" t="s">
        <v>635</v>
      </c>
      <c r="C332" s="6" t="s">
        <v>177</v>
      </c>
      <c r="D332" s="5">
        <v>6</v>
      </c>
    </row>
    <row r="333" spans="1:4" ht="15" customHeight="1">
      <c r="A333" s="4" t="s">
        <v>636</v>
      </c>
      <c r="B333" s="6" t="s">
        <v>637</v>
      </c>
      <c r="C333" s="6" t="s">
        <v>177</v>
      </c>
      <c r="D333" s="5">
        <v>7</v>
      </c>
    </row>
    <row r="334" spans="1:4" ht="15" customHeight="1">
      <c r="A334" s="4" t="s">
        <v>638</v>
      </c>
      <c r="B334" s="6" t="s">
        <v>385</v>
      </c>
      <c r="C334" s="6" t="s">
        <v>177</v>
      </c>
      <c r="D334" s="5">
        <v>8</v>
      </c>
    </row>
    <row r="335" spans="1:4" ht="15" customHeight="1">
      <c r="A335" s="4" t="s">
        <v>639</v>
      </c>
      <c r="B335" s="6" t="s">
        <v>439</v>
      </c>
      <c r="C335" s="6" t="s">
        <v>177</v>
      </c>
      <c r="D335" s="5">
        <v>9</v>
      </c>
    </row>
    <row r="336" spans="1:4" ht="15" customHeight="1">
      <c r="A336" s="4" t="s">
        <v>640</v>
      </c>
      <c r="B336" s="6" t="s">
        <v>641</v>
      </c>
      <c r="C336" s="6" t="s">
        <v>177</v>
      </c>
      <c r="D336" s="5">
        <v>10</v>
      </c>
    </row>
    <row r="337" spans="1:4" ht="15" customHeight="1">
      <c r="A337" s="4" t="s">
        <v>642</v>
      </c>
      <c r="B337" s="6" t="s">
        <v>643</v>
      </c>
      <c r="C337" s="6" t="s">
        <v>177</v>
      </c>
      <c r="D337" s="5">
        <v>11</v>
      </c>
    </row>
    <row r="338" spans="1:4" ht="15" customHeight="1">
      <c r="A338" s="4" t="s">
        <v>644</v>
      </c>
      <c r="B338" s="6" t="s">
        <v>645</v>
      </c>
      <c r="C338" s="6" t="s">
        <v>177</v>
      </c>
      <c r="D338" s="5">
        <v>12</v>
      </c>
    </row>
    <row r="339" spans="1:4" ht="15" customHeight="1">
      <c r="A339" s="4" t="s">
        <v>646</v>
      </c>
      <c r="B339" s="6" t="s">
        <v>647</v>
      </c>
      <c r="C339" s="6" t="s">
        <v>177</v>
      </c>
      <c r="D339" s="5">
        <v>13</v>
      </c>
    </row>
    <row r="340" spans="1:4" ht="15" customHeight="1">
      <c r="A340" s="4" t="s">
        <v>648</v>
      </c>
      <c r="B340" s="6" t="s">
        <v>427</v>
      </c>
      <c r="C340" s="6" t="s">
        <v>177</v>
      </c>
      <c r="D340" s="5">
        <v>14</v>
      </c>
    </row>
    <row r="341" spans="1:4" ht="15" customHeight="1">
      <c r="A341" s="4" t="s">
        <v>649</v>
      </c>
      <c r="B341" s="6" t="s">
        <v>429</v>
      </c>
      <c r="C341" s="6" t="s">
        <v>177</v>
      </c>
      <c r="D341" s="5">
        <v>15</v>
      </c>
    </row>
    <row r="342" spans="1:4" ht="15" customHeight="1">
      <c r="A342" s="4" t="s">
        <v>650</v>
      </c>
      <c r="B342" s="6" t="s">
        <v>651</v>
      </c>
      <c r="C342" s="6" t="s">
        <v>177</v>
      </c>
      <c r="D342" s="5">
        <v>16</v>
      </c>
    </row>
    <row r="343" spans="1:4" ht="15" customHeight="1">
      <c r="A343" s="4" t="s">
        <v>652</v>
      </c>
      <c r="B343" s="6" t="s">
        <v>653</v>
      </c>
      <c r="C343" s="6" t="s">
        <v>177</v>
      </c>
      <c r="D343" s="5">
        <v>17</v>
      </c>
    </row>
    <row r="344" spans="1:4" ht="15" customHeight="1">
      <c r="A344" s="4" t="s">
        <v>654</v>
      </c>
      <c r="B344" s="6" t="s">
        <v>655</v>
      </c>
      <c r="C344" s="6" t="s">
        <v>177</v>
      </c>
      <c r="D344" s="5">
        <v>18</v>
      </c>
    </row>
    <row r="345" spans="1:4" ht="15" customHeight="1">
      <c r="A345" s="4" t="s">
        <v>656</v>
      </c>
      <c r="B345" s="6" t="s">
        <v>657</v>
      </c>
      <c r="C345" s="6" t="s">
        <v>177</v>
      </c>
      <c r="D345" s="5">
        <v>19</v>
      </c>
    </row>
    <row r="346" spans="1:4" ht="15" customHeight="1">
      <c r="A346" s="4" t="s">
        <v>658</v>
      </c>
      <c r="B346" s="6" t="s">
        <v>659</v>
      </c>
      <c r="C346" s="6" t="s">
        <v>177</v>
      </c>
      <c r="D346" s="5">
        <v>20</v>
      </c>
    </row>
    <row r="347" spans="1:4" ht="15" customHeight="1">
      <c r="A347" s="4" t="s">
        <v>660</v>
      </c>
      <c r="B347" s="6" t="s">
        <v>661</v>
      </c>
      <c r="C347" s="6" t="s">
        <v>177</v>
      </c>
      <c r="D347" s="5">
        <v>21</v>
      </c>
    </row>
    <row r="348" spans="1:4" ht="15" customHeight="1">
      <c r="A348" s="4" t="s">
        <v>662</v>
      </c>
      <c r="B348" s="6" t="s">
        <v>663</v>
      </c>
      <c r="C348" s="6" t="s">
        <v>177</v>
      </c>
      <c r="D348" s="5">
        <v>22</v>
      </c>
    </row>
    <row r="349" spans="1:4" ht="15" customHeight="1">
      <c r="A349" s="4" t="s">
        <v>664</v>
      </c>
      <c r="B349" s="6" t="s">
        <v>665</v>
      </c>
      <c r="C349" s="6" t="s">
        <v>177</v>
      </c>
      <c r="D349" s="5">
        <v>23</v>
      </c>
    </row>
    <row r="350" spans="1:4" ht="15" customHeight="1">
      <c r="A350" s="4" t="s">
        <v>666</v>
      </c>
      <c r="B350" s="6" t="s">
        <v>667</v>
      </c>
      <c r="C350" s="6" t="s">
        <v>177</v>
      </c>
      <c r="D350" s="5">
        <v>24</v>
      </c>
    </row>
    <row r="351" spans="1:4" ht="15" customHeight="1">
      <c r="A351" s="4" t="s">
        <v>668</v>
      </c>
      <c r="B351" s="6" t="s">
        <v>437</v>
      </c>
      <c r="C351" s="6" t="s">
        <v>177</v>
      </c>
      <c r="D351" s="5">
        <v>25</v>
      </c>
    </row>
    <row r="352" spans="1:4" ht="15" customHeight="1">
      <c r="A352" s="4" t="s">
        <v>669</v>
      </c>
      <c r="B352" s="6" t="s">
        <v>670</v>
      </c>
      <c r="C352" s="6" t="s">
        <v>177</v>
      </c>
      <c r="D352" s="5">
        <v>26</v>
      </c>
    </row>
    <row r="353" spans="1:4" ht="15" customHeight="1">
      <c r="A353" s="4" t="s">
        <v>671</v>
      </c>
      <c r="B353" s="6" t="s">
        <v>672</v>
      </c>
      <c r="C353" s="6" t="s">
        <v>177</v>
      </c>
      <c r="D353" s="5">
        <v>27</v>
      </c>
    </row>
    <row r="354" spans="1:4" ht="15" customHeight="1">
      <c r="A354" s="4" t="s">
        <v>673</v>
      </c>
      <c r="B354" s="6" t="s">
        <v>674</v>
      </c>
      <c r="C354" s="6" t="s">
        <v>177</v>
      </c>
      <c r="D354" s="5">
        <v>28</v>
      </c>
    </row>
    <row r="355" spans="1:4" ht="15" customHeight="1">
      <c r="A355" s="4" t="s">
        <v>675</v>
      </c>
      <c r="B355" s="6" t="s">
        <v>676</v>
      </c>
      <c r="C355" s="6" t="s">
        <v>177</v>
      </c>
      <c r="D355" s="5">
        <v>29</v>
      </c>
    </row>
    <row r="356" spans="1:4" ht="15" customHeight="1">
      <c r="A356" s="4" t="s">
        <v>677</v>
      </c>
      <c r="B356" s="6" t="s">
        <v>678</v>
      </c>
      <c r="C356" s="6" t="s">
        <v>177</v>
      </c>
      <c r="D356" s="5">
        <v>30</v>
      </c>
    </row>
    <row r="357" spans="1:4" ht="15" customHeight="1">
      <c r="A357" s="7" t="s">
        <v>196</v>
      </c>
    </row>
    <row r="358" spans="1:4" ht="19.5" customHeight="1">
      <c r="A358" s="266" t="s">
        <v>154</v>
      </c>
      <c r="B358" s="262"/>
      <c r="C358" s="262"/>
      <c r="D358" s="262"/>
    </row>
    <row r="359" spans="1:4" ht="25.5" customHeight="1">
      <c r="A359" s="3" t="s">
        <v>173</v>
      </c>
      <c r="B359" s="3" t="s">
        <v>207</v>
      </c>
      <c r="C359" s="3" t="s">
        <v>175</v>
      </c>
      <c r="D359" s="3" t="s">
        <v>198</v>
      </c>
    </row>
    <row r="360" spans="1:4" ht="15" customHeight="1">
      <c r="A360" s="4" t="s">
        <v>679</v>
      </c>
      <c r="B360" s="6" t="s">
        <v>680</v>
      </c>
      <c r="C360" s="6" t="s">
        <v>177</v>
      </c>
      <c r="D360" s="5">
        <v>1</v>
      </c>
    </row>
    <row r="361" spans="1:4" ht="15" customHeight="1">
      <c r="A361" s="4" t="s">
        <v>681</v>
      </c>
      <c r="B361" s="6" t="s">
        <v>682</v>
      </c>
      <c r="C361" s="6" t="s">
        <v>177</v>
      </c>
      <c r="D361" s="5">
        <v>2</v>
      </c>
    </row>
    <row r="362" spans="1:4" ht="15" customHeight="1">
      <c r="A362" s="4" t="s">
        <v>683</v>
      </c>
      <c r="B362" s="6" t="s">
        <v>684</v>
      </c>
      <c r="C362" s="6" t="s">
        <v>177</v>
      </c>
      <c r="D362" s="5">
        <v>3</v>
      </c>
    </row>
    <row r="363" spans="1:4" ht="15" customHeight="1">
      <c r="A363" s="4" t="s">
        <v>685</v>
      </c>
      <c r="B363" s="6" t="s">
        <v>686</v>
      </c>
      <c r="C363" s="6" t="s">
        <v>177</v>
      </c>
      <c r="D363" s="5">
        <v>4</v>
      </c>
    </row>
    <row r="364" spans="1:4" ht="15" customHeight="1">
      <c r="A364" s="4" t="s">
        <v>687</v>
      </c>
      <c r="B364" s="6" t="s">
        <v>688</v>
      </c>
      <c r="C364" s="6" t="s">
        <v>177</v>
      </c>
      <c r="D364" s="5">
        <v>5</v>
      </c>
    </row>
    <row r="365" spans="1:4" ht="15" customHeight="1">
      <c r="A365" s="4" t="s">
        <v>689</v>
      </c>
      <c r="B365" s="6" t="s">
        <v>690</v>
      </c>
      <c r="C365" s="6" t="s">
        <v>177</v>
      </c>
      <c r="D365" s="5">
        <v>6</v>
      </c>
    </row>
    <row r="366" spans="1:4" ht="15" customHeight="1">
      <c r="A366" s="4" t="s">
        <v>691</v>
      </c>
      <c r="B366" s="6" t="s">
        <v>383</v>
      </c>
      <c r="C366" s="6" t="s">
        <v>177</v>
      </c>
      <c r="D366" s="5">
        <v>7</v>
      </c>
    </row>
    <row r="367" spans="1:4" ht="15" customHeight="1">
      <c r="A367" s="7" t="s">
        <v>196</v>
      </c>
    </row>
    <row r="368" spans="1:4" ht="19.5" customHeight="1">
      <c r="A368" s="266" t="s">
        <v>156</v>
      </c>
      <c r="B368" s="262"/>
      <c r="C368" s="262"/>
      <c r="D368" s="262"/>
    </row>
    <row r="369" spans="1:4" ht="25.5" customHeight="1">
      <c r="A369" s="3" t="s">
        <v>173</v>
      </c>
      <c r="B369" s="3" t="s">
        <v>207</v>
      </c>
      <c r="C369" s="3" t="s">
        <v>175</v>
      </c>
      <c r="D369" s="3" t="s">
        <v>198</v>
      </c>
    </row>
    <row r="370" spans="1:4" ht="15" customHeight="1">
      <c r="A370" s="4" t="s">
        <v>692</v>
      </c>
      <c r="B370" s="6" t="s">
        <v>583</v>
      </c>
      <c r="C370" s="6" t="s">
        <v>177</v>
      </c>
      <c r="D370" s="5">
        <v>1</v>
      </c>
    </row>
    <row r="371" spans="1:4" ht="15" customHeight="1">
      <c r="A371" s="4" t="s">
        <v>693</v>
      </c>
      <c r="B371" s="6" t="s">
        <v>585</v>
      </c>
      <c r="C371" s="6" t="s">
        <v>177</v>
      </c>
      <c r="D371" s="5">
        <v>2</v>
      </c>
    </row>
    <row r="372" spans="1:4" ht="15" customHeight="1">
      <c r="A372" s="4" t="s">
        <v>694</v>
      </c>
      <c r="B372" s="6" t="s">
        <v>587</v>
      </c>
      <c r="C372" s="6" t="s">
        <v>177</v>
      </c>
      <c r="D372" s="5">
        <v>3</v>
      </c>
    </row>
    <row r="373" spans="1:4" ht="15" customHeight="1">
      <c r="A373" s="4" t="s">
        <v>695</v>
      </c>
      <c r="B373" s="6" t="s">
        <v>696</v>
      </c>
      <c r="C373" s="6" t="s">
        <v>177</v>
      </c>
      <c r="D373" s="5">
        <v>4</v>
      </c>
    </row>
    <row r="374" spans="1:4" ht="15" customHeight="1">
      <c r="A374" s="4" t="s">
        <v>697</v>
      </c>
      <c r="B374" s="6" t="s">
        <v>698</v>
      </c>
      <c r="C374" s="6" t="s">
        <v>177</v>
      </c>
      <c r="D374" s="5">
        <v>5</v>
      </c>
    </row>
    <row r="375" spans="1:4" ht="15" customHeight="1">
      <c r="A375" s="4" t="s">
        <v>699</v>
      </c>
      <c r="B375" s="6" t="s">
        <v>700</v>
      </c>
      <c r="C375" s="6" t="s">
        <v>177</v>
      </c>
      <c r="D375" s="5">
        <v>6</v>
      </c>
    </row>
    <row r="376" spans="1:4" ht="15" customHeight="1">
      <c r="A376" s="4" t="s">
        <v>701</v>
      </c>
      <c r="B376" s="6" t="s">
        <v>607</v>
      </c>
      <c r="C376" s="6" t="s">
        <v>177</v>
      </c>
      <c r="D376" s="5">
        <v>7</v>
      </c>
    </row>
    <row r="377" spans="1:4" ht="15" customHeight="1">
      <c r="A377" s="4" t="s">
        <v>702</v>
      </c>
      <c r="B377" s="6" t="s">
        <v>605</v>
      </c>
      <c r="C377" s="6" t="s">
        <v>177</v>
      </c>
      <c r="D377" s="5">
        <v>8</v>
      </c>
    </row>
    <row r="378" spans="1:4" ht="15" customHeight="1">
      <c r="A378" s="4" t="s">
        <v>703</v>
      </c>
      <c r="B378" s="6" t="s">
        <v>603</v>
      </c>
      <c r="C378" s="6" t="s">
        <v>177</v>
      </c>
      <c r="D378" s="5">
        <v>9</v>
      </c>
    </row>
    <row r="379" spans="1:4" ht="15" customHeight="1">
      <c r="A379" s="4" t="s">
        <v>704</v>
      </c>
      <c r="B379" s="6" t="s">
        <v>383</v>
      </c>
      <c r="C379" s="6" t="s">
        <v>177</v>
      </c>
      <c r="D379" s="5">
        <v>10</v>
      </c>
    </row>
    <row r="380" spans="1:4" ht="15" customHeight="1">
      <c r="A380" s="7" t="s">
        <v>196</v>
      </c>
    </row>
    <row r="381" spans="1:4" ht="19.5" customHeight="1">
      <c r="A381" s="266" t="s">
        <v>158</v>
      </c>
      <c r="B381" s="262"/>
      <c r="C381" s="262"/>
      <c r="D381" s="262"/>
    </row>
    <row r="382" spans="1:4" ht="25.5" customHeight="1">
      <c r="A382" s="3" t="s">
        <v>173</v>
      </c>
      <c r="B382" s="3" t="s">
        <v>207</v>
      </c>
      <c r="C382" s="3" t="s">
        <v>175</v>
      </c>
      <c r="D382" s="3" t="s">
        <v>198</v>
      </c>
    </row>
    <row r="383" spans="1:4" ht="15" customHeight="1">
      <c r="A383" s="4" t="s">
        <v>705</v>
      </c>
      <c r="B383" s="6" t="s">
        <v>706</v>
      </c>
      <c r="C383" s="6" t="s">
        <v>177</v>
      </c>
      <c r="D383" s="5">
        <v>1</v>
      </c>
    </row>
    <row r="384" spans="1:4" ht="15" customHeight="1">
      <c r="A384" s="4" t="s">
        <v>707</v>
      </c>
      <c r="B384" s="6" t="s">
        <v>708</v>
      </c>
      <c r="C384" s="6" t="s">
        <v>177</v>
      </c>
      <c r="D384" s="5">
        <v>2</v>
      </c>
    </row>
    <row r="385" spans="1:4" ht="15" customHeight="1">
      <c r="A385" s="4" t="s">
        <v>709</v>
      </c>
      <c r="B385" s="6" t="s">
        <v>710</v>
      </c>
      <c r="C385" s="6" t="s">
        <v>177</v>
      </c>
      <c r="D385" s="5">
        <v>3</v>
      </c>
    </row>
    <row r="386" spans="1:4" ht="15" customHeight="1">
      <c r="A386" s="4" t="s">
        <v>711</v>
      </c>
      <c r="B386" s="6" t="s">
        <v>712</v>
      </c>
      <c r="C386" s="6" t="s">
        <v>177</v>
      </c>
      <c r="D386" s="5">
        <v>4</v>
      </c>
    </row>
    <row r="387" spans="1:4" ht="15" customHeight="1">
      <c r="A387" s="4" t="s">
        <v>713</v>
      </c>
      <c r="B387" s="6" t="s">
        <v>714</v>
      </c>
      <c r="C387" s="6" t="s">
        <v>177</v>
      </c>
      <c r="D387" s="5">
        <v>5</v>
      </c>
    </row>
    <row r="388" spans="1:4" ht="15" customHeight="1">
      <c r="A388" s="4" t="s">
        <v>715</v>
      </c>
      <c r="B388" s="6" t="s">
        <v>716</v>
      </c>
      <c r="C388" s="6" t="s">
        <v>177</v>
      </c>
      <c r="D388" s="5">
        <v>6</v>
      </c>
    </row>
    <row r="389" spans="1:4" ht="15" customHeight="1">
      <c r="A389" s="4" t="s">
        <v>717</v>
      </c>
      <c r="B389" s="6" t="s">
        <v>718</v>
      </c>
      <c r="C389" s="6" t="s">
        <v>177</v>
      </c>
      <c r="D389" s="5">
        <v>7</v>
      </c>
    </row>
    <row r="390" spans="1:4" ht="15" customHeight="1">
      <c r="A390" s="4" t="s">
        <v>719</v>
      </c>
      <c r="B390" s="6" t="s">
        <v>720</v>
      </c>
      <c r="C390" s="6" t="s">
        <v>177</v>
      </c>
      <c r="D390" s="5">
        <v>8</v>
      </c>
    </row>
    <row r="391" spans="1:4" ht="15" customHeight="1">
      <c r="A391" s="4" t="s">
        <v>721</v>
      </c>
      <c r="B391" s="6" t="s">
        <v>722</v>
      </c>
      <c r="C391" s="6" t="s">
        <v>177</v>
      </c>
      <c r="D391" s="5">
        <v>9</v>
      </c>
    </row>
    <row r="392" spans="1:4" ht="15" customHeight="1">
      <c r="A392" s="4" t="s">
        <v>723</v>
      </c>
      <c r="B392" s="6" t="s">
        <v>383</v>
      </c>
      <c r="C392" s="6" t="s">
        <v>177</v>
      </c>
      <c r="D392" s="5">
        <v>10</v>
      </c>
    </row>
    <row r="393" spans="1:4" ht="15" customHeight="1">
      <c r="A393" s="7" t="s">
        <v>196</v>
      </c>
    </row>
    <row r="394" spans="1:4" ht="19.5" customHeight="1">
      <c r="A394" s="266" t="s">
        <v>159</v>
      </c>
      <c r="B394" s="262"/>
      <c r="C394" s="262"/>
      <c r="D394" s="262"/>
    </row>
    <row r="395" spans="1:4" ht="25.5" customHeight="1">
      <c r="A395" s="3" t="s">
        <v>173</v>
      </c>
      <c r="B395" s="3" t="s">
        <v>207</v>
      </c>
      <c r="C395" s="3" t="s">
        <v>175</v>
      </c>
      <c r="D395" s="3" t="s">
        <v>198</v>
      </c>
    </row>
    <row r="396" spans="1:4" ht="15" customHeight="1">
      <c r="A396" s="4" t="s">
        <v>724</v>
      </c>
      <c r="B396" s="6" t="s">
        <v>725</v>
      </c>
      <c r="C396" s="6" t="s">
        <v>177</v>
      </c>
      <c r="D396" s="5">
        <v>1</v>
      </c>
    </row>
    <row r="397" spans="1:4" ht="15" customHeight="1">
      <c r="A397" s="4" t="s">
        <v>726</v>
      </c>
      <c r="B397" s="6" t="s">
        <v>727</v>
      </c>
      <c r="C397" s="6" t="s">
        <v>177</v>
      </c>
      <c r="D397" s="5">
        <v>2</v>
      </c>
    </row>
    <row r="398" spans="1:4" ht="15" customHeight="1">
      <c r="A398" s="4" t="s">
        <v>728</v>
      </c>
      <c r="B398" s="6" t="s">
        <v>729</v>
      </c>
      <c r="C398" s="6" t="s">
        <v>177</v>
      </c>
      <c r="D398" s="5">
        <v>3</v>
      </c>
    </row>
    <row r="399" spans="1:4" ht="15" customHeight="1">
      <c r="A399" s="4" t="s">
        <v>730</v>
      </c>
      <c r="B399" s="6" t="s">
        <v>731</v>
      </c>
      <c r="C399" s="6" t="s">
        <v>177</v>
      </c>
      <c r="D399" s="5">
        <v>4</v>
      </c>
    </row>
    <row r="400" spans="1:4" ht="15" customHeight="1">
      <c r="A400" s="4" t="s">
        <v>732</v>
      </c>
      <c r="B400" s="6" t="s">
        <v>733</v>
      </c>
      <c r="C400" s="6" t="s">
        <v>177</v>
      </c>
      <c r="D400" s="5">
        <v>5</v>
      </c>
    </row>
    <row r="401" spans="1:4" ht="15" customHeight="1">
      <c r="A401" s="4" t="s">
        <v>734</v>
      </c>
      <c r="B401" s="6" t="s">
        <v>735</v>
      </c>
      <c r="C401" s="6" t="s">
        <v>177</v>
      </c>
      <c r="D401" s="5">
        <v>6</v>
      </c>
    </row>
    <row r="402" spans="1:4" ht="15" customHeight="1">
      <c r="A402" s="4" t="s">
        <v>736</v>
      </c>
      <c r="B402" s="6" t="s">
        <v>737</v>
      </c>
      <c r="C402" s="6" t="s">
        <v>177</v>
      </c>
      <c r="D402" s="5">
        <v>7</v>
      </c>
    </row>
    <row r="403" spans="1:4" ht="15" customHeight="1">
      <c r="A403" s="4" t="s">
        <v>738</v>
      </c>
      <c r="B403" s="6" t="s">
        <v>739</v>
      </c>
      <c r="C403" s="6" t="s">
        <v>177</v>
      </c>
      <c r="D403" s="5">
        <v>8</v>
      </c>
    </row>
    <row r="404" spans="1:4" ht="15" customHeight="1">
      <c r="A404" s="4" t="s">
        <v>740</v>
      </c>
      <c r="B404" s="6" t="s">
        <v>741</v>
      </c>
      <c r="C404" s="6" t="s">
        <v>177</v>
      </c>
      <c r="D404" s="5">
        <v>9</v>
      </c>
    </row>
    <row r="405" spans="1:4" ht="15" customHeight="1">
      <c r="A405" s="4" t="s">
        <v>742</v>
      </c>
      <c r="B405" s="6" t="s">
        <v>743</v>
      </c>
      <c r="C405" s="6" t="s">
        <v>177</v>
      </c>
      <c r="D405" s="5">
        <v>10</v>
      </c>
    </row>
    <row r="406" spans="1:4" ht="15" customHeight="1">
      <c r="A406" s="4" t="s">
        <v>744</v>
      </c>
      <c r="B406" s="6" t="s">
        <v>745</v>
      </c>
      <c r="C406" s="6" t="s">
        <v>177</v>
      </c>
      <c r="D406" s="5">
        <v>11</v>
      </c>
    </row>
    <row r="407" spans="1:4" ht="15" customHeight="1">
      <c r="A407" s="4" t="s">
        <v>746</v>
      </c>
      <c r="B407" s="6" t="s">
        <v>747</v>
      </c>
      <c r="C407" s="6" t="s">
        <v>177</v>
      </c>
      <c r="D407" s="5">
        <v>12</v>
      </c>
    </row>
    <row r="408" spans="1:4" ht="15" customHeight="1">
      <c r="A408" s="4" t="s">
        <v>748</v>
      </c>
      <c r="B408" s="6" t="s">
        <v>749</v>
      </c>
      <c r="C408" s="6" t="s">
        <v>177</v>
      </c>
      <c r="D408" s="5">
        <v>13</v>
      </c>
    </row>
    <row r="409" spans="1:4" ht="15" customHeight="1">
      <c r="A409" s="4" t="s">
        <v>750</v>
      </c>
      <c r="B409" s="6" t="s">
        <v>751</v>
      </c>
      <c r="C409" s="6" t="s">
        <v>177</v>
      </c>
      <c r="D409" s="5">
        <v>14</v>
      </c>
    </row>
    <row r="410" spans="1:4" ht="15" customHeight="1">
      <c r="A410" s="4" t="s">
        <v>752</v>
      </c>
      <c r="B410" s="6" t="s">
        <v>753</v>
      </c>
      <c r="C410" s="6" t="s">
        <v>177</v>
      </c>
      <c r="D410" s="5">
        <v>15</v>
      </c>
    </row>
    <row r="411" spans="1:4" ht="15" customHeight="1">
      <c r="A411" s="4" t="s">
        <v>754</v>
      </c>
      <c r="B411" s="6" t="s">
        <v>755</v>
      </c>
      <c r="C411" s="6" t="s">
        <v>177</v>
      </c>
      <c r="D411" s="5">
        <v>16</v>
      </c>
    </row>
    <row r="412" spans="1:4" ht="15" customHeight="1">
      <c r="A412" s="4" t="s">
        <v>756</v>
      </c>
      <c r="B412" s="6" t="s">
        <v>757</v>
      </c>
      <c r="C412" s="6" t="s">
        <v>177</v>
      </c>
      <c r="D412" s="5">
        <v>17</v>
      </c>
    </row>
    <row r="413" spans="1:4" ht="15" customHeight="1">
      <c r="A413" s="4" t="s">
        <v>758</v>
      </c>
      <c r="B413" s="6" t="s">
        <v>759</v>
      </c>
      <c r="C413" s="6" t="s">
        <v>177</v>
      </c>
      <c r="D413" s="5">
        <v>18</v>
      </c>
    </row>
    <row r="414" spans="1:4" ht="15" customHeight="1">
      <c r="A414" s="4" t="s">
        <v>760</v>
      </c>
      <c r="B414" s="6" t="s">
        <v>761</v>
      </c>
      <c r="C414" s="6" t="s">
        <v>177</v>
      </c>
      <c r="D414" s="5">
        <v>19</v>
      </c>
    </row>
    <row r="415" spans="1:4" ht="15" customHeight="1">
      <c r="A415" s="4" t="s">
        <v>762</v>
      </c>
      <c r="B415" s="6" t="s">
        <v>763</v>
      </c>
      <c r="C415" s="6" t="s">
        <v>177</v>
      </c>
      <c r="D415" s="5">
        <v>20</v>
      </c>
    </row>
    <row r="416" spans="1:4" ht="15" customHeight="1">
      <c r="A416" s="4" t="s">
        <v>764</v>
      </c>
      <c r="B416" s="6" t="s">
        <v>765</v>
      </c>
      <c r="C416" s="6" t="s">
        <v>177</v>
      </c>
      <c r="D416" s="5">
        <v>21</v>
      </c>
    </row>
    <row r="417" spans="1:4" ht="15" customHeight="1">
      <c r="A417" s="4" t="s">
        <v>766</v>
      </c>
      <c r="B417" s="6" t="s">
        <v>767</v>
      </c>
      <c r="C417" s="6" t="s">
        <v>177</v>
      </c>
      <c r="D417" s="5">
        <v>22</v>
      </c>
    </row>
    <row r="418" spans="1:4" ht="15" customHeight="1">
      <c r="A418" s="4" t="s">
        <v>768</v>
      </c>
      <c r="B418" s="6" t="s">
        <v>769</v>
      </c>
      <c r="C418" s="6" t="s">
        <v>177</v>
      </c>
      <c r="D418" s="5">
        <v>23</v>
      </c>
    </row>
    <row r="419" spans="1:4" ht="15" customHeight="1">
      <c r="A419" s="4" t="s">
        <v>770</v>
      </c>
      <c r="B419" s="6" t="s">
        <v>712</v>
      </c>
      <c r="C419" s="6" t="s">
        <v>177</v>
      </c>
      <c r="D419" s="5">
        <v>24</v>
      </c>
    </row>
    <row r="420" spans="1:4" ht="15" customHeight="1">
      <c r="A420" s="4" t="s">
        <v>771</v>
      </c>
      <c r="B420" s="6" t="s">
        <v>772</v>
      </c>
      <c r="C420" s="6" t="s">
        <v>177</v>
      </c>
      <c r="D420" s="5">
        <v>25</v>
      </c>
    </row>
    <row r="421" spans="1:4" ht="15" customHeight="1">
      <c r="A421" s="4" t="s">
        <v>773</v>
      </c>
      <c r="B421" s="6" t="s">
        <v>774</v>
      </c>
      <c r="C421" s="6" t="s">
        <v>177</v>
      </c>
      <c r="D421" s="5">
        <v>26</v>
      </c>
    </row>
    <row r="422" spans="1:4" ht="15" customHeight="1">
      <c r="A422" s="4" t="s">
        <v>775</v>
      </c>
      <c r="B422" s="6" t="s">
        <v>776</v>
      </c>
      <c r="C422" s="6" t="s">
        <v>177</v>
      </c>
      <c r="D422" s="5">
        <v>27</v>
      </c>
    </row>
    <row r="423" spans="1:4" ht="15" customHeight="1">
      <c r="A423" s="4" t="s">
        <v>777</v>
      </c>
      <c r="B423" s="6" t="s">
        <v>778</v>
      </c>
      <c r="C423" s="6" t="s">
        <v>177</v>
      </c>
      <c r="D423" s="5">
        <v>28</v>
      </c>
    </row>
    <row r="424" spans="1:4" ht="15" customHeight="1">
      <c r="A424" s="4" t="s">
        <v>779</v>
      </c>
      <c r="B424" s="6" t="s">
        <v>383</v>
      </c>
      <c r="C424" s="6" t="s">
        <v>177</v>
      </c>
      <c r="D424" s="5">
        <v>29</v>
      </c>
    </row>
    <row r="425" spans="1:4" ht="15" customHeight="1">
      <c r="A425" s="7" t="s">
        <v>196</v>
      </c>
    </row>
    <row r="426" spans="1:4" ht="19.5" customHeight="1">
      <c r="A426" s="266" t="s">
        <v>160</v>
      </c>
      <c r="B426" s="262"/>
      <c r="C426" s="262"/>
      <c r="D426" s="262"/>
    </row>
    <row r="427" spans="1:4" ht="25.5" customHeight="1">
      <c r="A427" s="3" t="s">
        <v>173</v>
      </c>
      <c r="B427" s="3" t="s">
        <v>207</v>
      </c>
      <c r="C427" s="3" t="s">
        <v>175</v>
      </c>
      <c r="D427" s="3" t="s">
        <v>198</v>
      </c>
    </row>
    <row r="428" spans="1:4" ht="15" customHeight="1">
      <c r="A428" s="4" t="s">
        <v>780</v>
      </c>
      <c r="B428" s="6" t="s">
        <v>781</v>
      </c>
      <c r="C428" s="6" t="s">
        <v>177</v>
      </c>
      <c r="D428" s="5">
        <v>1</v>
      </c>
    </row>
    <row r="429" spans="1:4" ht="15" customHeight="1">
      <c r="A429" s="4" t="s">
        <v>782</v>
      </c>
      <c r="B429" s="6" t="s">
        <v>783</v>
      </c>
      <c r="C429" s="6" t="s">
        <v>177</v>
      </c>
      <c r="D429" s="5">
        <v>2</v>
      </c>
    </row>
    <row r="430" spans="1:4" ht="15" customHeight="1">
      <c r="A430" s="4" t="s">
        <v>784</v>
      </c>
      <c r="B430" s="6" t="s">
        <v>785</v>
      </c>
      <c r="C430" s="6" t="s">
        <v>177</v>
      </c>
      <c r="D430" s="5">
        <v>3</v>
      </c>
    </row>
    <row r="431" spans="1:4" ht="15" customHeight="1">
      <c r="A431" s="4" t="s">
        <v>786</v>
      </c>
      <c r="B431" s="6" t="s">
        <v>787</v>
      </c>
      <c r="C431" s="6" t="s">
        <v>177</v>
      </c>
      <c r="D431" s="5">
        <v>4</v>
      </c>
    </row>
    <row r="432" spans="1:4" ht="15" customHeight="1">
      <c r="A432" s="7" t="s">
        <v>196</v>
      </c>
    </row>
    <row r="433" spans="1:4" ht="19.5" customHeight="1">
      <c r="A433" s="266" t="s">
        <v>161</v>
      </c>
      <c r="B433" s="262"/>
      <c r="C433" s="262"/>
      <c r="D433" s="262"/>
    </row>
    <row r="434" spans="1:4" ht="25.5" customHeight="1">
      <c r="A434" s="3" t="s">
        <v>173</v>
      </c>
      <c r="B434" s="3" t="s">
        <v>207</v>
      </c>
      <c r="C434" s="3" t="s">
        <v>175</v>
      </c>
      <c r="D434" s="3" t="s">
        <v>198</v>
      </c>
    </row>
    <row r="435" spans="1:4" ht="15" customHeight="1">
      <c r="A435" s="4" t="s">
        <v>788</v>
      </c>
      <c r="B435" s="6" t="s">
        <v>789</v>
      </c>
      <c r="C435" s="6" t="s">
        <v>177</v>
      </c>
      <c r="D435" s="5">
        <v>1</v>
      </c>
    </row>
    <row r="436" spans="1:4" ht="15" customHeight="1">
      <c r="A436" s="4" t="s">
        <v>790</v>
      </c>
      <c r="B436" s="6" t="s">
        <v>781</v>
      </c>
      <c r="C436" s="6" t="s">
        <v>177</v>
      </c>
      <c r="D436" s="5">
        <v>2</v>
      </c>
    </row>
    <row r="437" spans="1:4" ht="15" customHeight="1">
      <c r="A437" s="4" t="s">
        <v>791</v>
      </c>
      <c r="B437" s="6" t="s">
        <v>792</v>
      </c>
      <c r="C437" s="6" t="s">
        <v>177</v>
      </c>
      <c r="D437" s="5">
        <v>3</v>
      </c>
    </row>
    <row r="438" spans="1:4" ht="15" customHeight="1">
      <c r="A438" s="4" t="s">
        <v>793</v>
      </c>
      <c r="B438" s="6" t="s">
        <v>462</v>
      </c>
      <c r="C438" s="6" t="s">
        <v>177</v>
      </c>
      <c r="D438" s="5">
        <v>4</v>
      </c>
    </row>
    <row r="439" spans="1:4" ht="15" customHeight="1">
      <c r="A439" s="4" t="s">
        <v>794</v>
      </c>
      <c r="B439" s="6" t="s">
        <v>787</v>
      </c>
      <c r="C439" s="6" t="s">
        <v>177</v>
      </c>
      <c r="D439" s="5">
        <v>5</v>
      </c>
    </row>
    <row r="440" spans="1:4" ht="15" customHeight="1">
      <c r="A440" s="7" t="s">
        <v>196</v>
      </c>
    </row>
    <row r="441" spans="1:4" ht="19.5" customHeight="1">
      <c r="A441" s="266" t="s">
        <v>163</v>
      </c>
      <c r="B441" s="262"/>
      <c r="C441" s="262"/>
      <c r="D441" s="262"/>
    </row>
    <row r="442" spans="1:4" ht="25.5" customHeight="1">
      <c r="A442" s="3" t="s">
        <v>173</v>
      </c>
      <c r="B442" s="3" t="s">
        <v>207</v>
      </c>
      <c r="C442" s="3" t="s">
        <v>175</v>
      </c>
      <c r="D442" s="3" t="s">
        <v>198</v>
      </c>
    </row>
    <row r="443" spans="1:4" ht="15" customHeight="1">
      <c r="A443" s="4" t="s">
        <v>795</v>
      </c>
      <c r="B443" s="6" t="s">
        <v>796</v>
      </c>
      <c r="C443" s="6" t="s">
        <v>177</v>
      </c>
      <c r="D443" s="5">
        <v>1</v>
      </c>
    </row>
    <row r="444" spans="1:4" ht="15" customHeight="1">
      <c r="A444" s="4" t="s">
        <v>797</v>
      </c>
      <c r="B444" s="6" t="s">
        <v>798</v>
      </c>
      <c r="C444" s="6" t="s">
        <v>177</v>
      </c>
      <c r="D444" s="5">
        <v>2</v>
      </c>
    </row>
    <row r="445" spans="1:4" ht="15" customHeight="1">
      <c r="A445" s="4" t="s">
        <v>799</v>
      </c>
      <c r="B445" s="6" t="s">
        <v>800</v>
      </c>
      <c r="C445" s="6" t="s">
        <v>177</v>
      </c>
      <c r="D445" s="5">
        <v>3</v>
      </c>
    </row>
    <row r="446" spans="1:4" ht="15" customHeight="1">
      <c r="A446" s="4" t="s">
        <v>801</v>
      </c>
      <c r="B446" s="6" t="s">
        <v>802</v>
      </c>
      <c r="C446" s="6" t="s">
        <v>177</v>
      </c>
      <c r="D446" s="5">
        <v>4</v>
      </c>
    </row>
    <row r="447" spans="1:4" ht="15" customHeight="1">
      <c r="A447" s="4" t="s">
        <v>803</v>
      </c>
      <c r="B447" s="6" t="s">
        <v>804</v>
      </c>
      <c r="C447" s="6" t="s">
        <v>177</v>
      </c>
      <c r="D447" s="5">
        <v>5</v>
      </c>
    </row>
    <row r="448" spans="1:4" ht="15" customHeight="1">
      <c r="A448" s="4" t="s">
        <v>805</v>
      </c>
      <c r="B448" s="6" t="s">
        <v>806</v>
      </c>
      <c r="C448" s="6" t="s">
        <v>177</v>
      </c>
      <c r="D448" s="5">
        <v>6</v>
      </c>
    </row>
    <row r="449" spans="1:4" ht="15" customHeight="1">
      <c r="A449" s="4" t="s">
        <v>807</v>
      </c>
      <c r="B449" s="6" t="s">
        <v>231</v>
      </c>
      <c r="C449" s="6" t="s">
        <v>177</v>
      </c>
      <c r="D449" s="5">
        <v>7</v>
      </c>
    </row>
    <row r="450" spans="1:4" ht="15" customHeight="1">
      <c r="A450" s="7" t="s">
        <v>196</v>
      </c>
    </row>
    <row r="451" spans="1:4" ht="19.5" customHeight="1">
      <c r="A451" s="266" t="s">
        <v>164</v>
      </c>
      <c r="B451" s="262"/>
      <c r="C451" s="262"/>
      <c r="D451" s="262"/>
    </row>
    <row r="452" spans="1:4" ht="25.5" customHeight="1">
      <c r="A452" s="3" t="s">
        <v>173</v>
      </c>
      <c r="B452" s="3" t="s">
        <v>207</v>
      </c>
      <c r="C452" s="3" t="s">
        <v>175</v>
      </c>
      <c r="D452" s="3" t="s">
        <v>198</v>
      </c>
    </row>
    <row r="453" spans="1:4" ht="15" customHeight="1">
      <c r="A453" s="4" t="s">
        <v>808</v>
      </c>
      <c r="B453" s="6" t="s">
        <v>809</v>
      </c>
      <c r="C453" s="6" t="s">
        <v>177</v>
      </c>
      <c r="D453" s="5">
        <v>1</v>
      </c>
    </row>
    <row r="454" spans="1:4" ht="15" customHeight="1">
      <c r="A454" s="4" t="s">
        <v>810</v>
      </c>
      <c r="B454" s="6" t="s">
        <v>811</v>
      </c>
      <c r="C454" s="6" t="s">
        <v>177</v>
      </c>
      <c r="D454" s="5">
        <v>2</v>
      </c>
    </row>
    <row r="455" spans="1:4" ht="15" customHeight="1">
      <c r="A455" s="4" t="s">
        <v>812</v>
      </c>
      <c r="B455" s="6" t="s">
        <v>813</v>
      </c>
      <c r="C455" s="6" t="s">
        <v>177</v>
      </c>
      <c r="D455" s="5">
        <v>3</v>
      </c>
    </row>
    <row r="456" spans="1:4" ht="15" customHeight="1">
      <c r="A456" s="4" t="s">
        <v>814</v>
      </c>
      <c r="B456" s="6" t="s">
        <v>815</v>
      </c>
      <c r="C456" s="6" t="s">
        <v>177</v>
      </c>
      <c r="D456" s="5">
        <v>4</v>
      </c>
    </row>
    <row r="457" spans="1:4" ht="15" customHeight="1">
      <c r="A457" s="4" t="s">
        <v>816</v>
      </c>
      <c r="B457" s="6" t="s">
        <v>817</v>
      </c>
      <c r="C457" s="6" t="s">
        <v>177</v>
      </c>
      <c r="D457" s="5">
        <v>5</v>
      </c>
    </row>
    <row r="458" spans="1:4" ht="15" customHeight="1">
      <c r="A458" s="4" t="s">
        <v>818</v>
      </c>
      <c r="B458" s="6" t="s">
        <v>819</v>
      </c>
      <c r="C458" s="6" t="s">
        <v>177</v>
      </c>
      <c r="D458" s="5">
        <v>6</v>
      </c>
    </row>
    <row r="459" spans="1:4" ht="15" customHeight="1">
      <c r="A459" s="4" t="s">
        <v>820</v>
      </c>
      <c r="B459" s="6" t="s">
        <v>821</v>
      </c>
      <c r="C459" s="6" t="s">
        <v>177</v>
      </c>
      <c r="D459" s="5">
        <v>7</v>
      </c>
    </row>
    <row r="460" spans="1:4" ht="15" customHeight="1">
      <c r="A460" s="4" t="s">
        <v>822</v>
      </c>
      <c r="B460" s="6" t="s">
        <v>823</v>
      </c>
      <c r="C460" s="6" t="s">
        <v>177</v>
      </c>
      <c r="D460" s="5">
        <v>8</v>
      </c>
    </row>
    <row r="461" spans="1:4" ht="15" customHeight="1">
      <c r="A461" s="4" t="s">
        <v>824</v>
      </c>
      <c r="B461" s="6" t="s">
        <v>825</v>
      </c>
      <c r="C461" s="6" t="s">
        <v>177</v>
      </c>
      <c r="D461" s="5">
        <v>9</v>
      </c>
    </row>
    <row r="462" spans="1:4" ht="15" customHeight="1">
      <c r="A462" s="4" t="s">
        <v>826</v>
      </c>
      <c r="B462" s="6" t="s">
        <v>827</v>
      </c>
      <c r="C462" s="6" t="s">
        <v>177</v>
      </c>
      <c r="D462" s="5">
        <v>10</v>
      </c>
    </row>
    <row r="463" spans="1:4" ht="15" customHeight="1">
      <c r="A463" s="4" t="s">
        <v>828</v>
      </c>
      <c r="B463" s="6" t="s">
        <v>829</v>
      </c>
      <c r="C463" s="6" t="s">
        <v>177</v>
      </c>
      <c r="D463" s="5">
        <v>11</v>
      </c>
    </row>
    <row r="464" spans="1:4" ht="15" customHeight="1">
      <c r="A464" s="4" t="s">
        <v>830</v>
      </c>
      <c r="B464" s="6" t="s">
        <v>831</v>
      </c>
      <c r="C464" s="6" t="s">
        <v>177</v>
      </c>
      <c r="D464" s="5">
        <v>12</v>
      </c>
    </row>
    <row r="465" spans="1:4" ht="15" customHeight="1">
      <c r="A465" s="4" t="s">
        <v>832</v>
      </c>
      <c r="B465" s="6" t="s">
        <v>833</v>
      </c>
      <c r="C465" s="6" t="s">
        <v>177</v>
      </c>
      <c r="D465" s="5">
        <v>13</v>
      </c>
    </row>
    <row r="466" spans="1:4" ht="15" customHeight="1">
      <c r="A466" s="4" t="s">
        <v>834</v>
      </c>
      <c r="B466" s="6" t="s">
        <v>835</v>
      </c>
      <c r="C466" s="6" t="s">
        <v>177</v>
      </c>
      <c r="D466" s="5">
        <v>14</v>
      </c>
    </row>
    <row r="467" spans="1:4" ht="15" customHeight="1">
      <c r="A467" s="4" t="s">
        <v>836</v>
      </c>
      <c r="B467" s="6" t="s">
        <v>837</v>
      </c>
      <c r="C467" s="6" t="s">
        <v>177</v>
      </c>
      <c r="D467" s="5">
        <v>15</v>
      </c>
    </row>
    <row r="468" spans="1:4" ht="15" customHeight="1">
      <c r="A468" s="4" t="s">
        <v>838</v>
      </c>
      <c r="B468" s="6" t="s">
        <v>839</v>
      </c>
      <c r="C468" s="6" t="s">
        <v>177</v>
      </c>
      <c r="D468" s="5">
        <v>16</v>
      </c>
    </row>
    <row r="469" spans="1:4" ht="15" customHeight="1">
      <c r="A469" s="4" t="s">
        <v>840</v>
      </c>
      <c r="B469" s="6" t="s">
        <v>383</v>
      </c>
      <c r="C469" s="6" t="s">
        <v>177</v>
      </c>
      <c r="D469" s="5">
        <v>17</v>
      </c>
    </row>
    <row r="470" spans="1:4" ht="15" customHeight="1">
      <c r="A470" s="7" t="s">
        <v>196</v>
      </c>
    </row>
    <row r="471" spans="1:4" ht="19.5" customHeight="1">
      <c r="A471" s="266" t="s">
        <v>166</v>
      </c>
      <c r="B471" s="262"/>
      <c r="C471" s="262"/>
      <c r="D471" s="262"/>
    </row>
    <row r="472" spans="1:4" ht="25.5" customHeight="1">
      <c r="A472" s="3" t="s">
        <v>173</v>
      </c>
      <c r="B472" s="3" t="s">
        <v>207</v>
      </c>
      <c r="C472" s="3" t="s">
        <v>175</v>
      </c>
      <c r="D472" s="3" t="s">
        <v>198</v>
      </c>
    </row>
    <row r="473" spans="1:4" ht="15" customHeight="1">
      <c r="A473" s="4" t="s">
        <v>841</v>
      </c>
      <c r="B473" s="6" t="s">
        <v>842</v>
      </c>
      <c r="C473" s="6" t="s">
        <v>177</v>
      </c>
      <c r="D473" s="5">
        <v>1</v>
      </c>
    </row>
    <row r="474" spans="1:4" ht="15" customHeight="1">
      <c r="A474" s="4" t="s">
        <v>843</v>
      </c>
      <c r="B474" s="6" t="s">
        <v>844</v>
      </c>
      <c r="C474" s="6" t="s">
        <v>177</v>
      </c>
      <c r="D474" s="5">
        <v>2</v>
      </c>
    </row>
    <row r="475" spans="1:4" ht="15" customHeight="1">
      <c r="A475" s="4" t="s">
        <v>845</v>
      </c>
      <c r="B475" s="6" t="s">
        <v>846</v>
      </c>
      <c r="C475" s="6" t="s">
        <v>177</v>
      </c>
      <c r="D475" s="5">
        <v>3</v>
      </c>
    </row>
    <row r="476" spans="1:4" ht="15" customHeight="1">
      <c r="A476" s="4" t="s">
        <v>847</v>
      </c>
      <c r="B476" s="6" t="s">
        <v>848</v>
      </c>
      <c r="C476" s="6" t="s">
        <v>177</v>
      </c>
      <c r="D476" s="5">
        <v>4</v>
      </c>
    </row>
    <row r="477" spans="1:4" ht="15" customHeight="1">
      <c r="A477" s="4" t="s">
        <v>849</v>
      </c>
      <c r="B477" s="6" t="s">
        <v>850</v>
      </c>
      <c r="C477" s="6" t="s">
        <v>177</v>
      </c>
      <c r="D477" s="5">
        <v>5</v>
      </c>
    </row>
    <row r="478" spans="1:4" ht="15" customHeight="1">
      <c r="A478" s="4" t="s">
        <v>851</v>
      </c>
      <c r="B478" s="6" t="s">
        <v>852</v>
      </c>
      <c r="C478" s="6" t="s">
        <v>177</v>
      </c>
      <c r="D478" s="5">
        <v>6</v>
      </c>
    </row>
    <row r="479" spans="1:4" ht="15" customHeight="1">
      <c r="A479" s="4" t="s">
        <v>853</v>
      </c>
      <c r="B479" s="6" t="s">
        <v>854</v>
      </c>
      <c r="C479" s="6" t="s">
        <v>177</v>
      </c>
      <c r="D479" s="5">
        <v>7</v>
      </c>
    </row>
    <row r="480" spans="1:4" ht="15" customHeight="1">
      <c r="A480" s="4" t="s">
        <v>855</v>
      </c>
      <c r="B480" s="6" t="s">
        <v>856</v>
      </c>
      <c r="C480" s="6" t="s">
        <v>177</v>
      </c>
      <c r="D480" s="5">
        <v>8</v>
      </c>
    </row>
    <row r="481" spans="1:4" ht="15" customHeight="1">
      <c r="A481" s="4" t="s">
        <v>857</v>
      </c>
      <c r="B481" s="6" t="s">
        <v>858</v>
      </c>
      <c r="C481" s="6" t="s">
        <v>177</v>
      </c>
      <c r="D481" s="5">
        <v>9</v>
      </c>
    </row>
    <row r="482" spans="1:4" ht="15" customHeight="1">
      <c r="A482" s="4" t="s">
        <v>859</v>
      </c>
      <c r="B482" s="6" t="s">
        <v>860</v>
      </c>
      <c r="C482" s="6" t="s">
        <v>177</v>
      </c>
      <c r="D482" s="5">
        <v>10</v>
      </c>
    </row>
    <row r="483" spans="1:4" ht="15" customHeight="1">
      <c r="A483" s="4" t="s">
        <v>861</v>
      </c>
      <c r="B483" s="6" t="s">
        <v>862</v>
      </c>
      <c r="C483" s="6" t="s">
        <v>177</v>
      </c>
      <c r="D483" s="5">
        <v>11</v>
      </c>
    </row>
    <row r="484" spans="1:4" ht="15" customHeight="1">
      <c r="A484" s="4" t="s">
        <v>863</v>
      </c>
      <c r="B484" s="6" t="s">
        <v>8</v>
      </c>
      <c r="C484" s="6" t="s">
        <v>177</v>
      </c>
      <c r="D484" s="5">
        <v>12</v>
      </c>
    </row>
    <row r="485" spans="1:4" ht="15" customHeight="1">
      <c r="A485" s="4" t="s">
        <v>864</v>
      </c>
      <c r="B485" s="6" t="s">
        <v>865</v>
      </c>
      <c r="C485" s="6" t="s">
        <v>177</v>
      </c>
      <c r="D485" s="5">
        <v>13</v>
      </c>
    </row>
    <row r="486" spans="1:4" ht="15" customHeight="1">
      <c r="A486" s="4" t="s">
        <v>866</v>
      </c>
      <c r="B486" s="6" t="s">
        <v>458</v>
      </c>
      <c r="C486" s="6" t="s">
        <v>177</v>
      </c>
      <c r="D486" s="5">
        <v>14</v>
      </c>
    </row>
    <row r="487" spans="1:4" ht="15" customHeight="1">
      <c r="A487" s="4" t="s">
        <v>867</v>
      </c>
      <c r="B487" s="6" t="s">
        <v>868</v>
      </c>
      <c r="C487" s="6" t="s">
        <v>177</v>
      </c>
      <c r="D487" s="5">
        <v>15</v>
      </c>
    </row>
    <row r="488" spans="1:4" ht="15" customHeight="1">
      <c r="A488" s="4" t="s">
        <v>869</v>
      </c>
      <c r="B488" s="6" t="s">
        <v>385</v>
      </c>
      <c r="C488" s="6" t="s">
        <v>177</v>
      </c>
      <c r="D488" s="5">
        <v>16</v>
      </c>
    </row>
    <row r="489" spans="1:4" ht="15" customHeight="1">
      <c r="A489" s="4" t="s">
        <v>870</v>
      </c>
      <c r="B489" s="6" t="s">
        <v>387</v>
      </c>
      <c r="C489" s="6" t="s">
        <v>177</v>
      </c>
      <c r="D489" s="5">
        <v>17</v>
      </c>
    </row>
    <row r="490" spans="1:4" ht="15" customHeight="1">
      <c r="A490" s="4" t="s">
        <v>871</v>
      </c>
      <c r="B490" s="6" t="s">
        <v>872</v>
      </c>
      <c r="C490" s="6" t="s">
        <v>177</v>
      </c>
      <c r="D490" s="5">
        <v>18</v>
      </c>
    </row>
    <row r="491" spans="1:4" ht="15" customHeight="1">
      <c r="A491" s="4" t="s">
        <v>873</v>
      </c>
      <c r="B491" s="6" t="s">
        <v>383</v>
      </c>
      <c r="C491" s="6" t="s">
        <v>177</v>
      </c>
      <c r="D491" s="5">
        <v>19</v>
      </c>
    </row>
    <row r="492" spans="1:4" ht="15" customHeight="1">
      <c r="A492" s="7" t="s">
        <v>196</v>
      </c>
    </row>
    <row r="493" spans="1:4" ht="19.5" customHeight="1">
      <c r="A493" s="266" t="s">
        <v>167</v>
      </c>
      <c r="B493" s="262"/>
      <c r="C493" s="262"/>
      <c r="D493" s="262"/>
    </row>
    <row r="494" spans="1:4" ht="25.5" customHeight="1">
      <c r="A494" s="3" t="s">
        <v>173</v>
      </c>
      <c r="B494" s="3" t="s">
        <v>207</v>
      </c>
      <c r="C494" s="3" t="s">
        <v>175</v>
      </c>
      <c r="D494" s="3" t="s">
        <v>198</v>
      </c>
    </row>
    <row r="495" spans="1:4" ht="15" customHeight="1">
      <c r="A495" s="4" t="s">
        <v>874</v>
      </c>
      <c r="B495" s="6" t="s">
        <v>875</v>
      </c>
      <c r="C495" s="6" t="s">
        <v>177</v>
      </c>
      <c r="D495" s="5">
        <v>1</v>
      </c>
    </row>
    <row r="496" spans="1:4" ht="15" customHeight="1">
      <c r="A496" s="4" t="s">
        <v>876</v>
      </c>
      <c r="B496" s="6" t="s">
        <v>877</v>
      </c>
      <c r="C496" s="6" t="s">
        <v>177</v>
      </c>
      <c r="D496" s="5">
        <v>2</v>
      </c>
    </row>
    <row r="497" spans="1:4" ht="15" customHeight="1">
      <c r="A497" s="4" t="s">
        <v>878</v>
      </c>
      <c r="B497" s="6" t="s">
        <v>879</v>
      </c>
      <c r="C497" s="6" t="s">
        <v>177</v>
      </c>
      <c r="D497" s="5">
        <v>3</v>
      </c>
    </row>
    <row r="498" spans="1:4" ht="15" customHeight="1">
      <c r="A498" s="4" t="s">
        <v>880</v>
      </c>
      <c r="B498" s="6" t="s">
        <v>881</v>
      </c>
      <c r="C498" s="6" t="s">
        <v>177</v>
      </c>
      <c r="D498" s="5">
        <v>4</v>
      </c>
    </row>
    <row r="499" spans="1:4" ht="15" customHeight="1">
      <c r="A499" s="4" t="s">
        <v>882</v>
      </c>
      <c r="B499" s="6" t="s">
        <v>883</v>
      </c>
      <c r="C499" s="6" t="s">
        <v>177</v>
      </c>
      <c r="D499" s="5">
        <v>5</v>
      </c>
    </row>
    <row r="500" spans="1:4" ht="15" customHeight="1">
      <c r="A500" s="4" t="s">
        <v>884</v>
      </c>
      <c r="B500" s="6" t="s">
        <v>885</v>
      </c>
      <c r="C500" s="6" t="s">
        <v>177</v>
      </c>
      <c r="D500" s="5">
        <v>6</v>
      </c>
    </row>
    <row r="501" spans="1:4" ht="15" customHeight="1">
      <c r="A501" s="4" t="s">
        <v>886</v>
      </c>
      <c r="B501" s="6" t="s">
        <v>887</v>
      </c>
      <c r="C501" s="6" t="s">
        <v>177</v>
      </c>
      <c r="D501" s="5">
        <v>7</v>
      </c>
    </row>
    <row r="502" spans="1:4" ht="15" customHeight="1">
      <c r="A502" s="4" t="s">
        <v>888</v>
      </c>
      <c r="B502" s="6" t="s">
        <v>889</v>
      </c>
      <c r="C502" s="6" t="s">
        <v>177</v>
      </c>
      <c r="D502" s="5">
        <v>8</v>
      </c>
    </row>
    <row r="503" spans="1:4" ht="15" customHeight="1">
      <c r="A503" s="4" t="s">
        <v>890</v>
      </c>
      <c r="B503" s="6" t="s">
        <v>891</v>
      </c>
      <c r="C503" s="6" t="s">
        <v>177</v>
      </c>
      <c r="D503" s="5">
        <v>9</v>
      </c>
    </row>
    <row r="504" spans="1:4" ht="15" customHeight="1">
      <c r="A504" s="4" t="s">
        <v>892</v>
      </c>
      <c r="B504" s="6" t="s">
        <v>893</v>
      </c>
      <c r="C504" s="6" t="s">
        <v>177</v>
      </c>
      <c r="D504" s="5">
        <v>10</v>
      </c>
    </row>
    <row r="505" spans="1:4" ht="15" customHeight="1">
      <c r="A505" s="4" t="s">
        <v>894</v>
      </c>
      <c r="B505" s="6" t="s">
        <v>895</v>
      </c>
      <c r="C505" s="6" t="s">
        <v>177</v>
      </c>
      <c r="D505" s="5">
        <v>11</v>
      </c>
    </row>
    <row r="506" spans="1:4" ht="15" customHeight="1">
      <c r="A506" s="4" t="s">
        <v>896</v>
      </c>
      <c r="B506" s="6" t="s">
        <v>897</v>
      </c>
      <c r="C506" s="6" t="s">
        <v>177</v>
      </c>
      <c r="D506" s="5">
        <v>12</v>
      </c>
    </row>
    <row r="507" spans="1:4" ht="15" customHeight="1">
      <c r="A507" s="4" t="s">
        <v>898</v>
      </c>
      <c r="B507" s="6" t="s">
        <v>899</v>
      </c>
      <c r="C507" s="6" t="s">
        <v>177</v>
      </c>
      <c r="D507" s="5">
        <v>13</v>
      </c>
    </row>
    <row r="508" spans="1:4" ht="15" customHeight="1">
      <c r="A508" s="4" t="s">
        <v>900</v>
      </c>
      <c r="B508" s="6" t="s">
        <v>901</v>
      </c>
      <c r="C508" s="6" t="s">
        <v>177</v>
      </c>
      <c r="D508" s="5">
        <v>14</v>
      </c>
    </row>
    <row r="509" spans="1:4" ht="15" customHeight="1">
      <c r="A509" s="4" t="s">
        <v>902</v>
      </c>
      <c r="B509" s="6" t="s">
        <v>903</v>
      </c>
      <c r="C509" s="6" t="s">
        <v>177</v>
      </c>
      <c r="D509" s="5">
        <v>15</v>
      </c>
    </row>
    <row r="510" spans="1:4" ht="15" customHeight="1">
      <c r="A510" s="4" t="s">
        <v>904</v>
      </c>
      <c r="B510" s="6" t="s">
        <v>905</v>
      </c>
      <c r="C510" s="6" t="s">
        <v>177</v>
      </c>
      <c r="D510" s="5">
        <v>16</v>
      </c>
    </row>
    <row r="511" spans="1:4" ht="15" customHeight="1">
      <c r="A511" s="4" t="s">
        <v>906</v>
      </c>
      <c r="B511" s="6" t="s">
        <v>907</v>
      </c>
      <c r="C511" s="6" t="s">
        <v>177</v>
      </c>
      <c r="D511" s="5">
        <v>17</v>
      </c>
    </row>
    <row r="512" spans="1:4" ht="15" customHeight="1">
      <c r="A512" s="4" t="s">
        <v>908</v>
      </c>
      <c r="B512" s="6" t="s">
        <v>909</v>
      </c>
      <c r="C512" s="6" t="s">
        <v>177</v>
      </c>
      <c r="D512" s="5">
        <v>18</v>
      </c>
    </row>
    <row r="513" spans="1:4" ht="15" customHeight="1">
      <c r="A513" s="4" t="s">
        <v>910</v>
      </c>
      <c r="B513" s="6" t="s">
        <v>911</v>
      </c>
      <c r="C513" s="6" t="s">
        <v>177</v>
      </c>
      <c r="D513" s="5">
        <v>19</v>
      </c>
    </row>
    <row r="514" spans="1:4" ht="15" customHeight="1">
      <c r="A514" s="4" t="s">
        <v>912</v>
      </c>
      <c r="B514" s="6" t="s">
        <v>913</v>
      </c>
      <c r="C514" s="6" t="s">
        <v>177</v>
      </c>
      <c r="D514" s="5">
        <v>20</v>
      </c>
    </row>
    <row r="515" spans="1:4" ht="15" customHeight="1">
      <c r="A515" s="4" t="s">
        <v>914</v>
      </c>
      <c r="B515" s="6" t="s">
        <v>915</v>
      </c>
      <c r="C515" s="6" t="s">
        <v>177</v>
      </c>
      <c r="D515" s="5">
        <v>21</v>
      </c>
    </row>
    <row r="516" spans="1:4" ht="15" customHeight="1">
      <c r="A516" s="4" t="s">
        <v>916</v>
      </c>
      <c r="B516" s="6" t="s">
        <v>917</v>
      </c>
      <c r="C516" s="6" t="s">
        <v>177</v>
      </c>
      <c r="D516" s="5">
        <v>22</v>
      </c>
    </row>
    <row r="517" spans="1:4" ht="15" customHeight="1">
      <c r="A517" s="4" t="s">
        <v>918</v>
      </c>
      <c r="B517" s="6" t="s">
        <v>919</v>
      </c>
      <c r="C517" s="6" t="s">
        <v>177</v>
      </c>
      <c r="D517" s="5">
        <v>23</v>
      </c>
    </row>
    <row r="518" spans="1:4" ht="15" customHeight="1">
      <c r="A518" s="4" t="s">
        <v>920</v>
      </c>
      <c r="B518" s="6" t="s">
        <v>921</v>
      </c>
      <c r="C518" s="6" t="s">
        <v>177</v>
      </c>
      <c r="D518" s="5">
        <v>24</v>
      </c>
    </row>
    <row r="519" spans="1:4" ht="15" customHeight="1">
      <c r="A519" s="4" t="s">
        <v>922</v>
      </c>
      <c r="B519" s="6" t="s">
        <v>383</v>
      </c>
      <c r="C519" s="6" t="s">
        <v>177</v>
      </c>
      <c r="D519" s="5">
        <v>25</v>
      </c>
    </row>
    <row r="520" spans="1:4" ht="15" customHeight="1">
      <c r="A520" s="7" t="s">
        <v>196</v>
      </c>
    </row>
    <row r="521" spans="1:4" ht="19.5" customHeight="1">
      <c r="A521" s="266" t="s">
        <v>169</v>
      </c>
      <c r="B521" s="262"/>
      <c r="C521" s="262"/>
      <c r="D521" s="262"/>
    </row>
    <row r="522" spans="1:4" ht="25.5" customHeight="1">
      <c r="A522" s="3" t="s">
        <v>173</v>
      </c>
      <c r="B522" s="3" t="s">
        <v>207</v>
      </c>
      <c r="C522" s="3" t="s">
        <v>175</v>
      </c>
      <c r="D522" s="3" t="s">
        <v>198</v>
      </c>
    </row>
    <row r="523" spans="1:4" ht="15" customHeight="1">
      <c r="A523" s="4" t="s">
        <v>923</v>
      </c>
      <c r="B523" s="6" t="s">
        <v>924</v>
      </c>
      <c r="C523" s="6" t="s">
        <v>177</v>
      </c>
      <c r="D523" s="5">
        <v>1</v>
      </c>
    </row>
    <row r="524" spans="1:4" ht="15" customHeight="1">
      <c r="A524" s="4" t="s">
        <v>925</v>
      </c>
      <c r="B524" s="6" t="s">
        <v>211</v>
      </c>
      <c r="C524" s="6" t="s">
        <v>177</v>
      </c>
      <c r="D524" s="5">
        <v>2</v>
      </c>
    </row>
    <row r="525" spans="1:4" ht="15" customHeight="1">
      <c r="A525" s="4" t="s">
        <v>926</v>
      </c>
      <c r="B525" s="6" t="s">
        <v>215</v>
      </c>
      <c r="C525" s="6" t="s">
        <v>177</v>
      </c>
      <c r="D525" s="5">
        <v>3</v>
      </c>
    </row>
    <row r="526" spans="1:4" ht="15" customHeight="1">
      <c r="A526" s="4" t="s">
        <v>927</v>
      </c>
      <c r="B526" s="6" t="s">
        <v>928</v>
      </c>
      <c r="C526" s="6" t="s">
        <v>177</v>
      </c>
      <c r="D526" s="5">
        <v>4</v>
      </c>
    </row>
    <row r="527" spans="1:4" ht="15" customHeight="1">
      <c r="A527" s="4" t="s">
        <v>929</v>
      </c>
      <c r="B527" s="6" t="s">
        <v>930</v>
      </c>
      <c r="C527" s="6" t="s">
        <v>177</v>
      </c>
      <c r="D527" s="5">
        <v>5</v>
      </c>
    </row>
    <row r="528" spans="1:4" ht="15" customHeight="1">
      <c r="A528" s="4" t="s">
        <v>931</v>
      </c>
      <c r="B528" s="6" t="s">
        <v>932</v>
      </c>
      <c r="C528" s="6" t="s">
        <v>177</v>
      </c>
      <c r="D528" s="5">
        <v>6</v>
      </c>
    </row>
    <row r="529" spans="1:12" ht="15" customHeight="1">
      <c r="A529" s="4" t="s">
        <v>933</v>
      </c>
      <c r="B529" s="6" t="s">
        <v>934</v>
      </c>
      <c r="C529" s="6" t="s">
        <v>177</v>
      </c>
      <c r="D529" s="5">
        <v>7</v>
      </c>
    </row>
    <row r="530" spans="1:12" ht="15" customHeight="1">
      <c r="A530" s="4" t="s">
        <v>935</v>
      </c>
      <c r="B530" s="6" t="s">
        <v>936</v>
      </c>
      <c r="C530" s="6" t="s">
        <v>177</v>
      </c>
      <c r="D530" s="5">
        <v>8</v>
      </c>
    </row>
    <row r="531" spans="1:12" ht="15" customHeight="1">
      <c r="A531" s="4" t="s">
        <v>937</v>
      </c>
      <c r="B531" s="6" t="s">
        <v>938</v>
      </c>
      <c r="C531" s="6" t="s">
        <v>177</v>
      </c>
      <c r="D531" s="5">
        <v>9</v>
      </c>
    </row>
    <row r="532" spans="1:12" ht="15" customHeight="1">
      <c r="A532" s="4" t="s">
        <v>939</v>
      </c>
      <c r="B532" s="6" t="s">
        <v>233</v>
      </c>
      <c r="C532" s="6" t="s">
        <v>177</v>
      </c>
      <c r="D532" s="5">
        <v>10</v>
      </c>
    </row>
    <row r="533" spans="1:12" ht="15" customHeight="1">
      <c r="A533" s="7" t="s">
        <v>196</v>
      </c>
    </row>
    <row r="534" spans="1:12" ht="19.5" customHeight="1">
      <c r="A534" s="266" t="s">
        <v>170</v>
      </c>
      <c r="B534" s="262"/>
      <c r="C534" s="262"/>
      <c r="D534" s="262"/>
      <c r="E534" s="262"/>
      <c r="F534" s="262"/>
      <c r="G534" s="262"/>
      <c r="H534" s="262"/>
      <c r="I534" s="262"/>
      <c r="J534" s="262"/>
      <c r="K534" s="262"/>
      <c r="L534" s="262"/>
    </row>
    <row r="535" spans="1:12" ht="25.5" customHeight="1">
      <c r="A535" s="3" t="s">
        <v>940</v>
      </c>
      <c r="B535" s="3" t="s">
        <v>941</v>
      </c>
      <c r="C535" s="3" t="s">
        <v>942</v>
      </c>
      <c r="D535" s="3" t="s">
        <v>943</v>
      </c>
      <c r="E535" s="3" t="s">
        <v>944</v>
      </c>
      <c r="F535" s="3" t="s">
        <v>945</v>
      </c>
      <c r="G535" s="3" t="s">
        <v>946</v>
      </c>
      <c r="H535" s="3" t="s">
        <v>947</v>
      </c>
      <c r="I535" s="3" t="s">
        <v>948</v>
      </c>
      <c r="J535" s="3" t="s">
        <v>949</v>
      </c>
      <c r="K535" s="3" t="s">
        <v>950</v>
      </c>
      <c r="L535" s="3" t="s">
        <v>175</v>
      </c>
    </row>
    <row r="536" spans="1:12" ht="15" customHeight="1">
      <c r="A536" s="4" t="s">
        <v>951</v>
      </c>
      <c r="B536" s="6" t="s">
        <v>952</v>
      </c>
      <c r="C536" s="6" t="s">
        <v>953</v>
      </c>
      <c r="D536" s="6" t="s">
        <v>954</v>
      </c>
      <c r="E536" s="6" t="s">
        <v>955</v>
      </c>
      <c r="F536" s="6" t="s">
        <v>954</v>
      </c>
      <c r="G536" s="6" t="s">
        <v>956</v>
      </c>
      <c r="H536" s="6" t="s">
        <v>957</v>
      </c>
      <c r="I536" s="6" t="s">
        <v>958</v>
      </c>
      <c r="J536" s="6" t="s">
        <v>957</v>
      </c>
      <c r="K536" s="6" t="s">
        <v>947</v>
      </c>
      <c r="L536" s="6" t="s">
        <v>177</v>
      </c>
    </row>
    <row r="537" spans="1:12" ht="15" customHeight="1">
      <c r="A537" s="4" t="s">
        <v>951</v>
      </c>
      <c r="B537" s="6" t="s">
        <v>952</v>
      </c>
      <c r="C537" s="6" t="s">
        <v>953</v>
      </c>
      <c r="D537" s="6" t="s">
        <v>954</v>
      </c>
      <c r="E537" s="6" t="s">
        <v>955</v>
      </c>
      <c r="F537" s="6" t="s">
        <v>954</v>
      </c>
      <c r="G537" s="6" t="s">
        <v>959</v>
      </c>
      <c r="H537" s="6" t="s">
        <v>960</v>
      </c>
      <c r="I537" s="6" t="s">
        <v>961</v>
      </c>
      <c r="J537" s="6" t="s">
        <v>960</v>
      </c>
      <c r="K537" s="6" t="s">
        <v>947</v>
      </c>
      <c r="L537" s="6" t="s">
        <v>177</v>
      </c>
    </row>
    <row r="538" spans="1:12" ht="15" customHeight="1">
      <c r="A538" s="4" t="s">
        <v>951</v>
      </c>
      <c r="B538" s="6" t="s">
        <v>952</v>
      </c>
      <c r="C538" s="6" t="s">
        <v>953</v>
      </c>
      <c r="D538" s="6" t="s">
        <v>954</v>
      </c>
      <c r="E538" s="6" t="s">
        <v>955</v>
      </c>
      <c r="F538" s="6" t="s">
        <v>954</v>
      </c>
      <c r="G538" s="6" t="s">
        <v>962</v>
      </c>
      <c r="H538" s="6" t="s">
        <v>963</v>
      </c>
      <c r="I538" s="6" t="s">
        <v>964</v>
      </c>
      <c r="J538" s="6" t="s">
        <v>963</v>
      </c>
      <c r="K538" s="6" t="s">
        <v>947</v>
      </c>
      <c r="L538" s="6" t="s">
        <v>177</v>
      </c>
    </row>
    <row r="539" spans="1:12" ht="15" customHeight="1">
      <c r="A539" s="4" t="s">
        <v>951</v>
      </c>
      <c r="B539" s="6" t="s">
        <v>952</v>
      </c>
      <c r="C539" s="6" t="s">
        <v>953</v>
      </c>
      <c r="D539" s="6" t="s">
        <v>954</v>
      </c>
      <c r="E539" s="6" t="s">
        <v>955</v>
      </c>
      <c r="F539" s="6" t="s">
        <v>954</v>
      </c>
      <c r="G539" s="6" t="s">
        <v>965</v>
      </c>
      <c r="H539" s="6" t="s">
        <v>966</v>
      </c>
      <c r="I539" s="6" t="s">
        <v>967</v>
      </c>
      <c r="J539" s="6" t="s">
        <v>966</v>
      </c>
      <c r="K539" s="6" t="s">
        <v>947</v>
      </c>
      <c r="L539" s="6" t="s">
        <v>177</v>
      </c>
    </row>
    <row r="540" spans="1:12" ht="19.5" customHeight="1">
      <c r="A540" s="331" t="s">
        <v>951</v>
      </c>
      <c r="B540" s="260"/>
      <c r="C540" s="260"/>
      <c r="D540" s="258"/>
      <c r="E540" s="6" t="s">
        <v>955</v>
      </c>
      <c r="F540" s="6" t="s">
        <v>954</v>
      </c>
      <c r="G540" s="6" t="s">
        <v>968</v>
      </c>
      <c r="H540" s="6" t="s">
        <v>969</v>
      </c>
      <c r="I540" s="6" t="s">
        <v>970</v>
      </c>
      <c r="J540" s="6" t="s">
        <v>969</v>
      </c>
      <c r="K540" s="6" t="s">
        <v>947</v>
      </c>
      <c r="L540" s="6" t="s">
        <v>177</v>
      </c>
    </row>
    <row r="541" spans="1:12" ht="25.5" customHeight="1">
      <c r="A541" s="4" t="s">
        <v>951</v>
      </c>
      <c r="B541" s="6" t="s">
        <v>952</v>
      </c>
      <c r="C541" s="6" t="s">
        <v>953</v>
      </c>
      <c r="D541" s="6" t="s">
        <v>954</v>
      </c>
      <c r="E541" s="6" t="s">
        <v>955</v>
      </c>
      <c r="F541" s="6" t="s">
        <v>954</v>
      </c>
      <c r="G541" s="6" t="s">
        <v>971</v>
      </c>
      <c r="H541" s="6" t="s">
        <v>972</v>
      </c>
      <c r="I541" s="6" t="s">
        <v>973</v>
      </c>
      <c r="J541" s="6" t="s">
        <v>972</v>
      </c>
      <c r="K541" s="6" t="s">
        <v>947</v>
      </c>
      <c r="L541" s="6" t="s">
        <v>177</v>
      </c>
    </row>
    <row r="542" spans="1:12" ht="15" customHeight="1">
      <c r="A542" s="4" t="s">
        <v>951</v>
      </c>
      <c r="B542" s="6" t="s">
        <v>952</v>
      </c>
      <c r="C542" s="6" t="s">
        <v>953</v>
      </c>
      <c r="D542" s="6" t="s">
        <v>954</v>
      </c>
      <c r="E542" s="6" t="s">
        <v>955</v>
      </c>
      <c r="F542" s="6" t="s">
        <v>954</v>
      </c>
      <c r="G542" s="6" t="s">
        <v>974</v>
      </c>
      <c r="H542" s="6" t="s">
        <v>975</v>
      </c>
      <c r="I542" s="6" t="s">
        <v>976</v>
      </c>
      <c r="J542" s="6" t="s">
        <v>975</v>
      </c>
      <c r="K542" s="6" t="s">
        <v>947</v>
      </c>
      <c r="L542" s="6" t="s">
        <v>177</v>
      </c>
    </row>
    <row r="543" spans="1:12" ht="15" customHeight="1">
      <c r="A543" s="4" t="s">
        <v>951</v>
      </c>
      <c r="B543" s="6" t="s">
        <v>952</v>
      </c>
      <c r="C543" s="6" t="s">
        <v>953</v>
      </c>
      <c r="D543" s="6" t="s">
        <v>954</v>
      </c>
      <c r="E543" s="6" t="s">
        <v>955</v>
      </c>
      <c r="F543" s="6" t="s">
        <v>954</v>
      </c>
      <c r="G543" s="6" t="s">
        <v>977</v>
      </c>
      <c r="H543" s="6" t="s">
        <v>978</v>
      </c>
      <c r="I543" s="6" t="s">
        <v>979</v>
      </c>
      <c r="J543" s="6" t="s">
        <v>978</v>
      </c>
      <c r="K543" s="6" t="s">
        <v>947</v>
      </c>
      <c r="L543" s="6" t="s">
        <v>177</v>
      </c>
    </row>
    <row r="544" spans="1:12" ht="15" customHeight="1">
      <c r="A544" s="4" t="s">
        <v>951</v>
      </c>
      <c r="B544" s="6" t="s">
        <v>952</v>
      </c>
      <c r="C544" s="6" t="s">
        <v>953</v>
      </c>
      <c r="D544" s="6" t="s">
        <v>954</v>
      </c>
      <c r="E544" s="6" t="s">
        <v>955</v>
      </c>
      <c r="F544" s="6" t="s">
        <v>954</v>
      </c>
      <c r="G544" s="6" t="s">
        <v>980</v>
      </c>
      <c r="H544" s="6" t="s">
        <v>981</v>
      </c>
      <c r="I544" s="6" t="s">
        <v>982</v>
      </c>
      <c r="J544" s="6" t="s">
        <v>981</v>
      </c>
      <c r="K544" s="6" t="s">
        <v>947</v>
      </c>
      <c r="L544" s="6" t="s">
        <v>177</v>
      </c>
    </row>
    <row r="545" spans="1:12" ht="15" customHeight="1">
      <c r="A545" s="4" t="s">
        <v>951</v>
      </c>
      <c r="B545" s="6" t="s">
        <v>952</v>
      </c>
      <c r="C545" s="6" t="s">
        <v>983</v>
      </c>
      <c r="D545" s="6" t="s">
        <v>984</v>
      </c>
      <c r="E545" s="6" t="s">
        <v>985</v>
      </c>
      <c r="F545" s="6" t="s">
        <v>984</v>
      </c>
      <c r="G545" s="6" t="s">
        <v>986</v>
      </c>
      <c r="H545" s="6" t="s">
        <v>987</v>
      </c>
      <c r="I545" s="6" t="s">
        <v>988</v>
      </c>
      <c r="J545" s="6" t="s">
        <v>987</v>
      </c>
      <c r="K545" s="6" t="s">
        <v>947</v>
      </c>
      <c r="L545" s="6" t="s">
        <v>177</v>
      </c>
    </row>
    <row r="546" spans="1:12" ht="15" customHeight="1">
      <c r="A546" s="4" t="s">
        <v>951</v>
      </c>
      <c r="B546" s="6" t="s">
        <v>952</v>
      </c>
      <c r="C546" s="6" t="s">
        <v>983</v>
      </c>
      <c r="D546" s="6" t="s">
        <v>984</v>
      </c>
      <c r="E546" s="6" t="s">
        <v>985</v>
      </c>
      <c r="F546" s="6" t="s">
        <v>984</v>
      </c>
      <c r="G546" s="6" t="s">
        <v>989</v>
      </c>
      <c r="H546" s="6" t="s">
        <v>990</v>
      </c>
      <c r="I546" s="6" t="s">
        <v>991</v>
      </c>
      <c r="J546" s="6" t="s">
        <v>990</v>
      </c>
      <c r="K546" s="6" t="s">
        <v>947</v>
      </c>
      <c r="L546" s="6" t="s">
        <v>177</v>
      </c>
    </row>
    <row r="547" spans="1:12" ht="15" customHeight="1">
      <c r="A547" s="4" t="s">
        <v>951</v>
      </c>
      <c r="B547" s="6" t="s">
        <v>952</v>
      </c>
      <c r="C547" s="6" t="s">
        <v>983</v>
      </c>
      <c r="D547" s="6" t="s">
        <v>984</v>
      </c>
      <c r="E547" s="6" t="s">
        <v>985</v>
      </c>
      <c r="F547" s="6" t="s">
        <v>984</v>
      </c>
      <c r="G547" s="6" t="s">
        <v>992</v>
      </c>
      <c r="H547" s="6" t="s">
        <v>993</v>
      </c>
      <c r="I547" s="6" t="s">
        <v>994</v>
      </c>
      <c r="J547" s="6" t="s">
        <v>993</v>
      </c>
      <c r="K547" s="6" t="s">
        <v>947</v>
      </c>
      <c r="L547" s="6" t="s">
        <v>177</v>
      </c>
    </row>
    <row r="548" spans="1:12" ht="15" customHeight="1">
      <c r="A548" s="4" t="s">
        <v>951</v>
      </c>
      <c r="B548" s="6" t="s">
        <v>952</v>
      </c>
      <c r="C548" s="6" t="s">
        <v>983</v>
      </c>
      <c r="D548" s="6" t="s">
        <v>984</v>
      </c>
      <c r="E548" s="6" t="s">
        <v>985</v>
      </c>
      <c r="F548" s="6" t="s">
        <v>984</v>
      </c>
      <c r="G548" s="6" t="s">
        <v>995</v>
      </c>
      <c r="H548" s="6" t="s">
        <v>996</v>
      </c>
      <c r="I548" s="6" t="s">
        <v>997</v>
      </c>
      <c r="J548" s="6" t="s">
        <v>996</v>
      </c>
      <c r="K548" s="6" t="s">
        <v>947</v>
      </c>
      <c r="L548" s="6" t="s">
        <v>177</v>
      </c>
    </row>
    <row r="549" spans="1:12" ht="15" customHeight="1">
      <c r="A549" s="4" t="s">
        <v>951</v>
      </c>
      <c r="B549" s="6" t="s">
        <v>952</v>
      </c>
      <c r="C549" s="6" t="s">
        <v>983</v>
      </c>
      <c r="D549" s="6" t="s">
        <v>984</v>
      </c>
      <c r="E549" s="6" t="s">
        <v>985</v>
      </c>
      <c r="F549" s="6" t="s">
        <v>984</v>
      </c>
      <c r="G549" s="6" t="s">
        <v>998</v>
      </c>
      <c r="H549" s="6" t="s">
        <v>999</v>
      </c>
      <c r="I549" s="6" t="s">
        <v>1000</v>
      </c>
      <c r="J549" s="6" t="s">
        <v>999</v>
      </c>
      <c r="K549" s="6" t="s">
        <v>947</v>
      </c>
      <c r="L549" s="6" t="s">
        <v>177</v>
      </c>
    </row>
    <row r="550" spans="1:12" ht="15" customHeight="1">
      <c r="A550" s="4" t="s">
        <v>951</v>
      </c>
      <c r="B550" s="6" t="s">
        <v>952</v>
      </c>
      <c r="C550" s="6" t="s">
        <v>983</v>
      </c>
      <c r="D550" s="6" t="s">
        <v>984</v>
      </c>
      <c r="E550" s="6" t="s">
        <v>985</v>
      </c>
      <c r="F550" s="6" t="s">
        <v>984</v>
      </c>
      <c r="G550" s="6" t="s">
        <v>1001</v>
      </c>
      <c r="H550" s="6" t="s">
        <v>1002</v>
      </c>
      <c r="I550" s="6" t="s">
        <v>1003</v>
      </c>
      <c r="J550" s="6" t="s">
        <v>1002</v>
      </c>
      <c r="K550" s="6" t="s">
        <v>947</v>
      </c>
      <c r="L550" s="6" t="s">
        <v>177</v>
      </c>
    </row>
    <row r="551" spans="1:12" ht="15" customHeight="1">
      <c r="A551" s="4" t="s">
        <v>951</v>
      </c>
      <c r="B551" s="6" t="s">
        <v>952</v>
      </c>
      <c r="C551" s="6" t="s">
        <v>1004</v>
      </c>
      <c r="D551" s="6" t="s">
        <v>1005</v>
      </c>
      <c r="E551" s="6" t="s">
        <v>1006</v>
      </c>
      <c r="F551" s="6" t="s">
        <v>1007</v>
      </c>
      <c r="G551" s="6"/>
      <c r="H551" s="6"/>
      <c r="I551" s="6" t="s">
        <v>1008</v>
      </c>
      <c r="J551" s="6" t="s">
        <v>1007</v>
      </c>
      <c r="K551" s="6" t="s">
        <v>1009</v>
      </c>
      <c r="L551" s="6" t="s">
        <v>177</v>
      </c>
    </row>
    <row r="552" spans="1:12" ht="15" customHeight="1">
      <c r="A552" s="4" t="s">
        <v>951</v>
      </c>
      <c r="B552" s="6" t="s">
        <v>952</v>
      </c>
      <c r="C552" s="6" t="s">
        <v>1004</v>
      </c>
      <c r="D552" s="6" t="s">
        <v>1005</v>
      </c>
      <c r="E552" s="6" t="s">
        <v>1006</v>
      </c>
      <c r="F552" s="6" t="s">
        <v>1010</v>
      </c>
      <c r="G552" s="6"/>
      <c r="H552" s="6"/>
      <c r="I552" s="6" t="s">
        <v>1011</v>
      </c>
      <c r="J552" s="6" t="s">
        <v>1010</v>
      </c>
      <c r="K552" s="6" t="s">
        <v>1009</v>
      </c>
      <c r="L552" s="6" t="s">
        <v>177</v>
      </c>
    </row>
    <row r="553" spans="1:12" ht="15" customHeight="1">
      <c r="A553" s="4" t="s">
        <v>951</v>
      </c>
      <c r="B553" s="6" t="s">
        <v>952</v>
      </c>
      <c r="C553" s="6" t="s">
        <v>1004</v>
      </c>
      <c r="D553" s="6" t="s">
        <v>1005</v>
      </c>
      <c r="E553" s="6" t="s">
        <v>1006</v>
      </c>
      <c r="F553" s="6" t="s">
        <v>1012</v>
      </c>
      <c r="G553" s="6"/>
      <c r="H553" s="6"/>
      <c r="I553" s="6" t="s">
        <v>1013</v>
      </c>
      <c r="J553" s="6" t="s">
        <v>1012</v>
      </c>
      <c r="K553" s="6" t="s">
        <v>1009</v>
      </c>
      <c r="L553" s="6" t="s">
        <v>177</v>
      </c>
    </row>
    <row r="554" spans="1:12" ht="15" customHeight="1">
      <c r="A554" s="4" t="s">
        <v>951</v>
      </c>
      <c r="B554" s="6" t="s">
        <v>952</v>
      </c>
      <c r="C554" s="6" t="s">
        <v>1004</v>
      </c>
      <c r="D554" s="6" t="s">
        <v>1005</v>
      </c>
      <c r="E554" s="6" t="s">
        <v>1006</v>
      </c>
      <c r="F554" s="6" t="s">
        <v>1014</v>
      </c>
      <c r="G554" s="6"/>
      <c r="H554" s="6"/>
      <c r="I554" s="6" t="s">
        <v>1015</v>
      </c>
      <c r="J554" s="6" t="s">
        <v>1014</v>
      </c>
      <c r="K554" s="6" t="s">
        <v>1009</v>
      </c>
      <c r="L554" s="6" t="s">
        <v>177</v>
      </c>
    </row>
    <row r="555" spans="1:12" ht="15" customHeight="1">
      <c r="A555" s="4" t="s">
        <v>951</v>
      </c>
      <c r="B555" s="6" t="s">
        <v>952</v>
      </c>
      <c r="C555" s="6" t="s">
        <v>1016</v>
      </c>
      <c r="D555" s="6" t="s">
        <v>1017</v>
      </c>
      <c r="E555" s="6" t="s">
        <v>1018</v>
      </c>
      <c r="F555" s="6" t="s">
        <v>1019</v>
      </c>
      <c r="G555" s="6"/>
      <c r="H555" s="6"/>
      <c r="I555" s="6" t="s">
        <v>1020</v>
      </c>
      <c r="J555" s="6" t="s">
        <v>1019</v>
      </c>
      <c r="K555" s="6" t="s">
        <v>1009</v>
      </c>
      <c r="L555" s="6" t="s">
        <v>177</v>
      </c>
    </row>
    <row r="556" spans="1:12" ht="15" customHeight="1">
      <c r="A556" s="4" t="s">
        <v>951</v>
      </c>
      <c r="B556" s="6" t="s">
        <v>952</v>
      </c>
      <c r="C556" s="6" t="s">
        <v>1016</v>
      </c>
      <c r="D556" s="6" t="s">
        <v>1017</v>
      </c>
      <c r="E556" s="6" t="s">
        <v>1018</v>
      </c>
      <c r="F556" s="6" t="s">
        <v>1021</v>
      </c>
      <c r="G556" s="6"/>
      <c r="H556" s="6"/>
      <c r="I556" s="6" t="s">
        <v>1022</v>
      </c>
      <c r="J556" s="6" t="s">
        <v>1021</v>
      </c>
      <c r="K556" s="6" t="s">
        <v>1009</v>
      </c>
      <c r="L556" s="6" t="s">
        <v>177</v>
      </c>
    </row>
    <row r="557" spans="1:12" ht="15" customHeight="1">
      <c r="A557" s="4" t="s">
        <v>951</v>
      </c>
      <c r="B557" s="6" t="s">
        <v>952</v>
      </c>
      <c r="C557" s="6" t="s">
        <v>1016</v>
      </c>
      <c r="D557" s="6" t="s">
        <v>1017</v>
      </c>
      <c r="E557" s="6" t="s">
        <v>1018</v>
      </c>
      <c r="F557" s="6" t="s">
        <v>1023</v>
      </c>
      <c r="G557" s="6"/>
      <c r="H557" s="6"/>
      <c r="I557" s="6" t="s">
        <v>1024</v>
      </c>
      <c r="J557" s="6" t="s">
        <v>1023</v>
      </c>
      <c r="K557" s="6" t="s">
        <v>1009</v>
      </c>
      <c r="L557" s="6" t="s">
        <v>177</v>
      </c>
    </row>
    <row r="558" spans="1:12" ht="15" customHeight="1">
      <c r="A558" s="4" t="s">
        <v>951</v>
      </c>
      <c r="B558" s="6" t="s">
        <v>952</v>
      </c>
      <c r="C558" s="6" t="s">
        <v>1016</v>
      </c>
      <c r="D558" s="6" t="s">
        <v>1017</v>
      </c>
      <c r="E558" s="6" t="s">
        <v>1018</v>
      </c>
      <c r="F558" s="6" t="s">
        <v>1025</v>
      </c>
      <c r="G558" s="6"/>
      <c r="H558" s="6"/>
      <c r="I558" s="6" t="s">
        <v>1026</v>
      </c>
      <c r="J558" s="6" t="s">
        <v>1025</v>
      </c>
      <c r="K558" s="6" t="s">
        <v>1009</v>
      </c>
      <c r="L558" s="6" t="s">
        <v>177</v>
      </c>
    </row>
    <row r="559" spans="1:12" ht="15" customHeight="1">
      <c r="A559" s="4" t="s">
        <v>951</v>
      </c>
      <c r="B559" s="6" t="s">
        <v>952</v>
      </c>
      <c r="C559" s="6" t="s">
        <v>1027</v>
      </c>
      <c r="D559" s="6" t="s">
        <v>1028</v>
      </c>
      <c r="E559" s="6" t="s">
        <v>1029</v>
      </c>
      <c r="F559" s="6" t="s">
        <v>1030</v>
      </c>
      <c r="G559" s="6"/>
      <c r="H559" s="6"/>
      <c r="I559" s="6" t="s">
        <v>1031</v>
      </c>
      <c r="J559" s="6" t="s">
        <v>1030</v>
      </c>
      <c r="K559" s="6" t="s">
        <v>1009</v>
      </c>
      <c r="L559" s="6" t="s">
        <v>177</v>
      </c>
    </row>
    <row r="560" spans="1:12" ht="15" customHeight="1">
      <c r="A560" s="4" t="s">
        <v>951</v>
      </c>
      <c r="B560" s="6" t="s">
        <v>952</v>
      </c>
      <c r="C560" s="6" t="s">
        <v>1027</v>
      </c>
      <c r="D560" s="6" t="s">
        <v>1028</v>
      </c>
      <c r="E560" s="6" t="s">
        <v>1029</v>
      </c>
      <c r="F560" s="6" t="s">
        <v>1032</v>
      </c>
      <c r="G560" s="6"/>
      <c r="H560" s="6"/>
      <c r="I560" s="6" t="s">
        <v>1033</v>
      </c>
      <c r="J560" s="6" t="s">
        <v>1032</v>
      </c>
      <c r="K560" s="6" t="s">
        <v>1009</v>
      </c>
      <c r="L560" s="6" t="s">
        <v>177</v>
      </c>
    </row>
    <row r="561" spans="1:12" ht="15" customHeight="1">
      <c r="A561" s="4" t="s">
        <v>951</v>
      </c>
      <c r="B561" s="6" t="s">
        <v>952</v>
      </c>
      <c r="C561" s="6" t="s">
        <v>1027</v>
      </c>
      <c r="D561" s="6" t="s">
        <v>1028</v>
      </c>
      <c r="E561" s="6" t="s">
        <v>1029</v>
      </c>
      <c r="F561" s="6" t="s">
        <v>1034</v>
      </c>
      <c r="G561" s="6"/>
      <c r="H561" s="6"/>
      <c r="I561" s="6" t="s">
        <v>1035</v>
      </c>
      <c r="J561" s="6" t="s">
        <v>1034</v>
      </c>
      <c r="K561" s="6" t="s">
        <v>1009</v>
      </c>
      <c r="L561" s="6" t="s">
        <v>177</v>
      </c>
    </row>
    <row r="562" spans="1:12" ht="15" customHeight="1">
      <c r="A562" s="4" t="s">
        <v>951</v>
      </c>
      <c r="B562" s="6" t="s">
        <v>952</v>
      </c>
      <c r="C562" s="6" t="s">
        <v>1036</v>
      </c>
      <c r="D562" s="6" t="s">
        <v>1037</v>
      </c>
      <c r="E562" s="6" t="s">
        <v>1038</v>
      </c>
      <c r="F562" s="6" t="s">
        <v>1039</v>
      </c>
      <c r="G562" s="6"/>
      <c r="H562" s="6"/>
      <c r="I562" s="6" t="s">
        <v>1040</v>
      </c>
      <c r="J562" s="6" t="s">
        <v>1039</v>
      </c>
      <c r="K562" s="6" t="s">
        <v>1009</v>
      </c>
      <c r="L562" s="6" t="s">
        <v>177</v>
      </c>
    </row>
    <row r="563" spans="1:12" ht="15" customHeight="1">
      <c r="A563" s="4" t="s">
        <v>951</v>
      </c>
      <c r="B563" s="6" t="s">
        <v>952</v>
      </c>
      <c r="C563" s="6" t="s">
        <v>1036</v>
      </c>
      <c r="D563" s="6" t="s">
        <v>1037</v>
      </c>
      <c r="E563" s="6" t="s">
        <v>1038</v>
      </c>
      <c r="F563" s="6" t="s">
        <v>1041</v>
      </c>
      <c r="G563" s="6"/>
      <c r="H563" s="6"/>
      <c r="I563" s="6" t="s">
        <v>1042</v>
      </c>
      <c r="J563" s="6" t="s">
        <v>1041</v>
      </c>
      <c r="K563" s="6" t="s">
        <v>1009</v>
      </c>
      <c r="L563" s="6" t="s">
        <v>177</v>
      </c>
    </row>
    <row r="564" spans="1:12" ht="15" customHeight="1">
      <c r="A564" s="4" t="s">
        <v>951</v>
      </c>
      <c r="B564" s="6" t="s">
        <v>952</v>
      </c>
      <c r="C564" s="6" t="s">
        <v>1036</v>
      </c>
      <c r="D564" s="6" t="s">
        <v>1037</v>
      </c>
      <c r="E564" s="6" t="s">
        <v>1038</v>
      </c>
      <c r="F564" s="6" t="s">
        <v>1043</v>
      </c>
      <c r="G564" s="6"/>
      <c r="H564" s="6"/>
      <c r="I564" s="6" t="s">
        <v>1044</v>
      </c>
      <c r="J564" s="6" t="s">
        <v>1043</v>
      </c>
      <c r="K564" s="6" t="s">
        <v>1009</v>
      </c>
      <c r="L564" s="6" t="s">
        <v>177</v>
      </c>
    </row>
    <row r="565" spans="1:12" ht="15" customHeight="1">
      <c r="A565" s="4" t="s">
        <v>951</v>
      </c>
      <c r="B565" s="6" t="s">
        <v>952</v>
      </c>
      <c r="C565" s="6" t="s">
        <v>1036</v>
      </c>
      <c r="D565" s="6" t="s">
        <v>1037</v>
      </c>
      <c r="E565" s="6" t="s">
        <v>1038</v>
      </c>
      <c r="F565" s="6" t="s">
        <v>1045</v>
      </c>
      <c r="G565" s="6"/>
      <c r="H565" s="6"/>
      <c r="I565" s="6" t="s">
        <v>1046</v>
      </c>
      <c r="J565" s="6" t="s">
        <v>1045</v>
      </c>
      <c r="K565" s="6" t="s">
        <v>1009</v>
      </c>
      <c r="L565" s="6" t="s">
        <v>177</v>
      </c>
    </row>
    <row r="566" spans="1:12" ht="15" customHeight="1">
      <c r="A566" s="4" t="s">
        <v>951</v>
      </c>
      <c r="B566" s="6" t="s">
        <v>952</v>
      </c>
      <c r="C566" s="6" t="s">
        <v>1047</v>
      </c>
      <c r="D566" s="6" t="s">
        <v>1048</v>
      </c>
      <c r="E566" s="6" t="s">
        <v>1049</v>
      </c>
      <c r="F566" s="6" t="s">
        <v>1050</v>
      </c>
      <c r="G566" s="6"/>
      <c r="H566" s="6"/>
      <c r="I566" s="6" t="s">
        <v>1051</v>
      </c>
      <c r="J566" s="6" t="s">
        <v>1050</v>
      </c>
      <c r="K566" s="6" t="s">
        <v>1009</v>
      </c>
      <c r="L566" s="6" t="s">
        <v>177</v>
      </c>
    </row>
    <row r="567" spans="1:12" ht="15" customHeight="1">
      <c r="A567" s="4" t="s">
        <v>951</v>
      </c>
      <c r="B567" s="6" t="s">
        <v>952</v>
      </c>
      <c r="C567" s="6" t="s">
        <v>1047</v>
      </c>
      <c r="D567" s="6" t="s">
        <v>1048</v>
      </c>
      <c r="E567" s="6" t="s">
        <v>1049</v>
      </c>
      <c r="F567" s="6" t="s">
        <v>1052</v>
      </c>
      <c r="G567" s="6"/>
      <c r="H567" s="6"/>
      <c r="I567" s="6" t="s">
        <v>1053</v>
      </c>
      <c r="J567" s="6" t="s">
        <v>1052</v>
      </c>
      <c r="K567" s="6" t="s">
        <v>1009</v>
      </c>
      <c r="L567" s="6" t="s">
        <v>177</v>
      </c>
    </row>
    <row r="568" spans="1:12" ht="15" customHeight="1">
      <c r="A568" s="4" t="s">
        <v>951</v>
      </c>
      <c r="B568" s="6" t="s">
        <v>952</v>
      </c>
      <c r="C568" s="6" t="s">
        <v>1047</v>
      </c>
      <c r="D568" s="6" t="s">
        <v>1048</v>
      </c>
      <c r="E568" s="6" t="s">
        <v>1049</v>
      </c>
      <c r="F568" s="6" t="s">
        <v>1054</v>
      </c>
      <c r="G568" s="6"/>
      <c r="H568" s="6"/>
      <c r="I568" s="6" t="s">
        <v>1055</v>
      </c>
      <c r="J568" s="6" t="s">
        <v>1054</v>
      </c>
      <c r="K568" s="6" t="s">
        <v>1009</v>
      </c>
      <c r="L568" s="6" t="s">
        <v>177</v>
      </c>
    </row>
    <row r="569" spans="1:12" ht="15" customHeight="1">
      <c r="A569" s="4" t="s">
        <v>951</v>
      </c>
      <c r="B569" s="6" t="s">
        <v>952</v>
      </c>
      <c r="C569" s="6" t="s">
        <v>1056</v>
      </c>
      <c r="D569" s="6" t="s">
        <v>1057</v>
      </c>
      <c r="E569" s="6" t="s">
        <v>1058</v>
      </c>
      <c r="F569" s="6" t="s">
        <v>1059</v>
      </c>
      <c r="G569" s="6"/>
      <c r="H569" s="6"/>
      <c r="I569" s="6" t="s">
        <v>1060</v>
      </c>
      <c r="J569" s="6" t="s">
        <v>1059</v>
      </c>
      <c r="K569" s="6" t="s">
        <v>1009</v>
      </c>
      <c r="L569" s="6" t="s">
        <v>177</v>
      </c>
    </row>
    <row r="570" spans="1:12" ht="15" customHeight="1">
      <c r="A570" s="4" t="s">
        <v>951</v>
      </c>
      <c r="B570" s="6" t="s">
        <v>952</v>
      </c>
      <c r="C570" s="6" t="s">
        <v>1056</v>
      </c>
      <c r="D570" s="6" t="s">
        <v>1057</v>
      </c>
      <c r="E570" s="6" t="s">
        <v>1058</v>
      </c>
      <c r="F570" s="6" t="s">
        <v>1061</v>
      </c>
      <c r="G570" s="6"/>
      <c r="H570" s="6"/>
      <c r="I570" s="6" t="s">
        <v>1062</v>
      </c>
      <c r="J570" s="6" t="s">
        <v>1061</v>
      </c>
      <c r="K570" s="6" t="s">
        <v>1009</v>
      </c>
      <c r="L570" s="6" t="s">
        <v>177</v>
      </c>
    </row>
    <row r="571" spans="1:12" ht="15" customHeight="1">
      <c r="A571" s="4" t="s">
        <v>951</v>
      </c>
      <c r="B571" s="6" t="s">
        <v>952</v>
      </c>
      <c r="C571" s="6" t="s">
        <v>1056</v>
      </c>
      <c r="D571" s="6" t="s">
        <v>1057</v>
      </c>
      <c r="E571" s="6" t="s">
        <v>1058</v>
      </c>
      <c r="F571" s="6" t="s">
        <v>1063</v>
      </c>
      <c r="G571" s="6"/>
      <c r="H571" s="6"/>
      <c r="I571" s="6" t="s">
        <v>1064</v>
      </c>
      <c r="J571" s="6" t="s">
        <v>1063</v>
      </c>
      <c r="K571" s="6" t="s">
        <v>1009</v>
      </c>
      <c r="L571" s="6" t="s">
        <v>177</v>
      </c>
    </row>
    <row r="572" spans="1:12" ht="15" customHeight="1">
      <c r="A572" s="4" t="s">
        <v>951</v>
      </c>
      <c r="B572" s="6" t="s">
        <v>952</v>
      </c>
      <c r="C572" s="6" t="s">
        <v>1056</v>
      </c>
      <c r="D572" s="6" t="s">
        <v>1057</v>
      </c>
      <c r="E572" s="6" t="s">
        <v>1058</v>
      </c>
      <c r="F572" s="6" t="s">
        <v>1065</v>
      </c>
      <c r="G572" s="6"/>
      <c r="H572" s="6"/>
      <c r="I572" s="6" t="s">
        <v>1066</v>
      </c>
      <c r="J572" s="6" t="s">
        <v>1065</v>
      </c>
      <c r="K572" s="6" t="s">
        <v>1009</v>
      </c>
      <c r="L572" s="6" t="s">
        <v>177</v>
      </c>
    </row>
    <row r="573" spans="1:12" ht="15" customHeight="1">
      <c r="A573" s="4" t="s">
        <v>951</v>
      </c>
      <c r="B573" s="6" t="s">
        <v>952</v>
      </c>
      <c r="C573" s="6" t="s">
        <v>1067</v>
      </c>
      <c r="D573" s="6" t="s">
        <v>1068</v>
      </c>
      <c r="E573" s="6" t="s">
        <v>1069</v>
      </c>
      <c r="F573" s="6" t="s">
        <v>1070</v>
      </c>
      <c r="G573" s="6"/>
      <c r="H573" s="6"/>
      <c r="I573" s="6" t="s">
        <v>1071</v>
      </c>
      <c r="J573" s="6" t="s">
        <v>1070</v>
      </c>
      <c r="K573" s="6" t="s">
        <v>1009</v>
      </c>
      <c r="L573" s="6" t="s">
        <v>177</v>
      </c>
    </row>
    <row r="574" spans="1:12" ht="15" customHeight="1">
      <c r="A574" s="4" t="s">
        <v>951</v>
      </c>
      <c r="B574" s="6" t="s">
        <v>952</v>
      </c>
      <c r="C574" s="6" t="s">
        <v>1067</v>
      </c>
      <c r="D574" s="6" t="s">
        <v>1068</v>
      </c>
      <c r="E574" s="6" t="s">
        <v>1069</v>
      </c>
      <c r="F574" s="6" t="s">
        <v>1072</v>
      </c>
      <c r="G574" s="6"/>
      <c r="H574" s="6"/>
      <c r="I574" s="6" t="s">
        <v>1073</v>
      </c>
      <c r="J574" s="6" t="s">
        <v>1072</v>
      </c>
      <c r="K574" s="6" t="s">
        <v>1009</v>
      </c>
      <c r="L574" s="6" t="s">
        <v>177</v>
      </c>
    </row>
    <row r="575" spans="1:12" ht="15" customHeight="1">
      <c r="A575" s="4" t="s">
        <v>951</v>
      </c>
      <c r="B575" s="6" t="s">
        <v>952</v>
      </c>
      <c r="C575" s="6" t="s">
        <v>1067</v>
      </c>
      <c r="D575" s="6" t="s">
        <v>1068</v>
      </c>
      <c r="E575" s="6" t="s">
        <v>1069</v>
      </c>
      <c r="F575" s="6" t="s">
        <v>1074</v>
      </c>
      <c r="G575" s="6"/>
      <c r="H575" s="6"/>
      <c r="I575" s="6" t="s">
        <v>1075</v>
      </c>
      <c r="J575" s="6" t="s">
        <v>1074</v>
      </c>
      <c r="K575" s="6" t="s">
        <v>1009</v>
      </c>
      <c r="L575" s="6" t="s">
        <v>177</v>
      </c>
    </row>
    <row r="576" spans="1:12" ht="15" customHeight="1">
      <c r="A576" s="4" t="s">
        <v>951</v>
      </c>
      <c r="B576" s="6" t="s">
        <v>952</v>
      </c>
      <c r="C576" s="6" t="s">
        <v>1067</v>
      </c>
      <c r="D576" s="6" t="s">
        <v>1068</v>
      </c>
      <c r="E576" s="6" t="s">
        <v>1069</v>
      </c>
      <c r="F576" s="6" t="s">
        <v>2644</v>
      </c>
      <c r="G576" s="6"/>
      <c r="H576" s="6"/>
      <c r="I576" s="6" t="s">
        <v>1076</v>
      </c>
      <c r="J576" s="6" t="s">
        <v>2644</v>
      </c>
      <c r="K576" s="6" t="s">
        <v>2645</v>
      </c>
      <c r="L576" s="6" t="s">
        <v>177</v>
      </c>
    </row>
    <row r="577" spans="1:12" ht="15" customHeight="1">
      <c r="A577" s="4" t="s">
        <v>951</v>
      </c>
      <c r="B577" s="6" t="s">
        <v>952</v>
      </c>
      <c r="C577" s="6" t="s">
        <v>1077</v>
      </c>
      <c r="D577" s="6" t="s">
        <v>1078</v>
      </c>
      <c r="E577" s="6" t="s">
        <v>1079</v>
      </c>
      <c r="F577" s="6" t="s">
        <v>1080</v>
      </c>
      <c r="G577" s="6"/>
      <c r="H577" s="6"/>
      <c r="I577" s="6" t="s">
        <v>1081</v>
      </c>
      <c r="J577" s="6" t="s">
        <v>1080</v>
      </c>
      <c r="K577" s="6" t="s">
        <v>1009</v>
      </c>
      <c r="L577" s="6" t="s">
        <v>177</v>
      </c>
    </row>
    <row r="578" spans="1:12" ht="15" customHeight="1">
      <c r="A578" s="4" t="s">
        <v>951</v>
      </c>
      <c r="B578" s="6" t="s">
        <v>952</v>
      </c>
      <c r="C578" s="6" t="s">
        <v>1077</v>
      </c>
      <c r="D578" s="6" t="s">
        <v>1078</v>
      </c>
      <c r="E578" s="6" t="s">
        <v>1079</v>
      </c>
      <c r="F578" s="6" t="s">
        <v>1082</v>
      </c>
      <c r="G578" s="6"/>
      <c r="H578" s="6"/>
      <c r="I578" s="6" t="s">
        <v>1083</v>
      </c>
      <c r="J578" s="6" t="s">
        <v>1082</v>
      </c>
      <c r="K578" s="6" t="s">
        <v>1009</v>
      </c>
      <c r="L578" s="6" t="s">
        <v>177</v>
      </c>
    </row>
    <row r="579" spans="1:12" ht="15" customHeight="1">
      <c r="A579" s="4" t="s">
        <v>951</v>
      </c>
      <c r="B579" s="6" t="s">
        <v>952</v>
      </c>
      <c r="C579" s="6" t="s">
        <v>1077</v>
      </c>
      <c r="D579" s="6" t="s">
        <v>1078</v>
      </c>
      <c r="E579" s="6" t="s">
        <v>1079</v>
      </c>
      <c r="F579" s="6" t="s">
        <v>1084</v>
      </c>
      <c r="G579" s="6"/>
      <c r="H579" s="6"/>
      <c r="I579" s="6" t="s">
        <v>1085</v>
      </c>
      <c r="J579" s="6" t="s">
        <v>1084</v>
      </c>
      <c r="K579" s="6" t="s">
        <v>1009</v>
      </c>
      <c r="L579" s="6" t="s">
        <v>177</v>
      </c>
    </row>
    <row r="580" spans="1:12" ht="15" customHeight="1">
      <c r="A580" s="4" t="s">
        <v>951</v>
      </c>
      <c r="B580" s="6" t="s">
        <v>952</v>
      </c>
      <c r="C580" s="6" t="s">
        <v>1077</v>
      </c>
      <c r="D580" s="6" t="s">
        <v>1078</v>
      </c>
      <c r="E580" s="6" t="s">
        <v>1079</v>
      </c>
      <c r="F580" s="6" t="s">
        <v>1086</v>
      </c>
      <c r="G580" s="6"/>
      <c r="H580" s="6"/>
      <c r="I580" s="6" t="s">
        <v>1087</v>
      </c>
      <c r="J580" s="6" t="s">
        <v>1086</v>
      </c>
      <c r="K580" s="6" t="s">
        <v>1009</v>
      </c>
      <c r="L580" s="6" t="s">
        <v>177</v>
      </c>
    </row>
    <row r="581" spans="1:12" ht="15" customHeight="1">
      <c r="A581" s="4" t="s">
        <v>951</v>
      </c>
      <c r="B581" s="6" t="s">
        <v>952</v>
      </c>
      <c r="C581" s="6" t="s">
        <v>1088</v>
      </c>
      <c r="D581" s="6" t="s">
        <v>1089</v>
      </c>
      <c r="E581" s="6" t="s">
        <v>1090</v>
      </c>
      <c r="F581" s="6" t="s">
        <v>1091</v>
      </c>
      <c r="G581" s="6"/>
      <c r="H581" s="6"/>
      <c r="I581" s="6" t="s">
        <v>1092</v>
      </c>
      <c r="J581" s="6" t="s">
        <v>1091</v>
      </c>
      <c r="K581" s="6" t="s">
        <v>1009</v>
      </c>
      <c r="L581" s="6" t="s">
        <v>177</v>
      </c>
    </row>
    <row r="582" spans="1:12" ht="15" customHeight="1">
      <c r="A582" s="4" t="s">
        <v>951</v>
      </c>
      <c r="B582" s="6" t="s">
        <v>952</v>
      </c>
      <c r="C582" s="6" t="s">
        <v>1088</v>
      </c>
      <c r="D582" s="6" t="s">
        <v>1089</v>
      </c>
      <c r="E582" s="6" t="s">
        <v>1090</v>
      </c>
      <c r="F582" s="6" t="s">
        <v>1093</v>
      </c>
      <c r="G582" s="6"/>
      <c r="H582" s="6"/>
      <c r="I582" s="6" t="s">
        <v>1094</v>
      </c>
      <c r="J582" s="6" t="s">
        <v>1093</v>
      </c>
      <c r="K582" s="6" t="s">
        <v>1009</v>
      </c>
      <c r="L582" s="6" t="s">
        <v>177</v>
      </c>
    </row>
    <row r="583" spans="1:12" ht="15" customHeight="1">
      <c r="A583" s="4" t="s">
        <v>951</v>
      </c>
      <c r="B583" s="6" t="s">
        <v>952</v>
      </c>
      <c r="C583" s="6" t="s">
        <v>1088</v>
      </c>
      <c r="D583" s="6" t="s">
        <v>1089</v>
      </c>
      <c r="E583" s="6" t="s">
        <v>1090</v>
      </c>
      <c r="F583" s="6" t="s">
        <v>1095</v>
      </c>
      <c r="G583" s="6"/>
      <c r="H583" s="6"/>
      <c r="I583" s="6" t="s">
        <v>1096</v>
      </c>
      <c r="J583" s="6" t="s">
        <v>1095</v>
      </c>
      <c r="K583" s="6" t="s">
        <v>1009</v>
      </c>
      <c r="L583" s="6" t="s">
        <v>177</v>
      </c>
    </row>
    <row r="584" spans="1:12" ht="15" customHeight="1">
      <c r="A584" s="4" t="s">
        <v>951</v>
      </c>
      <c r="B584" s="6" t="s">
        <v>952</v>
      </c>
      <c r="C584" s="6" t="s">
        <v>1097</v>
      </c>
      <c r="D584" s="6" t="s">
        <v>1098</v>
      </c>
      <c r="E584" s="6" t="s">
        <v>1099</v>
      </c>
      <c r="F584" s="6" t="s">
        <v>1100</v>
      </c>
      <c r="G584" s="6"/>
      <c r="H584" s="6"/>
      <c r="I584" s="6" t="s">
        <v>1101</v>
      </c>
      <c r="J584" s="6" t="s">
        <v>1100</v>
      </c>
      <c r="K584" s="6" t="s">
        <v>1009</v>
      </c>
      <c r="L584" s="6" t="s">
        <v>177</v>
      </c>
    </row>
    <row r="585" spans="1:12" ht="15" customHeight="1">
      <c r="A585" s="4" t="s">
        <v>951</v>
      </c>
      <c r="B585" s="6" t="s">
        <v>952</v>
      </c>
      <c r="C585" s="6" t="s">
        <v>1097</v>
      </c>
      <c r="D585" s="6" t="s">
        <v>1098</v>
      </c>
      <c r="E585" s="6" t="s">
        <v>1099</v>
      </c>
      <c r="F585" s="6" t="s">
        <v>1102</v>
      </c>
      <c r="G585" s="6"/>
      <c r="H585" s="6"/>
      <c r="I585" s="6" t="s">
        <v>1103</v>
      </c>
      <c r="J585" s="6" t="s">
        <v>1102</v>
      </c>
      <c r="K585" s="6" t="s">
        <v>1009</v>
      </c>
      <c r="L585" s="6" t="s">
        <v>177</v>
      </c>
    </row>
    <row r="586" spans="1:12" ht="15" customHeight="1">
      <c r="A586" s="4" t="s">
        <v>951</v>
      </c>
      <c r="B586" s="6" t="s">
        <v>952</v>
      </c>
      <c r="C586" s="6" t="s">
        <v>1097</v>
      </c>
      <c r="D586" s="6" t="s">
        <v>1098</v>
      </c>
      <c r="E586" s="6" t="s">
        <v>1099</v>
      </c>
      <c r="F586" s="6" t="s">
        <v>1104</v>
      </c>
      <c r="G586" s="6"/>
      <c r="H586" s="6"/>
      <c r="I586" s="6" t="s">
        <v>1105</v>
      </c>
      <c r="J586" s="6" t="s">
        <v>1104</v>
      </c>
      <c r="K586" s="6" t="s">
        <v>1009</v>
      </c>
      <c r="L586" s="6" t="s">
        <v>177</v>
      </c>
    </row>
    <row r="587" spans="1:12" ht="15" customHeight="1">
      <c r="A587" s="7" t="s">
        <v>196</v>
      </c>
    </row>
    <row r="588" spans="1:12" ht="15.75" customHeight="1">
      <c r="A588" s="1" t="s">
        <v>171</v>
      </c>
    </row>
    <row r="589" spans="1:12" ht="15" customHeight="1">
      <c r="A589" s="3" t="s">
        <v>173</v>
      </c>
      <c r="B589" s="3" t="s">
        <v>207</v>
      </c>
      <c r="C589" s="3" t="s">
        <v>175</v>
      </c>
      <c r="D589" s="3" t="s">
        <v>198</v>
      </c>
    </row>
    <row r="590" spans="1:12" ht="15" customHeight="1">
      <c r="A590" s="4" t="s">
        <v>1106</v>
      </c>
      <c r="B590" s="6" t="s">
        <v>177</v>
      </c>
      <c r="C590" s="6" t="s">
        <v>177</v>
      </c>
      <c r="D590" s="5">
        <v>1</v>
      </c>
    </row>
    <row r="591" spans="1:12" ht="15" customHeight="1">
      <c r="A591" s="4" t="s">
        <v>1107</v>
      </c>
      <c r="B591" s="6" t="s">
        <v>1108</v>
      </c>
      <c r="C591" s="6" t="s">
        <v>177</v>
      </c>
      <c r="D591" s="5">
        <v>2</v>
      </c>
    </row>
    <row r="592" spans="1:12" ht="15" customHeight="1">
      <c r="A592" s="4" t="s">
        <v>1109</v>
      </c>
      <c r="B592" s="6" t="s">
        <v>21</v>
      </c>
      <c r="C592" s="6" t="s">
        <v>177</v>
      </c>
      <c r="D592" s="5">
        <v>3</v>
      </c>
    </row>
    <row r="593" spans="1:4" ht="15" customHeight="1">
      <c r="A593" s="4" t="s">
        <v>1110</v>
      </c>
      <c r="B593" s="6" t="s">
        <v>936</v>
      </c>
      <c r="C593" s="6" t="s">
        <v>177</v>
      </c>
      <c r="D593" s="5">
        <v>4</v>
      </c>
    </row>
    <row r="594" spans="1:4" ht="15" customHeight="1">
      <c r="A594" s="7" t="s">
        <v>196</v>
      </c>
    </row>
    <row r="596" spans="1:4" ht="19.5" customHeight="1">
      <c r="A596" s="299" t="s">
        <v>1111</v>
      </c>
      <c r="B596" s="262"/>
      <c r="C596" s="262"/>
      <c r="D596" s="262"/>
    </row>
    <row r="597" spans="1:4" ht="15" customHeight="1">
      <c r="A597" s="9" t="s">
        <v>173</v>
      </c>
      <c r="B597" s="9" t="s">
        <v>207</v>
      </c>
      <c r="C597" s="9" t="s">
        <v>175</v>
      </c>
    </row>
    <row r="598" spans="1:4" ht="15" customHeight="1">
      <c r="A598" s="10" t="s">
        <v>1112</v>
      </c>
      <c r="B598" s="11" t="s">
        <v>1113</v>
      </c>
      <c r="C598" s="11" t="s">
        <v>177</v>
      </c>
    </row>
    <row r="599" spans="1:4" ht="15" customHeight="1">
      <c r="A599" s="10" t="s">
        <v>1114</v>
      </c>
      <c r="B599" s="11" t="s">
        <v>215</v>
      </c>
      <c r="C599" s="11" t="s">
        <v>177</v>
      </c>
    </row>
    <row r="600" spans="1:4" ht="15" customHeight="1">
      <c r="A600" s="10" t="s">
        <v>1115</v>
      </c>
      <c r="B600" s="11" t="s">
        <v>219</v>
      </c>
      <c r="C600" s="11" t="s">
        <v>177</v>
      </c>
    </row>
    <row r="601" spans="1:4" ht="15" customHeight="1">
      <c r="A601" s="10" t="s">
        <v>1116</v>
      </c>
      <c r="B601" s="11" t="s">
        <v>13</v>
      </c>
      <c r="C601" s="11" t="s">
        <v>177</v>
      </c>
    </row>
    <row r="602" spans="1:4" ht="15" customHeight="1">
      <c r="A602" s="10" t="s">
        <v>1117</v>
      </c>
      <c r="B602" s="11" t="s">
        <v>1118</v>
      </c>
      <c r="C602" s="11" t="s">
        <v>177</v>
      </c>
    </row>
    <row r="603" spans="1:4" ht="15" customHeight="1">
      <c r="A603" s="10" t="s">
        <v>1119</v>
      </c>
      <c r="B603" s="11" t="s">
        <v>231</v>
      </c>
      <c r="C603" s="11" t="s">
        <v>177</v>
      </c>
    </row>
    <row r="604" spans="1:4" ht="15" customHeight="1">
      <c r="A604" s="12" t="s">
        <v>196</v>
      </c>
    </row>
    <row r="606" spans="1:4" ht="19.5" customHeight="1">
      <c r="A606" s="299" t="s">
        <v>1120</v>
      </c>
      <c r="B606" s="262"/>
      <c r="C606" s="262"/>
      <c r="D606" s="262"/>
    </row>
    <row r="607" spans="1:4" ht="15" customHeight="1">
      <c r="A607" s="9" t="s">
        <v>173</v>
      </c>
      <c r="B607" s="9" t="s">
        <v>207</v>
      </c>
      <c r="C607" s="9" t="s">
        <v>175</v>
      </c>
    </row>
    <row r="608" spans="1:4" ht="15" customHeight="1">
      <c r="A608" s="10" t="s">
        <v>1121</v>
      </c>
      <c r="B608" s="11" t="s">
        <v>1122</v>
      </c>
      <c r="C608" s="11" t="s">
        <v>177</v>
      </c>
    </row>
    <row r="609" spans="1:4" ht="15" customHeight="1">
      <c r="A609" s="10" t="s">
        <v>1123</v>
      </c>
      <c r="B609" s="11" t="s">
        <v>1124</v>
      </c>
      <c r="C609" s="11" t="s">
        <v>177</v>
      </c>
    </row>
    <row r="610" spans="1:4" ht="15" customHeight="1">
      <c r="A610" s="10" t="s">
        <v>1125</v>
      </c>
      <c r="B610" s="11" t="s">
        <v>1126</v>
      </c>
      <c r="C610" s="11" t="s">
        <v>177</v>
      </c>
    </row>
    <row r="611" spans="1:4" ht="15" customHeight="1">
      <c r="A611" s="10" t="s">
        <v>1127</v>
      </c>
      <c r="B611" s="11" t="s">
        <v>1128</v>
      </c>
      <c r="C611" s="11" t="s">
        <v>177</v>
      </c>
    </row>
    <row r="612" spans="1:4" ht="15" customHeight="1">
      <c r="A612" s="10" t="s">
        <v>1129</v>
      </c>
      <c r="B612" s="11" t="s">
        <v>1130</v>
      </c>
      <c r="C612" s="11" t="s">
        <v>177</v>
      </c>
    </row>
    <row r="613" spans="1:4" ht="15" customHeight="1">
      <c r="A613" s="10" t="s">
        <v>1131</v>
      </c>
      <c r="B613" s="11" t="s">
        <v>1132</v>
      </c>
      <c r="C613" s="11" t="s">
        <v>177</v>
      </c>
    </row>
    <row r="614" spans="1:4" ht="15" customHeight="1">
      <c r="A614" s="10" t="s">
        <v>1133</v>
      </c>
      <c r="B614" s="11" t="s">
        <v>1134</v>
      </c>
      <c r="C614" s="11" t="s">
        <v>177</v>
      </c>
    </row>
    <row r="615" spans="1:4" ht="15" customHeight="1">
      <c r="A615" s="10" t="s">
        <v>1135</v>
      </c>
      <c r="B615" s="11" t="s">
        <v>1136</v>
      </c>
      <c r="C615" s="11" t="s">
        <v>177</v>
      </c>
    </row>
    <row r="616" spans="1:4" ht="15" customHeight="1">
      <c r="A616" s="10" t="s">
        <v>1137</v>
      </c>
      <c r="B616" s="11" t="s">
        <v>383</v>
      </c>
      <c r="C616" s="11" t="s">
        <v>177</v>
      </c>
    </row>
    <row r="617" spans="1:4" ht="15" customHeight="1">
      <c r="A617" s="12" t="s">
        <v>196</v>
      </c>
    </row>
    <row r="619" spans="1:4" ht="19.5" customHeight="1">
      <c r="A619" s="299" t="s">
        <v>1138</v>
      </c>
      <c r="B619" s="262"/>
      <c r="C619" s="262"/>
      <c r="D619" s="262"/>
    </row>
    <row r="620" spans="1:4" ht="15" customHeight="1">
      <c r="A620" s="9" t="s">
        <v>173</v>
      </c>
      <c r="B620" s="9" t="s">
        <v>207</v>
      </c>
      <c r="C620" s="9" t="s">
        <v>1139</v>
      </c>
    </row>
    <row r="621" spans="1:4" ht="15" customHeight="1">
      <c r="A621" s="10" t="s">
        <v>1140</v>
      </c>
      <c r="B621" s="11" t="s">
        <v>1141</v>
      </c>
      <c r="C621" s="13">
        <v>0.8</v>
      </c>
    </row>
    <row r="622" spans="1:4" ht="15" customHeight="1">
      <c r="A622" s="10" t="s">
        <v>1142</v>
      </c>
      <c r="B622" s="11" t="s">
        <v>1143</v>
      </c>
      <c r="C622" s="13">
        <v>1</v>
      </c>
    </row>
    <row r="623" spans="1:4" ht="15" customHeight="1">
      <c r="A623" s="12" t="s">
        <v>196</v>
      </c>
    </row>
    <row r="625" spans="1:4" ht="19.5" customHeight="1">
      <c r="A625" s="299" t="s">
        <v>1144</v>
      </c>
      <c r="B625" s="262"/>
      <c r="C625" s="262"/>
      <c r="D625" s="262"/>
    </row>
    <row r="626" spans="1:4" ht="15" customHeight="1">
      <c r="A626" s="9" t="s">
        <v>173</v>
      </c>
      <c r="B626" s="9" t="s">
        <v>207</v>
      </c>
      <c r="C626" s="9" t="s">
        <v>175</v>
      </c>
    </row>
    <row r="627" spans="1:4" ht="15" customHeight="1">
      <c r="A627" s="10" t="s">
        <v>1145</v>
      </c>
      <c r="B627" s="11" t="s">
        <v>1146</v>
      </c>
      <c r="C627" s="11" t="s">
        <v>177</v>
      </c>
    </row>
    <row r="628" spans="1:4" ht="15" customHeight="1">
      <c r="A628" s="10" t="s">
        <v>1147</v>
      </c>
      <c r="B628" s="11" t="s">
        <v>1148</v>
      </c>
      <c r="C628" s="11" t="s">
        <v>177</v>
      </c>
    </row>
    <row r="629" spans="1:4" ht="15" customHeight="1">
      <c r="A629" s="10" t="s">
        <v>1149</v>
      </c>
      <c r="B629" s="11" t="s">
        <v>1150</v>
      </c>
      <c r="C629" s="11" t="s">
        <v>177</v>
      </c>
    </row>
    <row r="630" spans="1:4" ht="15" customHeight="1">
      <c r="A630" s="10" t="s">
        <v>1151</v>
      </c>
      <c r="B630" s="11" t="s">
        <v>1152</v>
      </c>
      <c r="C630" s="11" t="s">
        <v>177</v>
      </c>
    </row>
    <row r="631" spans="1:4" ht="15" customHeight="1">
      <c r="A631" s="10" t="s">
        <v>1153</v>
      </c>
      <c r="B631" s="11" t="s">
        <v>1154</v>
      </c>
      <c r="C631" s="11" t="s">
        <v>177</v>
      </c>
    </row>
    <row r="632" spans="1:4" ht="15" customHeight="1">
      <c r="A632" s="10" t="s">
        <v>1155</v>
      </c>
      <c r="B632" s="11" t="s">
        <v>1156</v>
      </c>
      <c r="C632" s="11" t="s">
        <v>177</v>
      </c>
    </row>
    <row r="633" spans="1:4" ht="15" customHeight="1">
      <c r="A633" s="10" t="s">
        <v>1157</v>
      </c>
      <c r="B633" s="11" t="s">
        <v>1158</v>
      </c>
      <c r="C633" s="11" t="s">
        <v>177</v>
      </c>
    </row>
    <row r="634" spans="1:4" ht="15" customHeight="1">
      <c r="A634" s="10" t="s">
        <v>1159</v>
      </c>
      <c r="B634" s="11" t="s">
        <v>251</v>
      </c>
      <c r="C634" s="11" t="s">
        <v>177</v>
      </c>
    </row>
    <row r="635" spans="1:4" ht="15" customHeight="1">
      <c r="A635" s="10" t="s">
        <v>1160</v>
      </c>
      <c r="B635" s="11" t="s">
        <v>1161</v>
      </c>
      <c r="C635" s="11" t="s">
        <v>177</v>
      </c>
    </row>
    <row r="636" spans="1:4" ht="15" customHeight="1">
      <c r="A636" s="12" t="s">
        <v>196</v>
      </c>
    </row>
    <row r="638" spans="1:4" ht="15.75" customHeight="1">
      <c r="A638" s="289" t="s">
        <v>1162</v>
      </c>
      <c r="B638" s="262"/>
      <c r="C638" s="262"/>
      <c r="D638" s="262"/>
    </row>
    <row r="639" spans="1:4" ht="15" customHeight="1">
      <c r="A639" s="14" t="s">
        <v>173</v>
      </c>
      <c r="B639" s="14" t="s">
        <v>207</v>
      </c>
      <c r="C639" s="14" t="s">
        <v>175</v>
      </c>
      <c r="D639" s="14" t="s">
        <v>198</v>
      </c>
    </row>
    <row r="640" spans="1:4" ht="15" customHeight="1">
      <c r="A640" s="15" t="s">
        <v>1163</v>
      </c>
      <c r="B640" s="16" t="s">
        <v>177</v>
      </c>
      <c r="C640" s="17" t="s">
        <v>177</v>
      </c>
      <c r="D640" s="17">
        <v>1</v>
      </c>
    </row>
    <row r="641" spans="1:4" ht="15" customHeight="1">
      <c r="A641" s="15" t="s">
        <v>1164</v>
      </c>
      <c r="B641" s="16" t="s">
        <v>1165</v>
      </c>
      <c r="C641" s="17" t="s">
        <v>177</v>
      </c>
      <c r="D641" s="17">
        <v>2</v>
      </c>
    </row>
    <row r="642" spans="1:4" ht="15" customHeight="1">
      <c r="A642" s="15" t="s">
        <v>1166</v>
      </c>
      <c r="B642" s="16" t="s">
        <v>21</v>
      </c>
      <c r="C642" s="17" t="s">
        <v>177</v>
      </c>
      <c r="D642" s="17">
        <v>3</v>
      </c>
    </row>
    <row r="643" spans="1:4" ht="15" customHeight="1">
      <c r="A643" s="15" t="s">
        <v>1167</v>
      </c>
      <c r="B643" s="16" t="s">
        <v>1168</v>
      </c>
      <c r="C643" s="17" t="s">
        <v>177</v>
      </c>
      <c r="D643" s="17">
        <v>4</v>
      </c>
    </row>
    <row r="644" spans="1:4" ht="15" customHeight="1">
      <c r="A644" s="15" t="s">
        <v>1169</v>
      </c>
      <c r="B644" s="16" t="s">
        <v>1170</v>
      </c>
      <c r="C644" s="17" t="s">
        <v>177</v>
      </c>
      <c r="D644" s="17">
        <v>5</v>
      </c>
    </row>
    <row r="645" spans="1:4" ht="15" customHeight="1">
      <c r="A645" s="15" t="s">
        <v>1171</v>
      </c>
      <c r="B645" s="16" t="s">
        <v>1172</v>
      </c>
      <c r="C645" s="17" t="s">
        <v>177</v>
      </c>
      <c r="D645" s="17">
        <v>6</v>
      </c>
    </row>
    <row r="646" spans="1:4" ht="15" customHeight="1">
      <c r="A646" s="15" t="s">
        <v>1173</v>
      </c>
      <c r="B646" s="16" t="s">
        <v>1108</v>
      </c>
      <c r="C646" s="17" t="s">
        <v>177</v>
      </c>
      <c r="D646" s="17">
        <v>7</v>
      </c>
    </row>
    <row r="647" spans="1:4" ht="15" customHeight="1">
      <c r="A647" s="18" t="s">
        <v>196</v>
      </c>
    </row>
    <row r="649" spans="1:4" ht="15.75" customHeight="1">
      <c r="A649" s="289" t="s">
        <v>1174</v>
      </c>
      <c r="B649" s="262"/>
      <c r="C649" s="262"/>
      <c r="D649" s="262"/>
    </row>
    <row r="650" spans="1:4" ht="15" customHeight="1">
      <c r="A650" s="14" t="s">
        <v>173</v>
      </c>
      <c r="B650" s="14" t="s">
        <v>207</v>
      </c>
      <c r="C650" s="14" t="s">
        <v>175</v>
      </c>
      <c r="D650" s="14" t="s">
        <v>198</v>
      </c>
    </row>
    <row r="651" spans="1:4" ht="15" customHeight="1">
      <c r="A651" s="15" t="s">
        <v>1175</v>
      </c>
      <c r="B651" s="16" t="s">
        <v>1176</v>
      </c>
      <c r="C651" s="17" t="s">
        <v>177</v>
      </c>
      <c r="D651" s="17">
        <v>1</v>
      </c>
    </row>
    <row r="652" spans="1:4" ht="15" customHeight="1">
      <c r="A652" s="15" t="s">
        <v>1177</v>
      </c>
      <c r="B652" s="16" t="s">
        <v>1178</v>
      </c>
      <c r="C652" s="17" t="s">
        <v>177</v>
      </c>
      <c r="D652" s="17">
        <v>2</v>
      </c>
    </row>
    <row r="653" spans="1:4" ht="15" customHeight="1">
      <c r="A653" s="15" t="s">
        <v>1179</v>
      </c>
      <c r="B653" s="16" t="s">
        <v>1180</v>
      </c>
      <c r="C653" s="17" t="s">
        <v>177</v>
      </c>
      <c r="D653" s="17">
        <v>3</v>
      </c>
    </row>
    <row r="654" spans="1:4" ht="15" customHeight="1">
      <c r="A654" s="15" t="s">
        <v>1181</v>
      </c>
      <c r="B654" s="16" t="s">
        <v>667</v>
      </c>
      <c r="C654" s="17" t="s">
        <v>177</v>
      </c>
      <c r="D654" s="17">
        <v>4</v>
      </c>
    </row>
    <row r="655" spans="1:4" ht="15" customHeight="1">
      <c r="A655" s="15" t="s">
        <v>1182</v>
      </c>
      <c r="B655" s="16" t="s">
        <v>1183</v>
      </c>
      <c r="C655" s="17" t="s">
        <v>177</v>
      </c>
      <c r="D655" s="17">
        <v>5</v>
      </c>
    </row>
    <row r="656" spans="1:4" ht="15" customHeight="1">
      <c r="A656" s="15" t="s">
        <v>1184</v>
      </c>
      <c r="B656" s="16" t="s">
        <v>439</v>
      </c>
      <c r="C656" s="17" t="s">
        <v>177</v>
      </c>
      <c r="D656" s="17">
        <v>6</v>
      </c>
    </row>
    <row r="657" spans="1:4" ht="15" customHeight="1">
      <c r="A657" s="15" t="s">
        <v>1185</v>
      </c>
      <c r="B657" s="16" t="s">
        <v>665</v>
      </c>
      <c r="C657" s="17" t="s">
        <v>177</v>
      </c>
      <c r="D657" s="17">
        <v>7</v>
      </c>
    </row>
    <row r="658" spans="1:4" ht="15" customHeight="1">
      <c r="A658" s="15" t="s">
        <v>1186</v>
      </c>
      <c r="B658" s="16" t="s">
        <v>1187</v>
      </c>
      <c r="C658" s="17" t="s">
        <v>177</v>
      </c>
      <c r="D658" s="17">
        <v>8</v>
      </c>
    </row>
    <row r="659" spans="1:4" ht="15" customHeight="1">
      <c r="A659" s="15" t="s">
        <v>1188</v>
      </c>
      <c r="B659" s="16" t="s">
        <v>1189</v>
      </c>
      <c r="C659" s="17" t="s">
        <v>177</v>
      </c>
      <c r="D659" s="17">
        <v>9</v>
      </c>
    </row>
    <row r="660" spans="1:4" ht="15" customHeight="1">
      <c r="A660" s="15" t="s">
        <v>1190</v>
      </c>
      <c r="B660" s="16" t="s">
        <v>1191</v>
      </c>
      <c r="C660" s="17" t="s">
        <v>177</v>
      </c>
      <c r="D660" s="17">
        <v>10</v>
      </c>
    </row>
    <row r="661" spans="1:4" ht="15" customHeight="1">
      <c r="A661" s="15" t="s">
        <v>1192</v>
      </c>
      <c r="B661" s="16" t="s">
        <v>383</v>
      </c>
      <c r="C661" s="17" t="s">
        <v>177</v>
      </c>
      <c r="D661" s="17">
        <v>11</v>
      </c>
    </row>
    <row r="662" spans="1:4" ht="15" customHeight="1">
      <c r="A662" s="18" t="s">
        <v>196</v>
      </c>
    </row>
    <row r="664" spans="1:4" ht="15.75" customHeight="1">
      <c r="A664" s="289" t="s">
        <v>1193</v>
      </c>
      <c r="B664" s="262"/>
      <c r="C664" s="262"/>
      <c r="D664" s="262"/>
    </row>
    <row r="665" spans="1:4" ht="15" customHeight="1">
      <c r="A665" s="14" t="s">
        <v>173</v>
      </c>
      <c r="B665" s="14" t="s">
        <v>207</v>
      </c>
      <c r="C665" s="14" t="s">
        <v>175</v>
      </c>
      <c r="D665" s="14" t="s">
        <v>198</v>
      </c>
    </row>
    <row r="666" spans="1:4" ht="15" customHeight="1">
      <c r="A666" s="15" t="s">
        <v>1194</v>
      </c>
      <c r="B666" s="16" t="s">
        <v>1195</v>
      </c>
      <c r="C666" s="17" t="s">
        <v>177</v>
      </c>
      <c r="D666" s="17">
        <v>1</v>
      </c>
    </row>
    <row r="667" spans="1:4" ht="15" customHeight="1">
      <c r="A667" s="15" t="s">
        <v>1196</v>
      </c>
      <c r="B667" s="16" t="s">
        <v>1197</v>
      </c>
      <c r="C667" s="17" t="s">
        <v>177</v>
      </c>
      <c r="D667" s="17">
        <v>2</v>
      </c>
    </row>
    <row r="668" spans="1:4" ht="15" customHeight="1">
      <c r="A668" s="15" t="s">
        <v>1198</v>
      </c>
      <c r="B668" s="16" t="s">
        <v>1199</v>
      </c>
      <c r="C668" s="17" t="s">
        <v>177</v>
      </c>
      <c r="D668" s="17">
        <v>3</v>
      </c>
    </row>
    <row r="669" spans="1:4" ht="15" customHeight="1">
      <c r="A669" s="15" t="s">
        <v>1200</v>
      </c>
      <c r="B669" s="16" t="s">
        <v>1201</v>
      </c>
      <c r="C669" s="17" t="s">
        <v>177</v>
      </c>
      <c r="D669" s="17">
        <v>4</v>
      </c>
    </row>
    <row r="670" spans="1:4" ht="15" customHeight="1">
      <c r="A670" s="15" t="s">
        <v>1202</v>
      </c>
      <c r="B670" s="16" t="s">
        <v>1203</v>
      </c>
      <c r="C670" s="17" t="s">
        <v>177</v>
      </c>
      <c r="D670" s="17">
        <v>5</v>
      </c>
    </row>
    <row r="671" spans="1:4" ht="15" customHeight="1">
      <c r="A671" s="15" t="s">
        <v>1204</v>
      </c>
      <c r="B671" s="16" t="s">
        <v>383</v>
      </c>
      <c r="C671" s="17" t="s">
        <v>177</v>
      </c>
      <c r="D671" s="17">
        <v>6</v>
      </c>
    </row>
    <row r="672" spans="1:4" ht="15" customHeight="1">
      <c r="A672" s="18" t="s">
        <v>196</v>
      </c>
    </row>
    <row r="674" spans="1:4" ht="15.75" customHeight="1">
      <c r="A674" s="289" t="s">
        <v>1205</v>
      </c>
      <c r="B674" s="262"/>
      <c r="C674" s="262"/>
      <c r="D674" s="262"/>
    </row>
    <row r="675" spans="1:4" ht="15" customHeight="1">
      <c r="A675" s="14" t="s">
        <v>173</v>
      </c>
      <c r="B675" s="14" t="s">
        <v>207</v>
      </c>
      <c r="C675" s="14" t="s">
        <v>175</v>
      </c>
      <c r="D675" s="14" t="s">
        <v>198</v>
      </c>
    </row>
    <row r="676" spans="1:4" ht="15" customHeight="1">
      <c r="A676" s="15" t="s">
        <v>1206</v>
      </c>
      <c r="B676" s="16" t="s">
        <v>1207</v>
      </c>
      <c r="C676" s="17" t="s">
        <v>177</v>
      </c>
      <c r="D676" s="17">
        <v>1</v>
      </c>
    </row>
    <row r="677" spans="1:4" ht="15" customHeight="1">
      <c r="A677" s="15" t="s">
        <v>1208</v>
      </c>
      <c r="B677" s="16" t="s">
        <v>1209</v>
      </c>
      <c r="C677" s="17" t="s">
        <v>177</v>
      </c>
      <c r="D677" s="17">
        <v>2</v>
      </c>
    </row>
    <row r="678" spans="1:4" ht="15" customHeight="1">
      <c r="A678" s="15" t="s">
        <v>1210</v>
      </c>
      <c r="B678" s="16" t="s">
        <v>1211</v>
      </c>
      <c r="C678" s="17" t="s">
        <v>177</v>
      </c>
      <c r="D678" s="17">
        <v>3</v>
      </c>
    </row>
    <row r="679" spans="1:4" ht="15" customHeight="1">
      <c r="A679" s="15" t="s">
        <v>1212</v>
      </c>
      <c r="B679" s="16" t="s">
        <v>1213</v>
      </c>
      <c r="C679" s="17" t="s">
        <v>177</v>
      </c>
      <c r="D679" s="17">
        <v>4</v>
      </c>
    </row>
    <row r="680" spans="1:4" ht="15" customHeight="1">
      <c r="A680" s="15" t="s">
        <v>1214</v>
      </c>
      <c r="B680" s="16" t="s">
        <v>1215</v>
      </c>
      <c r="C680" s="17" t="s">
        <v>177</v>
      </c>
      <c r="D680" s="17">
        <v>5</v>
      </c>
    </row>
    <row r="681" spans="1:4" ht="15" customHeight="1">
      <c r="A681" s="15" t="s">
        <v>1216</v>
      </c>
      <c r="B681" s="16" t="s">
        <v>383</v>
      </c>
      <c r="C681" s="17" t="s">
        <v>177</v>
      </c>
      <c r="D681" s="17">
        <v>6</v>
      </c>
    </row>
    <row r="682" spans="1:4" ht="15" customHeight="1">
      <c r="A682" s="18" t="s">
        <v>196</v>
      </c>
    </row>
    <row r="684" spans="1:4" ht="15.75" customHeight="1">
      <c r="A684" s="289" t="s">
        <v>1217</v>
      </c>
      <c r="B684" s="262"/>
      <c r="C684" s="262"/>
      <c r="D684" s="262"/>
    </row>
    <row r="685" spans="1:4" ht="15" customHeight="1">
      <c r="A685" s="14" t="s">
        <v>173</v>
      </c>
      <c r="B685" s="14" t="s">
        <v>207</v>
      </c>
      <c r="C685" s="14" t="s">
        <v>175</v>
      </c>
      <c r="D685" s="14" t="s">
        <v>198</v>
      </c>
    </row>
    <row r="686" spans="1:4" ht="15" customHeight="1">
      <c r="A686" s="15" t="s">
        <v>1218</v>
      </c>
      <c r="B686" s="16" t="s">
        <v>1219</v>
      </c>
      <c r="C686" s="17" t="s">
        <v>177</v>
      </c>
      <c r="D686" s="17">
        <v>1</v>
      </c>
    </row>
    <row r="687" spans="1:4" ht="15" customHeight="1">
      <c r="A687" s="15" t="s">
        <v>1220</v>
      </c>
      <c r="B687" s="16" t="s">
        <v>219</v>
      </c>
      <c r="C687" s="17" t="s">
        <v>177</v>
      </c>
      <c r="D687" s="17">
        <v>2</v>
      </c>
    </row>
    <row r="688" spans="1:4" ht="15" customHeight="1">
      <c r="A688" s="15" t="s">
        <v>1221</v>
      </c>
      <c r="B688" s="16" t="s">
        <v>1222</v>
      </c>
      <c r="C688" s="17" t="s">
        <v>177</v>
      </c>
      <c r="D688" s="17">
        <v>3</v>
      </c>
    </row>
    <row r="689" spans="1:4" ht="15" customHeight="1">
      <c r="A689" s="15" t="s">
        <v>1223</v>
      </c>
      <c r="B689" s="16" t="s">
        <v>13</v>
      </c>
      <c r="C689" s="17" t="s">
        <v>177</v>
      </c>
      <c r="D689" s="17">
        <v>4</v>
      </c>
    </row>
    <row r="690" spans="1:4" ht="15" customHeight="1">
      <c r="A690" s="15" t="s">
        <v>1224</v>
      </c>
      <c r="B690" s="16" t="s">
        <v>229</v>
      </c>
      <c r="C690" s="17" t="s">
        <v>177</v>
      </c>
      <c r="D690" s="17">
        <v>5</v>
      </c>
    </row>
    <row r="691" spans="1:4" ht="15" customHeight="1">
      <c r="A691" s="18" t="s">
        <v>196</v>
      </c>
    </row>
    <row r="693" spans="1:4" ht="15.75" customHeight="1">
      <c r="A693" s="289" t="s">
        <v>1225</v>
      </c>
      <c r="B693" s="262"/>
      <c r="C693" s="262"/>
      <c r="D693" s="262"/>
    </row>
    <row r="694" spans="1:4" ht="15" customHeight="1">
      <c r="A694" s="14" t="s">
        <v>173</v>
      </c>
      <c r="B694" s="14" t="s">
        <v>207</v>
      </c>
      <c r="C694" s="14" t="s">
        <v>175</v>
      </c>
      <c r="D694" s="14" t="s">
        <v>198</v>
      </c>
    </row>
    <row r="695" spans="1:4" ht="15" customHeight="1">
      <c r="A695" s="15" t="s">
        <v>1226</v>
      </c>
      <c r="B695" s="16" t="s">
        <v>1227</v>
      </c>
      <c r="C695" s="17" t="s">
        <v>177</v>
      </c>
      <c r="D695" s="17">
        <v>1</v>
      </c>
    </row>
    <row r="696" spans="1:4" ht="15" customHeight="1">
      <c r="A696" s="15" t="s">
        <v>1228</v>
      </c>
      <c r="B696" s="16" t="s">
        <v>1229</v>
      </c>
      <c r="C696" s="17" t="s">
        <v>177</v>
      </c>
      <c r="D696" s="17">
        <v>2</v>
      </c>
    </row>
    <row r="697" spans="1:4" ht="15" customHeight="1">
      <c r="A697" s="15" t="s">
        <v>1230</v>
      </c>
      <c r="B697" s="16" t="s">
        <v>620</v>
      </c>
      <c r="C697" s="17" t="s">
        <v>177</v>
      </c>
      <c r="D697" s="17">
        <v>3</v>
      </c>
    </row>
    <row r="698" spans="1:4" ht="15" customHeight="1">
      <c r="A698" s="15" t="s">
        <v>1231</v>
      </c>
      <c r="B698" s="16" t="s">
        <v>1232</v>
      </c>
      <c r="C698" s="17" t="s">
        <v>177</v>
      </c>
      <c r="D698" s="17">
        <v>4</v>
      </c>
    </row>
    <row r="699" spans="1:4" ht="15" customHeight="1">
      <c r="A699" s="18" t="s">
        <v>196</v>
      </c>
    </row>
    <row r="701" spans="1:4" ht="15.75" customHeight="1">
      <c r="A701" s="289" t="s">
        <v>1233</v>
      </c>
      <c r="B701" s="262"/>
      <c r="C701" s="262"/>
      <c r="D701" s="262"/>
    </row>
    <row r="702" spans="1:4" ht="15" customHeight="1">
      <c r="A702" s="14" t="s">
        <v>173</v>
      </c>
      <c r="B702" s="14" t="s">
        <v>207</v>
      </c>
      <c r="C702" s="14" t="s">
        <v>175</v>
      </c>
      <c r="D702" s="14" t="s">
        <v>198</v>
      </c>
    </row>
    <row r="703" spans="1:4" ht="15" customHeight="1">
      <c r="A703" s="15" t="s">
        <v>1234</v>
      </c>
      <c r="B703" s="16" t="s">
        <v>1235</v>
      </c>
      <c r="C703" s="17" t="s">
        <v>177</v>
      </c>
      <c r="D703" s="17">
        <v>1</v>
      </c>
    </row>
    <row r="704" spans="1:4" ht="15" customHeight="1">
      <c r="A704" s="15" t="s">
        <v>1236</v>
      </c>
      <c r="B704" s="16" t="s">
        <v>1237</v>
      </c>
      <c r="C704" s="17" t="s">
        <v>177</v>
      </c>
      <c r="D704" s="17">
        <v>2</v>
      </c>
    </row>
    <row r="705" spans="1:4" ht="15" customHeight="1">
      <c r="A705" s="15" t="s">
        <v>1238</v>
      </c>
      <c r="B705" s="16" t="s">
        <v>1239</v>
      </c>
      <c r="C705" s="17" t="s">
        <v>177</v>
      </c>
      <c r="D705" s="17">
        <v>3</v>
      </c>
    </row>
    <row r="706" spans="1:4" ht="15" customHeight="1">
      <c r="A706" s="15" t="s">
        <v>1240</v>
      </c>
      <c r="B706" s="16" t="s">
        <v>1241</v>
      </c>
      <c r="C706" s="17" t="s">
        <v>177</v>
      </c>
      <c r="D706" s="17">
        <v>4</v>
      </c>
    </row>
    <row r="707" spans="1:4" ht="15" customHeight="1">
      <c r="A707" s="15" t="s">
        <v>1242</v>
      </c>
      <c r="B707" s="16" t="s">
        <v>1243</v>
      </c>
      <c r="C707" s="17" t="s">
        <v>177</v>
      </c>
      <c r="D707" s="17">
        <v>5</v>
      </c>
    </row>
    <row r="708" spans="1:4" ht="15" customHeight="1">
      <c r="A708" s="15" t="s">
        <v>1244</v>
      </c>
      <c r="B708" s="16" t="s">
        <v>1245</v>
      </c>
      <c r="C708" s="17" t="s">
        <v>177</v>
      </c>
      <c r="D708" s="17">
        <v>6</v>
      </c>
    </row>
    <row r="709" spans="1:4" ht="15" customHeight="1">
      <c r="A709" s="15" t="s">
        <v>1246</v>
      </c>
      <c r="B709" s="16" t="s">
        <v>383</v>
      </c>
      <c r="C709" s="17" t="s">
        <v>177</v>
      </c>
      <c r="D709" s="17">
        <v>7</v>
      </c>
    </row>
    <row r="710" spans="1:4" ht="15" customHeight="1">
      <c r="A710" s="18" t="s">
        <v>196</v>
      </c>
    </row>
    <row r="712" spans="1:4" ht="15.75" customHeight="1">
      <c r="A712" s="289" t="s">
        <v>1247</v>
      </c>
      <c r="B712" s="262"/>
      <c r="C712" s="262"/>
      <c r="D712" s="262"/>
    </row>
    <row r="713" spans="1:4" ht="15" customHeight="1">
      <c r="A713" s="14" t="s">
        <v>173</v>
      </c>
      <c r="B713" s="14" t="s">
        <v>207</v>
      </c>
      <c r="C713" s="14" t="s">
        <v>175</v>
      </c>
      <c r="D713" s="14" t="s">
        <v>198</v>
      </c>
    </row>
    <row r="714" spans="1:4" ht="15" customHeight="1">
      <c r="A714" s="15" t="s">
        <v>1248</v>
      </c>
      <c r="B714" s="16" t="s">
        <v>1249</v>
      </c>
      <c r="C714" s="17" t="s">
        <v>177</v>
      </c>
      <c r="D714" s="17">
        <v>1</v>
      </c>
    </row>
    <row r="715" spans="1:4" ht="15" customHeight="1">
      <c r="A715" s="15" t="s">
        <v>1250</v>
      </c>
      <c r="B715" s="16" t="s">
        <v>1251</v>
      </c>
      <c r="C715" s="17" t="s">
        <v>177</v>
      </c>
      <c r="D715" s="17">
        <v>2</v>
      </c>
    </row>
    <row r="716" spans="1:4" ht="15" customHeight="1">
      <c r="A716" s="15" t="s">
        <v>1252</v>
      </c>
      <c r="B716" s="16" t="s">
        <v>1253</v>
      </c>
      <c r="C716" s="17" t="s">
        <v>177</v>
      </c>
      <c r="D716" s="17">
        <v>3</v>
      </c>
    </row>
    <row r="717" spans="1:4" ht="15" customHeight="1">
      <c r="A717" s="15" t="s">
        <v>1254</v>
      </c>
      <c r="B717" s="16" t="s">
        <v>1255</v>
      </c>
      <c r="C717" s="17" t="s">
        <v>177</v>
      </c>
      <c r="D717" s="17">
        <v>4</v>
      </c>
    </row>
    <row r="718" spans="1:4" ht="15" customHeight="1">
      <c r="A718" s="15" t="s">
        <v>1256</v>
      </c>
      <c r="B718" s="16" t="s">
        <v>1257</v>
      </c>
      <c r="C718" s="17" t="s">
        <v>177</v>
      </c>
      <c r="D718" s="17">
        <v>5</v>
      </c>
    </row>
    <row r="719" spans="1:4" ht="15" customHeight="1">
      <c r="A719" s="18" t="s">
        <v>196</v>
      </c>
    </row>
    <row r="721" spans="1:4" ht="15.75" customHeight="1">
      <c r="A721" s="289" t="s">
        <v>1258</v>
      </c>
      <c r="B721" s="262"/>
      <c r="C721" s="262"/>
      <c r="D721" s="262"/>
    </row>
    <row r="722" spans="1:4" ht="15" customHeight="1">
      <c r="A722" s="14" t="s">
        <v>173</v>
      </c>
      <c r="B722" s="14" t="s">
        <v>207</v>
      </c>
      <c r="C722" s="14" t="s">
        <v>175</v>
      </c>
      <c r="D722" s="14" t="s">
        <v>198</v>
      </c>
    </row>
    <row r="723" spans="1:4" ht="15" customHeight="1">
      <c r="A723" s="15" t="s">
        <v>1259</v>
      </c>
      <c r="B723" s="16" t="s">
        <v>1260</v>
      </c>
      <c r="C723" s="17" t="s">
        <v>177</v>
      </c>
      <c r="D723" s="17">
        <v>1</v>
      </c>
    </row>
    <row r="724" spans="1:4" ht="15" customHeight="1">
      <c r="A724" s="15" t="s">
        <v>1261</v>
      </c>
      <c r="B724" s="16" t="s">
        <v>1262</v>
      </c>
      <c r="C724" s="17" t="s">
        <v>177</v>
      </c>
      <c r="D724" s="17">
        <v>2</v>
      </c>
    </row>
    <row r="725" spans="1:4" ht="15" customHeight="1">
      <c r="A725" s="15" t="s">
        <v>1263</v>
      </c>
      <c r="B725" s="16" t="s">
        <v>1264</v>
      </c>
      <c r="C725" s="17" t="s">
        <v>177</v>
      </c>
      <c r="D725" s="17">
        <v>3</v>
      </c>
    </row>
    <row r="726" spans="1:4" ht="15" customHeight="1">
      <c r="A726" s="15" t="s">
        <v>1265</v>
      </c>
      <c r="B726" s="16" t="s">
        <v>1266</v>
      </c>
      <c r="C726" s="17" t="s">
        <v>177</v>
      </c>
      <c r="D726" s="17">
        <v>4</v>
      </c>
    </row>
    <row r="727" spans="1:4" ht="15" customHeight="1">
      <c r="A727" s="15" t="s">
        <v>1267</v>
      </c>
      <c r="B727" s="16" t="s">
        <v>1268</v>
      </c>
      <c r="C727" s="17" t="s">
        <v>177</v>
      </c>
      <c r="D727" s="17">
        <v>5</v>
      </c>
    </row>
    <row r="728" spans="1:4" ht="15" customHeight="1">
      <c r="A728" s="15" t="s">
        <v>1269</v>
      </c>
      <c r="B728" s="16" t="s">
        <v>1270</v>
      </c>
      <c r="C728" s="17" t="s">
        <v>177</v>
      </c>
      <c r="D728" s="17">
        <v>6</v>
      </c>
    </row>
    <row r="729" spans="1:4" ht="15" customHeight="1">
      <c r="A729" s="15" t="s">
        <v>1271</v>
      </c>
      <c r="B729" s="16" t="s">
        <v>1272</v>
      </c>
      <c r="C729" s="17" t="s">
        <v>177</v>
      </c>
      <c r="D729" s="17">
        <v>7</v>
      </c>
    </row>
    <row r="730" spans="1:4" ht="15" customHeight="1">
      <c r="A730" s="15" t="s">
        <v>1273</v>
      </c>
      <c r="B730" s="16" t="s">
        <v>1274</v>
      </c>
      <c r="C730" s="17" t="s">
        <v>177</v>
      </c>
      <c r="D730" s="17">
        <v>8</v>
      </c>
    </row>
    <row r="731" spans="1:4" ht="15" customHeight="1">
      <c r="A731" s="15" t="s">
        <v>1275</v>
      </c>
      <c r="B731" s="16" t="s">
        <v>435</v>
      </c>
      <c r="C731" s="17" t="s">
        <v>177</v>
      </c>
      <c r="D731" s="17">
        <v>9</v>
      </c>
    </row>
    <row r="732" spans="1:4" ht="15" customHeight="1">
      <c r="A732" s="15" t="s">
        <v>1276</v>
      </c>
      <c r="B732" s="16" t="s">
        <v>1277</v>
      </c>
      <c r="C732" s="17" t="s">
        <v>177</v>
      </c>
      <c r="D732" s="17">
        <v>10</v>
      </c>
    </row>
    <row r="733" spans="1:4" ht="15" customHeight="1">
      <c r="A733" s="15" t="s">
        <v>1278</v>
      </c>
      <c r="B733" s="16" t="s">
        <v>383</v>
      </c>
      <c r="C733" s="17" t="s">
        <v>177</v>
      </c>
      <c r="D733" s="17">
        <v>11</v>
      </c>
    </row>
    <row r="734" spans="1:4" ht="15" customHeight="1">
      <c r="A734" s="18" t="s">
        <v>196</v>
      </c>
    </row>
    <row r="736" spans="1:4" ht="15.75" customHeight="1">
      <c r="A736" s="289" t="s">
        <v>1279</v>
      </c>
      <c r="B736" s="262"/>
      <c r="C736" s="262"/>
      <c r="D736" s="262"/>
    </row>
    <row r="737" spans="1:2" ht="15" customHeight="1">
      <c r="A737" s="14" t="s">
        <v>173</v>
      </c>
      <c r="B737" s="14" t="s">
        <v>1280</v>
      </c>
    </row>
    <row r="738" spans="1:2" ht="15" customHeight="1">
      <c r="A738" s="15" t="s">
        <v>1281</v>
      </c>
      <c r="B738" s="16" t="s">
        <v>1282</v>
      </c>
    </row>
    <row r="739" spans="1:2" ht="15" customHeight="1">
      <c r="A739" s="15" t="s">
        <v>1283</v>
      </c>
      <c r="B739" s="17">
        <f>IF(PARAMETRES!$B$39="","",PARAMETRES!$B$39)</f>
        <v>2024</v>
      </c>
    </row>
    <row r="740" spans="1:2" ht="15" customHeight="1">
      <c r="A740" s="15" t="s">
        <v>1284</v>
      </c>
      <c r="B740" s="17">
        <f>IF(PARAMETRES!$B$40="","",PARAMETRES!$B$40)</f>
        <v>2025</v>
      </c>
    </row>
    <row r="741" spans="1:2" ht="15" customHeight="1">
      <c r="A741" s="15" t="s">
        <v>1285</v>
      </c>
      <c r="B741" s="17">
        <f>IF(PARAMETRES!$B$41="","",PARAMETRES!$B$41)</f>
        <v>2026</v>
      </c>
    </row>
    <row r="742" spans="1:2" ht="15" customHeight="1">
      <c r="A742" s="15" t="s">
        <v>1286</v>
      </c>
      <c r="B742" s="17">
        <f>IF(PARAMETRES!$B$42="","",PARAMETRES!$B$42)</f>
        <v>2027</v>
      </c>
    </row>
    <row r="743" spans="1:2" ht="15" customHeight="1">
      <c r="A743" s="15" t="s">
        <v>1287</v>
      </c>
      <c r="B743" s="17">
        <f>IF(PARAMETRES!$B$43="","",PARAMETRES!$B$43)</f>
        <v>2028</v>
      </c>
    </row>
    <row r="744" spans="1:2" ht="15" customHeight="1">
      <c r="A744" s="15" t="s">
        <v>1288</v>
      </c>
      <c r="B744" s="17">
        <f>IF(PARAMETRES!$B$44="","",PARAMETRES!$B$44)</f>
        <v>2029</v>
      </c>
    </row>
    <row r="745" spans="1:2" ht="15" customHeight="1">
      <c r="A745" s="15" t="s">
        <v>1289</v>
      </c>
      <c r="B745" s="17">
        <f>IF(PARAMETRES!$B$45="","",PARAMETRES!$B$45)</f>
        <v>2030</v>
      </c>
    </row>
    <row r="746" spans="1:2" ht="15" customHeight="1">
      <c r="A746" s="15" t="s">
        <v>1290</v>
      </c>
      <c r="B746" s="17">
        <f>IF(PARAMETRES!$B$46="","",PARAMETRES!$B$46)</f>
        <v>2031</v>
      </c>
    </row>
    <row r="747" spans="1:2" ht="15" customHeight="1">
      <c r="A747" s="15" t="s">
        <v>1291</v>
      </c>
      <c r="B747" s="17">
        <f>IF(PARAMETRES!$B$47="","",PARAMETRES!$B$47)</f>
        <v>2032</v>
      </c>
    </row>
    <row r="748" spans="1:2" ht="15" customHeight="1">
      <c r="A748" s="15" t="s">
        <v>1292</v>
      </c>
      <c r="B748" s="17">
        <f>IF(PARAMETRES!$B$48="","",PARAMETRES!$B$48)</f>
        <v>2033</v>
      </c>
    </row>
    <row r="749" spans="1:2" ht="15" customHeight="1">
      <c r="A749" s="18" t="s">
        <v>196</v>
      </c>
    </row>
  </sheetData>
  <mergeCells count="105">
    <mergeCell ref="A1:L1"/>
    <mergeCell ref="I12:L12"/>
    <mergeCell ref="A721:D721"/>
    <mergeCell ref="I34:L34"/>
    <mergeCell ref="I27:L27"/>
    <mergeCell ref="A12:H12"/>
    <mergeCell ref="A325:D325"/>
    <mergeCell ref="A21:H21"/>
    <mergeCell ref="A146:D146"/>
    <mergeCell ref="A14:H14"/>
    <mergeCell ref="A23:H23"/>
    <mergeCell ref="A66:D66"/>
    <mergeCell ref="I22:L22"/>
    <mergeCell ref="I28:L28"/>
    <mergeCell ref="A394:D394"/>
    <mergeCell ref="A238:D238"/>
    <mergeCell ref="A2:L2"/>
    <mergeCell ref="A173:D173"/>
    <mergeCell ref="A471:D471"/>
    <mergeCell ref="I9:L9"/>
    <mergeCell ref="A441:D441"/>
    <mergeCell ref="I30:L30"/>
    <mergeCell ref="A368:D368"/>
    <mergeCell ref="A521:D521"/>
    <mergeCell ref="A8:H8"/>
    <mergeCell ref="A17:H17"/>
    <mergeCell ref="A35:H35"/>
    <mergeCell ref="I21:L21"/>
    <mergeCell ref="A103:F103"/>
    <mergeCell ref="A10:H10"/>
    <mergeCell ref="A19:H19"/>
    <mergeCell ref="A34:H34"/>
    <mergeCell ref="A9:H9"/>
    <mergeCell ref="I23:L23"/>
    <mergeCell ref="I8:L8"/>
    <mergeCell ref="I18:L18"/>
    <mergeCell ref="A22:H22"/>
    <mergeCell ref="A51:C51"/>
    <mergeCell ref="A4:L4"/>
    <mergeCell ref="A18:H18"/>
    <mergeCell ref="A296:D296"/>
    <mergeCell ref="A638:D638"/>
    <mergeCell ref="I32:L32"/>
    <mergeCell ref="I7:L7"/>
    <mergeCell ref="A426:D426"/>
    <mergeCell ref="I17:L17"/>
    <mergeCell ref="I10:L10"/>
    <mergeCell ref="A6:L6"/>
    <mergeCell ref="A13:H13"/>
    <mergeCell ref="A15:H15"/>
    <mergeCell ref="I13:L13"/>
    <mergeCell ref="A7:H7"/>
    <mergeCell ref="A16:H16"/>
    <mergeCell ref="I15:L15"/>
    <mergeCell ref="I19:L19"/>
    <mergeCell ref="A11:H11"/>
    <mergeCell ref="I14:L14"/>
    <mergeCell ref="I26:L26"/>
    <mergeCell ref="I16:L16"/>
    <mergeCell ref="I25:L25"/>
    <mergeCell ref="I11:L11"/>
    <mergeCell ref="A26:H26"/>
    <mergeCell ref="A20:H20"/>
    <mergeCell ref="A381:D381"/>
    <mergeCell ref="A28:H28"/>
    <mergeCell ref="I24:L24"/>
    <mergeCell ref="A313:D313"/>
    <mergeCell ref="I33:L33"/>
    <mergeCell ref="A30:H30"/>
    <mergeCell ref="A91:D91"/>
    <mergeCell ref="A244:D244"/>
    <mergeCell ref="I35:L35"/>
    <mergeCell ref="A31:H31"/>
    <mergeCell ref="A206:D206"/>
    <mergeCell ref="A24:H24"/>
    <mergeCell ref="I20:L20"/>
    <mergeCell ref="I29:L29"/>
    <mergeCell ref="I31:L31"/>
    <mergeCell ref="A27:H27"/>
    <mergeCell ref="A37:C37"/>
    <mergeCell ref="A280:D280"/>
    <mergeCell ref="A684:D684"/>
    <mergeCell ref="A693:D693"/>
    <mergeCell ref="A258:D258"/>
    <mergeCell ref="A25:H25"/>
    <mergeCell ref="A736:D736"/>
    <mergeCell ref="A73:D73"/>
    <mergeCell ref="A540:D540"/>
    <mergeCell ref="A358:D358"/>
    <mergeCell ref="A712:D712"/>
    <mergeCell ref="A649:D649"/>
    <mergeCell ref="A606:D606"/>
    <mergeCell ref="A32:H32"/>
    <mergeCell ref="A619:D619"/>
    <mergeCell ref="A29:H29"/>
    <mergeCell ref="A701:D701"/>
    <mergeCell ref="A625:D625"/>
    <mergeCell ref="A534:L534"/>
    <mergeCell ref="A596:D596"/>
    <mergeCell ref="A674:D674"/>
    <mergeCell ref="A451:D451"/>
    <mergeCell ref="A33:H33"/>
    <mergeCell ref="A493:D493"/>
    <mergeCell ref="A664:D664"/>
    <mergeCell ref="A433:D433"/>
  </mergeCells>
  <conditionalFormatting sqref="D105:D145">
    <cfRule type="cellIs" dxfId="13" priority="2" operator="equal">
      <formula>"Oui"</formula>
    </cfRule>
  </conditionalFormatting>
  <dataValidations count="2">
    <dataValidation type="list" allowBlank="1" sqref="C39:C50 C542:C545 L536:L538 C523:C533 C495:C520 C473:C492 C453:C470 C443:C450 C435:C440 C428:C432 C396:C425 C383:C393 C370:C380 C360:C367 C327:C357 C315:C324 C298:C312 C282:C295 C260:C279 C246:C257 C240:C243 C208:C237 C175:C205 C148:C172 E105:E145 C93:C102 C75:C90">
      <formula1>"Actif,Inactif,Suspendu,Archive"</formula1>
      <formula2>0</formula2>
    </dataValidation>
    <dataValidation type="list" allowBlank="1" sqref="D105:D145">
      <formula1>"Oui,Non"</formula1>
      <formula2>0</formula2>
    </dataValidation>
  </dataValidations>
  <hyperlinks>
    <hyperlink ref="A7" location="PARAMETRES!A37" display="1. ANNEES"/>
    <hyperlink ref="A8" location="PARAMETRES!A51" display="2. MOIS"/>
    <hyperlink ref="A9" location="PARAMETRES!A66" display="3. TRIMESTRES"/>
    <hyperlink ref="A10" location="PARAMETRES!A73" display="4. STATUTS DES PROJETS"/>
    <hyperlink ref="A11" location="PARAMETRES!A91" display="5. STATUTS DES ACTIVITES"/>
    <hyperlink ref="A12" location="PARAMETRES!A103" display="6. DOMAINES D'INTERVENTION DE L'O.N.G BK"/>
    <hyperlink ref="A13" location="PARAMETRES!A146" display="7. TYPES DE PROJETS"/>
    <hyperlink ref="A14" location="PARAMETRES!A173" display="8. TYPES D'ACTIVITES"/>
    <hyperlink ref="A15" location="PARAMETRES!A206" display="9. CATEGORIES DE BENEFICIAIRES"/>
    <hyperlink ref="A16" location="PARAMETRES!A238" display="10. SEXE"/>
    <hyperlink ref="A17" location="PARAMETRES!A244" display="11. TRANCHES D'AGE"/>
    <hyperlink ref="A18" location="PARAMETRES!A258" display="12. TYPES DE PARTENAIRES"/>
    <hyperlink ref="A19" location="PARAMETRES!A280" display="13. TYPES DE DONATEURS"/>
    <hyperlink ref="A20" location="PARAMETRES!A296" display="14. SOURCES DE FINANCEMENT"/>
    <hyperlink ref="A21" location="PARAMETRES!A313" display="15. TYPES DE FINANCEMENT"/>
    <hyperlink ref="A22" location="PARAMETRES!A325" display="16. CATEGORIES DE DEPENSES"/>
    <hyperlink ref="A23" location="PARAMETRES!A358" display="17. MODES DE PAIEMENT"/>
    <hyperlink ref="A24" location="PARAMETRES!A368" display="18. TYPES DE RECETTES"/>
    <hyperlink ref="A25" location="PARAMETRES!A381" display="19. TYPES DE CONTRATS"/>
    <hyperlink ref="A26" location="PARAMETRES!A394" display="20. FONCTIONS / POSTES"/>
    <hyperlink ref="A27" location="PARAMETRES!A426" display="21. NIVEAUX DE PRIORITE"/>
    <hyperlink ref="A28" location="PARAMETRES!A433" display="22. NIVEAUX DE RISQUE"/>
    <hyperlink ref="A29" location="PARAMETRES!A441" display="23. STATUTS DES RISQUES"/>
    <hyperlink ref="A30" location="PARAMETRES!A451" display="24. TYPES D'IMMOBILISATIONS"/>
    <hyperlink ref="A31" location="PARAMETRES!A471" display="25. UNITES DE MESURE"/>
    <hyperlink ref="A32" location="PARAMETRES!A493" display="26. TYPES DE DOCUMENTS"/>
    <hyperlink ref="A33" location="PARAMETRES!A521" display="27. STATUTS DES DOCUMENTS"/>
    <hyperlink ref="A34" location="PARAMETRES!A534" display="28. ZONES GEOGRAPHIQUES (structure hierarchique)"/>
    <hyperlink ref="A35" location="PARAMETRES!A540" display="29. STATUTS GENERAUX"/>
    <hyperlink ref="A65" location="PARAMETRES!A6" display="↑ Retour au sommaire"/>
    <hyperlink ref="A72" location="PARAMETRES!A6" display="↑ Retour au sommaire"/>
    <hyperlink ref="A90" location="PARAMETRES!A6" display="↑ Retour au sommaire"/>
    <hyperlink ref="A102" location="PARAMETRES!A6" display="↑ Retour au sommaire"/>
    <hyperlink ref="A145" location="PARAMETRES!A6" display="↑ Retour au sommaire"/>
    <hyperlink ref="A172" location="PARAMETRES!A6" display="↑ Retour au sommaire"/>
    <hyperlink ref="A205" location="PARAMETRES!A6" display="↑ Retour au sommaire"/>
    <hyperlink ref="A237" location="PARAMETRES!A6" display="↑ Retour au sommaire"/>
    <hyperlink ref="A243" location="PARAMETRES!A6" display="↑ Retour au sommaire"/>
    <hyperlink ref="A257" location="PARAMETRES!A6" display="↑ Retour au sommaire"/>
    <hyperlink ref="A279" location="PARAMETRES!A6" display="↑ Retour au sommaire"/>
    <hyperlink ref="A295" location="PARAMETRES!A6" display="↑ Retour au sommaire"/>
    <hyperlink ref="A312" location="PARAMETRES!A6" display="↑ Retour au sommaire"/>
    <hyperlink ref="A324" location="PARAMETRES!A6" display="↑ Retour au sommaire"/>
    <hyperlink ref="A357" location="PARAMETRES!A6" display="↑ Retour au sommaire"/>
    <hyperlink ref="A367" location="PARAMETRES!A6" display="↑ Retour au sommaire"/>
    <hyperlink ref="A380" location="PARAMETRES!A6" display="↑ Retour au sommaire"/>
    <hyperlink ref="A393" location="PARAMETRES!A6" display="↑ Retour au sommaire"/>
    <hyperlink ref="A425" location="PARAMETRES!A6" display="↑ Retour au sommaire"/>
    <hyperlink ref="A432" location="PARAMETRES!A6" display="↑ Retour au sommaire"/>
    <hyperlink ref="A440" location="PARAMETRES!A6" display="↑ Retour au sommaire"/>
    <hyperlink ref="A450" location="PARAMETRES!A6" display="↑ Retour au sommaire"/>
    <hyperlink ref="A470" location="PARAMETRES!A6" display="↑ Retour au sommaire"/>
    <hyperlink ref="A492" location="PARAMETRES!A6" display="↑ Retour au sommaire"/>
    <hyperlink ref="A520" location="PARAMETRES!A6" display="↑ Retour au sommaire"/>
    <hyperlink ref="A533" location="PARAMETRES!A6" display="↑ Retour au sommaire"/>
    <hyperlink ref="A539" location="PARAMETRES!A6" display="PAYS01"/>
    <hyperlink ref="A546" location="PARAMETRES!A6" display="PAYS01"/>
    <hyperlink ref="A604" location="PARAMETRES!A6" display="↑ Retour au sommaire"/>
    <hyperlink ref="A617" location="PARAMETRES!A6" display="↑ Retour au sommaire"/>
    <hyperlink ref="A623" location="PARAMETRES!A6" display="↑ Retour au sommaire"/>
    <hyperlink ref="A636" location="PARAMETRES!A6" display="↑ Retour au sommaire"/>
  </hyperlinks>
  <pageMargins left="0.4" right="0.4" top="0.5" bottom="0.5" header="0.511811023622047" footer="0.511811023622047"/>
  <pageSetup fitToHeight="0" orientation="landscape" horizontalDpi="300" verticalDpi="300"/>
  <tableParts count="42">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14</vt:i4>
      </vt:variant>
      <vt:variant>
        <vt:lpstr>Plages nommées</vt:lpstr>
      </vt:variant>
      <vt:variant>
        <vt:i4>59</vt:i4>
      </vt:variant>
    </vt:vector>
  </HeadingPairs>
  <TitlesOfParts>
    <vt:vector size="73" baseType="lpstr">
      <vt:lpstr>TABLEAU DE BORD</vt:lpstr>
      <vt:lpstr>ONG</vt:lpstr>
      <vt:lpstr>BENEFICIAIRES</vt:lpstr>
      <vt:lpstr>PROJETS</vt:lpstr>
      <vt:lpstr>ACTIVITES</vt:lpstr>
      <vt:lpstr>PARTENAIRES</vt:lpstr>
      <vt:lpstr>DONATEURS</vt:lpstr>
      <vt:lpstr>BUDGET</vt:lpstr>
      <vt:lpstr>RECETTES</vt:lpstr>
      <vt:lpstr>DEPENSES</vt:lpstr>
      <vt:lpstr>RESSOURCES HUMAINES</vt:lpstr>
      <vt:lpstr>SUIVI-EVALUATION</vt:lpstr>
      <vt:lpstr>RAPPORTS</vt:lpstr>
      <vt:lpstr>PARAMETRES</vt:lpstr>
      <vt:lpstr>DB_Annee</vt:lpstr>
      <vt:lpstr>DB_Domaine</vt:lpstr>
      <vt:lpstr>DB_Donateur</vt:lpstr>
      <vt:lpstr>DB_Mois</vt:lpstr>
      <vt:lpstr>DB_Projet</vt:lpstr>
      <vt:lpstr>DB_Zone</vt:lpstr>
      <vt:lpstr>ONG!Impression_des_titres</vt:lpstr>
      <vt:lpstr>PARAMETRES!Impression_des_titres</vt:lpstr>
      <vt:lpstr>RAPPORTS!Impression_des_titres</vt:lpstr>
      <vt:lpstr>Liste_Annees</vt:lpstr>
      <vt:lpstr>Liste_AnneesFiltre</vt:lpstr>
      <vt:lpstr>Liste_CategoriesBeneficiaires</vt:lpstr>
      <vt:lpstr>Liste_CategoriesDepenses</vt:lpstr>
      <vt:lpstr>Liste_Departements</vt:lpstr>
      <vt:lpstr>Liste_Domaines</vt:lpstr>
      <vt:lpstr>Liste_DonateursDemandesID</vt:lpstr>
      <vt:lpstr>Liste_DonateursOpportunitesID</vt:lpstr>
      <vt:lpstr>Liste_Fonctions</vt:lpstr>
      <vt:lpstr>Liste_FrequencesPaiement</vt:lpstr>
      <vt:lpstr>Liste_ModesPaiement</vt:lpstr>
      <vt:lpstr>Liste_Mois</vt:lpstr>
      <vt:lpstr>Liste_MotifsDepart</vt:lpstr>
      <vt:lpstr>Liste_NiveauxCompetence</vt:lpstr>
      <vt:lpstr>Liste_NiveauxHierarchiques</vt:lpstr>
      <vt:lpstr>Liste_NiveauxPriorite</vt:lpstr>
      <vt:lpstr>Liste_NiveauxRisque</vt:lpstr>
      <vt:lpstr>Liste_PartenairesID</vt:lpstr>
      <vt:lpstr>Liste_RecettesID</vt:lpstr>
      <vt:lpstr>Liste_ServicesRH</vt:lpstr>
      <vt:lpstr>Liste_Sexe</vt:lpstr>
      <vt:lpstr>Liste_SourcesFinancement</vt:lpstr>
      <vt:lpstr>Liste_StatutsActivites</vt:lpstr>
      <vt:lpstr>Liste_StatutsBudget</vt:lpstr>
      <vt:lpstr>Liste_StatutsConge</vt:lpstr>
      <vt:lpstr>Liste_StatutsDocuments</vt:lpstr>
      <vt:lpstr>Liste_StatutsGeneraux</vt:lpstr>
      <vt:lpstr>Liste_StatutsProjets</vt:lpstr>
      <vt:lpstr>Liste_StatutsRecettes</vt:lpstr>
      <vt:lpstr>Liste_StatutsRH</vt:lpstr>
      <vt:lpstr>Liste_StatutsRisques</vt:lpstr>
      <vt:lpstr>Liste_TranchesAge</vt:lpstr>
      <vt:lpstr>Liste_Trimestres</vt:lpstr>
      <vt:lpstr>Liste_TypesActivites</vt:lpstr>
      <vt:lpstr>Liste_TypesBudget</vt:lpstr>
      <vt:lpstr>Liste_TypesConge</vt:lpstr>
      <vt:lpstr>Liste_TypesContrats</vt:lpstr>
      <vt:lpstr>Liste_TypesDocuments</vt:lpstr>
      <vt:lpstr>Liste_TypesDocumentsRH</vt:lpstr>
      <vt:lpstr>Liste_TypesDonateurs</vt:lpstr>
      <vt:lpstr>Liste_TypesFinancement</vt:lpstr>
      <vt:lpstr>Liste_TypesImmobilisations</vt:lpstr>
      <vt:lpstr>Liste_TypesPartenaires</vt:lpstr>
      <vt:lpstr>Liste_TypesProjets</vt:lpstr>
      <vt:lpstr>Liste_TypesRecettes</vt:lpstr>
      <vt:lpstr>Liste_UnitesMesure</vt:lpstr>
      <vt:lpstr>Liste_ZonesGeo</vt:lpstr>
      <vt:lpstr>Seuil_Depassement</vt:lpstr>
      <vt:lpstr>Seuil_Vigilance</vt:lpstr>
      <vt:lpstr>'TABLEAU DE BORD'!Zone_d_impression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Christ LESSENGUI</cp:lastModifiedBy>
  <cp:revision>2</cp:revision>
  <dcterms:created xsi:type="dcterms:W3CDTF">2026-08-30T11:34:58Z</dcterms:created>
  <dcterms:modified xsi:type="dcterms:W3CDTF">2026-10-10T09:50:48Z</dcterms:modified>
  <dc:language>en-US</dc:language>
</cp:coreProperties>
</file>